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○ 업무자료_202306 백업\1. 2014 이후_신은정\1. 위엠비 자료\신은정 자료\2. 회계\34. 프로젝트 정산\2024년\P24-039\"/>
    </mc:Choice>
  </mc:AlternateContent>
  <bookViews>
    <workbookView xWindow="15000" yWindow="45" windowWidth="23715" windowHeight="10080" tabRatio="844"/>
  </bookViews>
  <sheets>
    <sheet name="P24-039" sheetId="17" r:id="rId1"/>
    <sheet name="wims" sheetId="15" r:id="rId2"/>
    <sheet name="2014년 표준단가" sheetId="3" state="hidden" r:id="rId3"/>
    <sheet name="Sheet2" sheetId="2" state="hidden" r:id="rId4"/>
    <sheet name="Sheet1" sheetId="9" state="hidden" r:id="rId5"/>
    <sheet name="Sheet3" sheetId="14" state="hidden" r:id="rId6"/>
  </sheets>
  <calcPr calcId="152511"/>
</workbook>
</file>

<file path=xl/calcChain.xml><?xml version="1.0" encoding="utf-8"?>
<calcChain xmlns="http://schemas.openxmlformats.org/spreadsheetml/2006/main">
  <c r="X50" i="17" l="1"/>
  <c r="AR32" i="17" l="1"/>
  <c r="Y250" i="17" l="1"/>
  <c r="Y245" i="17"/>
  <c r="V245" i="17"/>
  <c r="V237" i="17"/>
  <c r="V236" i="17"/>
  <c r="P236" i="17" l="1"/>
  <c r="AG255" i="17" l="1"/>
  <c r="P254" i="17"/>
  <c r="P253" i="17"/>
  <c r="P252" i="17"/>
  <c r="P251" i="17"/>
  <c r="P249" i="17"/>
  <c r="P248" i="17"/>
  <c r="P247" i="17"/>
  <c r="P246" i="17"/>
  <c r="P245" i="17"/>
  <c r="P244" i="17"/>
  <c r="P243" i="17"/>
  <c r="P242" i="17"/>
  <c r="P241" i="17"/>
  <c r="P240" i="17"/>
  <c r="P239" i="17"/>
  <c r="P238" i="17"/>
  <c r="P237" i="17"/>
  <c r="P235" i="17"/>
  <c r="P234" i="17"/>
  <c r="P233" i="17"/>
  <c r="P232" i="17"/>
  <c r="CN313" i="17" l="1"/>
  <c r="CK313" i="17"/>
  <c r="CH313" i="17"/>
  <c r="CE313" i="17"/>
  <c r="CB313" i="17"/>
  <c r="BY313" i="17"/>
  <c r="BV313" i="17"/>
  <c r="BS313" i="17"/>
  <c r="BP313" i="17"/>
  <c r="BM313" i="17"/>
  <c r="BJ313" i="17"/>
  <c r="BG313" i="17"/>
  <c r="BD313" i="17"/>
  <c r="BA313" i="17"/>
  <c r="AX313" i="17"/>
  <c r="AQ313" i="17"/>
  <c r="AN313" i="17"/>
  <c r="AK313" i="17"/>
  <c r="AH313" i="17"/>
  <c r="AE313" i="17"/>
  <c r="AB313" i="17"/>
  <c r="Y313" i="17"/>
  <c r="J313" i="17"/>
  <c r="S312" i="17"/>
  <c r="P312" i="17"/>
  <c r="M312" i="17"/>
  <c r="S311" i="17"/>
  <c r="P311" i="17"/>
  <c r="M311" i="17"/>
  <c r="S310" i="17"/>
  <c r="P310" i="17"/>
  <c r="M310" i="17"/>
  <c r="S309" i="17"/>
  <c r="P309" i="17"/>
  <c r="M309" i="17"/>
  <c r="S308" i="17"/>
  <c r="P308" i="17"/>
  <c r="M308" i="17"/>
  <c r="S307" i="17"/>
  <c r="P307" i="17"/>
  <c r="M307" i="17"/>
  <c r="S306" i="17"/>
  <c r="P306" i="17"/>
  <c r="M306" i="17"/>
  <c r="S305" i="17"/>
  <c r="P305" i="17"/>
  <c r="M305" i="17"/>
  <c r="S304" i="17"/>
  <c r="P304" i="17"/>
  <c r="M304" i="17"/>
  <c r="S303" i="17"/>
  <c r="P303" i="17"/>
  <c r="M303" i="17"/>
  <c r="V303" i="17" s="1"/>
  <c r="S302" i="17"/>
  <c r="P302" i="17"/>
  <c r="M302" i="17"/>
  <c r="S301" i="17"/>
  <c r="P301" i="17"/>
  <c r="M301" i="17"/>
  <c r="S300" i="17"/>
  <c r="P300" i="17"/>
  <c r="M300" i="17"/>
  <c r="S299" i="17"/>
  <c r="P299" i="17"/>
  <c r="M299" i="17"/>
  <c r="S298" i="17"/>
  <c r="P298" i="17"/>
  <c r="M298" i="17"/>
  <c r="S297" i="17"/>
  <c r="P297" i="17"/>
  <c r="M297" i="17"/>
  <c r="S296" i="17"/>
  <c r="P296" i="17"/>
  <c r="M296" i="17"/>
  <c r="S295" i="17"/>
  <c r="P295" i="17"/>
  <c r="M295" i="17"/>
  <c r="S294" i="17"/>
  <c r="P294" i="17"/>
  <c r="M294" i="17"/>
  <c r="S293" i="17"/>
  <c r="P293" i="17"/>
  <c r="M293" i="17"/>
  <c r="S292" i="17"/>
  <c r="P292" i="17"/>
  <c r="M292" i="17"/>
  <c r="S291" i="17"/>
  <c r="P291" i="17"/>
  <c r="M291" i="17"/>
  <c r="CN284" i="17"/>
  <c r="CK284" i="17"/>
  <c r="CH284" i="17"/>
  <c r="CE284" i="17"/>
  <c r="CB284" i="17"/>
  <c r="BY284" i="17"/>
  <c r="BV284" i="17"/>
  <c r="BS284" i="17"/>
  <c r="BP284" i="17"/>
  <c r="BM284" i="17"/>
  <c r="BJ284" i="17"/>
  <c r="BG284" i="17"/>
  <c r="BD284" i="17"/>
  <c r="BA284" i="17"/>
  <c r="AX284" i="17"/>
  <c r="AQ284" i="17"/>
  <c r="AN284" i="17"/>
  <c r="AK284" i="17"/>
  <c r="AH284" i="17"/>
  <c r="AE284" i="17"/>
  <c r="AB284" i="17"/>
  <c r="Y284" i="17"/>
  <c r="J284" i="17"/>
  <c r="S283" i="17"/>
  <c r="P283" i="17"/>
  <c r="M283" i="17"/>
  <c r="S282" i="17"/>
  <c r="P282" i="17"/>
  <c r="M282" i="17"/>
  <c r="S281" i="17"/>
  <c r="P281" i="17"/>
  <c r="M281" i="17"/>
  <c r="S280" i="17"/>
  <c r="P280" i="17"/>
  <c r="M280" i="17"/>
  <c r="S279" i="17"/>
  <c r="P279" i="17"/>
  <c r="M279" i="17"/>
  <c r="S278" i="17"/>
  <c r="P278" i="17"/>
  <c r="M278" i="17"/>
  <c r="S277" i="17"/>
  <c r="P277" i="17"/>
  <c r="M277" i="17"/>
  <c r="S276" i="17"/>
  <c r="P276" i="17"/>
  <c r="M276" i="17"/>
  <c r="S275" i="17"/>
  <c r="P275" i="17"/>
  <c r="M275" i="17"/>
  <c r="S274" i="17"/>
  <c r="P274" i="17"/>
  <c r="M274" i="17"/>
  <c r="S273" i="17"/>
  <c r="P273" i="17"/>
  <c r="M273" i="17"/>
  <c r="S272" i="17"/>
  <c r="P272" i="17"/>
  <c r="M272" i="17"/>
  <c r="S271" i="17"/>
  <c r="P271" i="17"/>
  <c r="M271" i="17"/>
  <c r="S270" i="17"/>
  <c r="P270" i="17"/>
  <c r="M270" i="17"/>
  <c r="S269" i="17"/>
  <c r="P269" i="17"/>
  <c r="M269" i="17"/>
  <c r="S268" i="17"/>
  <c r="P268" i="17"/>
  <c r="M268" i="17"/>
  <c r="S267" i="17"/>
  <c r="P267" i="17"/>
  <c r="M267" i="17"/>
  <c r="S266" i="17"/>
  <c r="P266" i="17"/>
  <c r="M266" i="17"/>
  <c r="S265" i="17"/>
  <c r="P265" i="17"/>
  <c r="M265" i="17"/>
  <c r="S264" i="17"/>
  <c r="P264" i="17"/>
  <c r="M264" i="17"/>
  <c r="S263" i="17"/>
  <c r="P263" i="17"/>
  <c r="M263" i="17"/>
  <c r="S262" i="17"/>
  <c r="P262" i="17"/>
  <c r="M262" i="17"/>
  <c r="CH255" i="17"/>
  <c r="CE255" i="17"/>
  <c r="CB255" i="17"/>
  <c r="BY255" i="17"/>
  <c r="BV255" i="17"/>
  <c r="BS255" i="17"/>
  <c r="BP255" i="17"/>
  <c r="BM255" i="17"/>
  <c r="BJ255" i="17"/>
  <c r="BG255" i="17"/>
  <c r="BD255" i="17"/>
  <c r="BA255" i="17"/>
  <c r="AX255" i="17"/>
  <c r="AQ255" i="17"/>
  <c r="AN255" i="17"/>
  <c r="AK255" i="17"/>
  <c r="AH255" i="17"/>
  <c r="AB255" i="17"/>
  <c r="V255" i="17"/>
  <c r="S255" i="17"/>
  <c r="P250" i="17"/>
  <c r="CN225" i="17"/>
  <c r="CK225" i="17"/>
  <c r="CH225" i="17"/>
  <c r="CE225" i="17"/>
  <c r="CB225" i="17"/>
  <c r="BY225" i="17"/>
  <c r="BV225" i="17"/>
  <c r="BS225" i="17"/>
  <c r="BP225" i="17"/>
  <c r="BM225" i="17"/>
  <c r="BJ225" i="17"/>
  <c r="BG225" i="17"/>
  <c r="BD225" i="17"/>
  <c r="BA225" i="17"/>
  <c r="AX225" i="17"/>
  <c r="AU225" i="17"/>
  <c r="AR225" i="17"/>
  <c r="AO225" i="17"/>
  <c r="AL225" i="17"/>
  <c r="AI225" i="17"/>
  <c r="AF225" i="17"/>
  <c r="AC225" i="17"/>
  <c r="CN224" i="17"/>
  <c r="CK224" i="17"/>
  <c r="CH224" i="17"/>
  <c r="CE224" i="17"/>
  <c r="CB224" i="17"/>
  <c r="BY224" i="17"/>
  <c r="BV224" i="17"/>
  <c r="BS224" i="17"/>
  <c r="BP224" i="17"/>
  <c r="BM224" i="17"/>
  <c r="BJ224" i="17"/>
  <c r="BG224" i="17"/>
  <c r="BD224" i="17"/>
  <c r="BA224" i="17"/>
  <c r="AX224" i="17"/>
  <c r="AU224" i="17"/>
  <c r="AR224" i="17"/>
  <c r="AO224" i="17"/>
  <c r="AL224" i="17"/>
  <c r="AI224" i="17"/>
  <c r="AF224" i="17"/>
  <c r="AC224" i="17"/>
  <c r="CN223" i="17"/>
  <c r="CK223" i="17"/>
  <c r="CH223" i="17"/>
  <c r="CE223" i="17"/>
  <c r="CB223" i="17"/>
  <c r="BY223" i="17"/>
  <c r="BV223" i="17"/>
  <c r="BS223" i="17"/>
  <c r="BP223" i="17"/>
  <c r="BM223" i="17"/>
  <c r="BJ223" i="17"/>
  <c r="BG223" i="17"/>
  <c r="BD223" i="17"/>
  <c r="BA223" i="17"/>
  <c r="AX223" i="17"/>
  <c r="AU223" i="17"/>
  <c r="AR223" i="17"/>
  <c r="AO223" i="17"/>
  <c r="AL223" i="17"/>
  <c r="AI223" i="17"/>
  <c r="AF223" i="17"/>
  <c r="AC223" i="17"/>
  <c r="CN222" i="17"/>
  <c r="CK222" i="17"/>
  <c r="CH222" i="17"/>
  <c r="CE222" i="17"/>
  <c r="CB222" i="17"/>
  <c r="BY222" i="17"/>
  <c r="BV222" i="17"/>
  <c r="BS222" i="17"/>
  <c r="BP222" i="17"/>
  <c r="BM222" i="17"/>
  <c r="BJ222" i="17"/>
  <c r="BG222" i="17"/>
  <c r="BD222" i="17"/>
  <c r="BA222" i="17"/>
  <c r="AX222" i="17"/>
  <c r="AU222" i="17"/>
  <c r="AR222" i="17"/>
  <c r="AO222" i="17"/>
  <c r="AL222" i="17"/>
  <c r="AI222" i="17"/>
  <c r="AF222" i="17"/>
  <c r="AC222" i="17"/>
  <c r="Z221" i="17"/>
  <c r="Z220" i="17"/>
  <c r="Z219" i="17"/>
  <c r="Z218" i="17"/>
  <c r="Z217" i="17"/>
  <c r="Z216" i="17"/>
  <c r="Z215" i="17"/>
  <c r="Z214" i="17"/>
  <c r="Z213" i="17"/>
  <c r="Z212" i="17"/>
  <c r="Z211" i="17"/>
  <c r="Z210" i="17"/>
  <c r="Z209" i="17"/>
  <c r="Z208" i="17"/>
  <c r="Z207" i="17"/>
  <c r="Z206" i="17"/>
  <c r="Z205" i="17"/>
  <c r="Z204" i="17"/>
  <c r="Z203" i="17"/>
  <c r="Z202" i="17"/>
  <c r="Z201" i="17"/>
  <c r="Z200" i="17"/>
  <c r="Z199" i="17"/>
  <c r="Z198" i="17"/>
  <c r="Z197" i="17"/>
  <c r="Z196" i="17"/>
  <c r="Z195" i="17"/>
  <c r="Z194" i="17"/>
  <c r="Z193" i="17"/>
  <c r="Z192" i="17"/>
  <c r="Z191" i="17"/>
  <c r="Z190" i="17"/>
  <c r="Z189" i="17"/>
  <c r="Z188" i="17"/>
  <c r="Z187" i="17"/>
  <c r="Z186" i="17"/>
  <c r="Z185" i="17"/>
  <c r="Z184" i="17"/>
  <c r="Z183" i="17"/>
  <c r="Z182" i="17"/>
  <c r="Z181" i="17"/>
  <c r="Z180" i="17"/>
  <c r="Z179" i="17"/>
  <c r="Z178" i="17"/>
  <c r="Z177" i="17"/>
  <c r="Z176" i="17"/>
  <c r="Z175" i="17"/>
  <c r="Z174" i="17"/>
  <c r="Z173" i="17"/>
  <c r="Z172" i="17"/>
  <c r="Z171" i="17"/>
  <c r="Z170" i="17"/>
  <c r="Z169" i="17"/>
  <c r="Z168" i="17"/>
  <c r="Z167" i="17"/>
  <c r="Z166" i="17"/>
  <c r="CF156" i="17"/>
  <c r="CD156" i="17"/>
  <c r="CB156" i="17"/>
  <c r="BZ156" i="17"/>
  <c r="BX156" i="17"/>
  <c r="BV156" i="17"/>
  <c r="BT156" i="17"/>
  <c r="BR156" i="17"/>
  <c r="BP156" i="17"/>
  <c r="BN156" i="17"/>
  <c r="BL156" i="17"/>
  <c r="BJ156" i="17"/>
  <c r="BH156" i="17"/>
  <c r="BF156" i="17"/>
  <c r="BD156" i="17"/>
  <c r="BB156" i="17"/>
  <c r="AZ156" i="17"/>
  <c r="AX156" i="17"/>
  <c r="AV156" i="17"/>
  <c r="AT156" i="17"/>
  <c r="AR156" i="17"/>
  <c r="AP156" i="17"/>
  <c r="CF154" i="17"/>
  <c r="CD154" i="17"/>
  <c r="CD158" i="17" s="1"/>
  <c r="CB154" i="17"/>
  <c r="CB158" i="17" s="1"/>
  <c r="BZ154" i="17"/>
  <c r="BX154" i="17"/>
  <c r="BV154" i="17"/>
  <c r="BT154" i="17"/>
  <c r="BR154" i="17"/>
  <c r="BP154" i="17"/>
  <c r="BN154" i="17"/>
  <c r="BL154" i="17"/>
  <c r="BJ154" i="17"/>
  <c r="BH154" i="17"/>
  <c r="BF154" i="17"/>
  <c r="BF158" i="17" s="1"/>
  <c r="BD154" i="17"/>
  <c r="BD158" i="17" s="1"/>
  <c r="BB154" i="17"/>
  <c r="AZ154" i="17"/>
  <c r="AX154" i="17"/>
  <c r="AV154" i="17"/>
  <c r="AT154" i="17"/>
  <c r="AR154" i="17"/>
  <c r="AP154" i="17"/>
  <c r="AL153" i="17"/>
  <c r="AN153" i="17" s="1"/>
  <c r="A153" i="17"/>
  <c r="AL152" i="17"/>
  <c r="CK152" i="17" s="1"/>
  <c r="A152" i="17"/>
  <c r="AL151" i="17"/>
  <c r="AN151" i="17" s="1"/>
  <c r="A151" i="17"/>
  <c r="AL150" i="17"/>
  <c r="CK150" i="17" s="1"/>
  <c r="A150" i="17"/>
  <c r="AL149" i="17"/>
  <c r="CK149" i="17" s="1"/>
  <c r="CN149" i="17" s="1"/>
  <c r="A149" i="17"/>
  <c r="AL148" i="17"/>
  <c r="CK148" i="17" s="1"/>
  <c r="A148" i="17"/>
  <c r="AL147" i="17"/>
  <c r="CK147" i="17" s="1"/>
  <c r="CN147" i="17" s="1"/>
  <c r="A147" i="17"/>
  <c r="AL146" i="17"/>
  <c r="CK146" i="17" s="1"/>
  <c r="A146" i="17"/>
  <c r="AL145" i="17"/>
  <c r="AN145" i="17" s="1"/>
  <c r="A145" i="17"/>
  <c r="AL144" i="17"/>
  <c r="CK144" i="17" s="1"/>
  <c r="A144" i="17"/>
  <c r="AL143" i="17"/>
  <c r="CK143" i="17" s="1"/>
  <c r="CN143" i="17" s="1"/>
  <c r="A143" i="17"/>
  <c r="AL142" i="17"/>
  <c r="CK142" i="17" s="1"/>
  <c r="A142" i="17"/>
  <c r="AL141" i="17"/>
  <c r="AN141" i="17" s="1"/>
  <c r="A141" i="17"/>
  <c r="AL140" i="17"/>
  <c r="CK140" i="17" s="1"/>
  <c r="A140" i="17"/>
  <c r="AL139" i="17"/>
  <c r="AN139" i="17" s="1"/>
  <c r="A139" i="17"/>
  <c r="AL138" i="17"/>
  <c r="CK138" i="17" s="1"/>
  <c r="A138" i="17"/>
  <c r="AL137" i="17"/>
  <c r="AN137" i="17" s="1"/>
  <c r="A137" i="17"/>
  <c r="AL136" i="17"/>
  <c r="CK136" i="17" s="1"/>
  <c r="A136" i="17"/>
  <c r="AL135" i="17"/>
  <c r="AN135" i="17" s="1"/>
  <c r="A135" i="17"/>
  <c r="AL134" i="17"/>
  <c r="CK134" i="17" s="1"/>
  <c r="A134" i="17"/>
  <c r="AL133" i="17"/>
  <c r="CK133" i="17" s="1"/>
  <c r="CN133" i="17" s="1"/>
  <c r="A133" i="17"/>
  <c r="AL132" i="17"/>
  <c r="CK132" i="17" s="1"/>
  <c r="A132" i="17"/>
  <c r="AL131" i="17"/>
  <c r="A131" i="17"/>
  <c r="AL130" i="17"/>
  <c r="CK130" i="17" s="1"/>
  <c r="A130" i="17"/>
  <c r="AL129" i="17"/>
  <c r="AN129" i="17" s="1"/>
  <c r="A129" i="17"/>
  <c r="AL128" i="17"/>
  <c r="CK128" i="17" s="1"/>
  <c r="A128" i="17"/>
  <c r="AL127" i="17"/>
  <c r="CK127" i="17" s="1"/>
  <c r="CN127" i="17" s="1"/>
  <c r="A127" i="17"/>
  <c r="AL126" i="17"/>
  <c r="CK126" i="17" s="1"/>
  <c r="A126" i="17"/>
  <c r="AL125" i="17"/>
  <c r="AN125" i="17" s="1"/>
  <c r="A125" i="17"/>
  <c r="AL124" i="17"/>
  <c r="CK124" i="17" s="1"/>
  <c r="A124" i="17"/>
  <c r="AL123" i="17"/>
  <c r="CK123" i="17" s="1"/>
  <c r="CN123" i="17" s="1"/>
  <c r="A123" i="17"/>
  <c r="AL122" i="17"/>
  <c r="CK122" i="17" s="1"/>
  <c r="A122" i="17"/>
  <c r="AL121" i="17"/>
  <c r="AN121" i="17" s="1"/>
  <c r="A121" i="17"/>
  <c r="AL120" i="17"/>
  <c r="CK120" i="17" s="1"/>
  <c r="A120" i="17"/>
  <c r="AL119" i="17"/>
  <c r="A119" i="17"/>
  <c r="AL118" i="17"/>
  <c r="CK118" i="17" s="1"/>
  <c r="A118" i="17"/>
  <c r="AL117" i="17"/>
  <c r="CK117" i="17" s="1"/>
  <c r="CN117" i="17" s="1"/>
  <c r="A117" i="17"/>
  <c r="AL116" i="17"/>
  <c r="A116" i="17"/>
  <c r="AL115" i="17"/>
  <c r="CK115" i="17" s="1"/>
  <c r="CN115" i="17" s="1"/>
  <c r="A115" i="17"/>
  <c r="AL114" i="17"/>
  <c r="CK114" i="17" s="1"/>
  <c r="A114" i="17"/>
  <c r="AJ103" i="17"/>
  <c r="AF103" i="17"/>
  <c r="AB103" i="17"/>
  <c r="P50" i="17" s="1"/>
  <c r="T103" i="17"/>
  <c r="P41" i="17" s="1"/>
  <c r="P103" i="17"/>
  <c r="AN95" i="17"/>
  <c r="AN94" i="17"/>
  <c r="X93" i="17"/>
  <c r="AN93" i="17" s="1"/>
  <c r="X92" i="17"/>
  <c r="AN92" i="17" s="1"/>
  <c r="AJ90" i="17"/>
  <c r="AF90" i="17"/>
  <c r="AB90" i="17"/>
  <c r="T90" i="17"/>
  <c r="P40" i="17" s="1"/>
  <c r="P49" i="17" s="1"/>
  <c r="P90" i="17"/>
  <c r="X89" i="17"/>
  <c r="AN89" i="17" s="1"/>
  <c r="X88" i="17"/>
  <c r="AN88" i="17" s="1"/>
  <c r="X87" i="17"/>
  <c r="AN87" i="17" s="1"/>
  <c r="X86" i="17"/>
  <c r="AN86" i="17" s="1"/>
  <c r="X85" i="17"/>
  <c r="AN85" i="17" s="1"/>
  <c r="X84" i="17"/>
  <c r="AN84" i="17" s="1"/>
  <c r="X83" i="17"/>
  <c r="AN83" i="17" s="1"/>
  <c r="X82" i="17"/>
  <c r="AN82" i="17" s="1"/>
  <c r="X81" i="17"/>
  <c r="AN81" i="17" s="1"/>
  <c r="X80" i="17"/>
  <c r="AN80" i="17" s="1"/>
  <c r="X79" i="17"/>
  <c r="AN79" i="17" s="1"/>
  <c r="T66" i="17"/>
  <c r="AR29" i="17" s="1"/>
  <c r="P66" i="17"/>
  <c r="J255" i="17" s="1"/>
  <c r="T61" i="17"/>
  <c r="T57" i="17"/>
  <c r="T48" i="17"/>
  <c r="X48" i="17" s="1"/>
  <c r="T45" i="17"/>
  <c r="L30" i="17" s="1"/>
  <c r="P45" i="17"/>
  <c r="L29" i="17" s="1"/>
  <c r="X44" i="17"/>
  <c r="X43" i="17"/>
  <c r="AJ30" i="17"/>
  <c r="AB30" i="17"/>
  <c r="X30" i="17"/>
  <c r="T29" i="17" l="1"/>
  <c r="T32" i="17"/>
  <c r="T33" i="17" s="1"/>
  <c r="CF158" i="17"/>
  <c r="BJ158" i="17"/>
  <c r="BB158" i="17"/>
  <c r="AV158" i="17"/>
  <c r="CK131" i="17"/>
  <c r="CN131" i="17" s="1"/>
  <c r="AN119" i="17"/>
  <c r="CK119" i="17"/>
  <c r="CN119" i="17" s="1"/>
  <c r="AZ158" i="17"/>
  <c r="AX158" i="17"/>
  <c r="T62" i="17"/>
  <c r="AN30" i="17"/>
  <c r="M255" i="17"/>
  <c r="AN123" i="17"/>
  <c r="AN127" i="17"/>
  <c r="BH158" i="17"/>
  <c r="BL158" i="17"/>
  <c r="AN131" i="17"/>
  <c r="CK135" i="17"/>
  <c r="CN135" i="17" s="1"/>
  <c r="AN133" i="17"/>
  <c r="AP158" i="17"/>
  <c r="BV158" i="17"/>
  <c r="AN143" i="17"/>
  <c r="AR158" i="17"/>
  <c r="BX158" i="17"/>
  <c r="AT158" i="17"/>
  <c r="BZ158" i="17"/>
  <c r="V304" i="17"/>
  <c r="AN115" i="17"/>
  <c r="AN147" i="17"/>
  <c r="AN117" i="17"/>
  <c r="AN149" i="17"/>
  <c r="CK129" i="17"/>
  <c r="CN129" i="17" s="1"/>
  <c r="BT158" i="17"/>
  <c r="V295" i="17"/>
  <c r="BP158" i="17"/>
  <c r="V268" i="17"/>
  <c r="V310" i="17"/>
  <c r="V269" i="17"/>
  <c r="V305" i="17"/>
  <c r="CK151" i="17"/>
  <c r="CN151" i="17" s="1"/>
  <c r="V300" i="17"/>
  <c r="V311" i="17"/>
  <c r="V275" i="17"/>
  <c r="AL156" i="17"/>
  <c r="P58" i="17" s="1"/>
  <c r="AF29" i="17" s="1"/>
  <c r="V291" i="17"/>
  <c r="BN158" i="17"/>
  <c r="Z222" i="17"/>
  <c r="V307" i="17"/>
  <c r="BJ157" i="17"/>
  <c r="Z223" i="17"/>
  <c r="BR158" i="17"/>
  <c r="Z224" i="17"/>
  <c r="CK121" i="17"/>
  <c r="CN121" i="17" s="1"/>
  <c r="V308" i="17"/>
  <c r="X90" i="17"/>
  <c r="V299" i="17"/>
  <c r="CK137" i="17"/>
  <c r="CN137" i="17" s="1"/>
  <c r="V265" i="17"/>
  <c r="V270" i="17"/>
  <c r="V281" i="17"/>
  <c r="BN157" i="17"/>
  <c r="AR155" i="17"/>
  <c r="V276" i="17"/>
  <c r="V306" i="17"/>
  <c r="BX155" i="17"/>
  <c r="V296" i="17"/>
  <c r="V301" i="17"/>
  <c r="AB105" i="17"/>
  <c r="CK116" i="17"/>
  <c r="CK156" i="17" s="1"/>
  <c r="P59" i="17" s="1"/>
  <c r="P60" i="17" s="1"/>
  <c r="AJ29" i="17" s="1"/>
  <c r="V271" i="17"/>
  <c r="M313" i="17"/>
  <c r="P105" i="17"/>
  <c r="V266" i="17"/>
  <c r="V277" i="17"/>
  <c r="V282" i="17"/>
  <c r="P313" i="17"/>
  <c r="V302" i="17"/>
  <c r="V272" i="17"/>
  <c r="S313" i="17"/>
  <c r="V297" i="17"/>
  <c r="AN103" i="17"/>
  <c r="V312" i="17"/>
  <c r="AF105" i="17"/>
  <c r="V267" i="17"/>
  <c r="V283" i="17"/>
  <c r="V298" i="17"/>
  <c r="AN29" i="17"/>
  <c r="AJ105" i="17"/>
  <c r="CK153" i="17"/>
  <c r="CN153" i="17" s="1"/>
  <c r="V262" i="17"/>
  <c r="V273" i="17"/>
  <c r="V278" i="17"/>
  <c r="V293" i="17"/>
  <c r="BL157" i="17"/>
  <c r="BP157" i="17"/>
  <c r="CK145" i="17"/>
  <c r="CN145" i="17" s="1"/>
  <c r="V294" i="17"/>
  <c r="AN90" i="17"/>
  <c r="Z225" i="17"/>
  <c r="V263" i="17"/>
  <c r="V279" i="17"/>
  <c r="M284" i="17"/>
  <c r="V274" i="17"/>
  <c r="V309" i="17"/>
  <c r="V264" i="17"/>
  <c r="V280" i="17"/>
  <c r="T41" i="17"/>
  <c r="P51" i="17"/>
  <c r="P52" i="17" s="1"/>
  <c r="AV155" i="17"/>
  <c r="T50" i="17"/>
  <c r="T30" i="17" s="1"/>
  <c r="CK125" i="17"/>
  <c r="CN125" i="17" s="1"/>
  <c r="CK141" i="17"/>
  <c r="CN141" i="17" s="1"/>
  <c r="AL154" i="17"/>
  <c r="AX155" i="17"/>
  <c r="CD155" i="17"/>
  <c r="BR157" i="17"/>
  <c r="CB155" i="17"/>
  <c r="P42" i="17"/>
  <c r="T105" i="17"/>
  <c r="AZ155" i="17"/>
  <c r="CF155" i="17"/>
  <c r="BT157" i="17"/>
  <c r="P284" i="17"/>
  <c r="V292" i="17"/>
  <c r="BZ155" i="17"/>
  <c r="BB155" i="17"/>
  <c r="AP157" i="17"/>
  <c r="BV157" i="17"/>
  <c r="S284" i="17"/>
  <c r="AT155" i="17"/>
  <c r="BD155" i="17"/>
  <c r="AR157" i="17"/>
  <c r="BX157" i="17"/>
  <c r="Y255" i="17"/>
  <c r="BF155" i="17"/>
  <c r="AT157" i="17"/>
  <c r="BZ157" i="17"/>
  <c r="BH155" i="17"/>
  <c r="AV157" i="17"/>
  <c r="CB157" i="17"/>
  <c r="BJ155" i="17"/>
  <c r="AX157" i="17"/>
  <c r="CD157" i="17"/>
  <c r="T40" i="17"/>
  <c r="CK139" i="17"/>
  <c r="CN139" i="17" s="1"/>
  <c r="X40" i="17"/>
  <c r="BL155" i="17"/>
  <c r="AZ157" i="17"/>
  <c r="CF157" i="17"/>
  <c r="AL157" i="17"/>
  <c r="AL155" i="17"/>
  <c r="BN155" i="17"/>
  <c r="BB157" i="17"/>
  <c r="BP155" i="17"/>
  <c r="BD157" i="17"/>
  <c r="X103" i="17"/>
  <c r="BR155" i="17"/>
  <c r="BF157" i="17"/>
  <c r="X45" i="17"/>
  <c r="L32" i="17" s="1"/>
  <c r="BT155" i="17"/>
  <c r="BH157" i="17"/>
  <c r="AP155" i="17"/>
  <c r="BV155" i="17"/>
  <c r="L33" i="17" l="1"/>
  <c r="X58" i="17"/>
  <c r="AF32" i="17" s="1"/>
  <c r="AF33" i="17" s="1"/>
  <c r="BL159" i="17"/>
  <c r="BN159" i="17"/>
  <c r="AP159" i="17"/>
  <c r="CK154" i="17"/>
  <c r="P55" i="17" s="1"/>
  <c r="P56" i="17" s="1"/>
  <c r="X105" i="17"/>
  <c r="BJ159" i="17"/>
  <c r="BP159" i="17"/>
  <c r="AN155" i="17"/>
  <c r="BT159" i="17"/>
  <c r="BV159" i="17"/>
  <c r="CK157" i="17"/>
  <c r="CN155" i="17"/>
  <c r="P255" i="17"/>
  <c r="X64" i="17" s="1"/>
  <c r="X66" i="17" s="1"/>
  <c r="AN32" i="17" s="1"/>
  <c r="AN33" i="17" s="1"/>
  <c r="V313" i="17"/>
  <c r="CN157" i="17"/>
  <c r="V284" i="17"/>
  <c r="BR159" i="17"/>
  <c r="AN157" i="17"/>
  <c r="BX159" i="17"/>
  <c r="AN105" i="17"/>
  <c r="AR159" i="17"/>
  <c r="CD159" i="17"/>
  <c r="AX159" i="17"/>
  <c r="AL158" i="17"/>
  <c r="P54" i="17"/>
  <c r="X29" i="17" s="1"/>
  <c r="P61" i="17"/>
  <c r="BZ159" i="17"/>
  <c r="BB159" i="17"/>
  <c r="X54" i="17"/>
  <c r="X32" i="17" s="1"/>
  <c r="X33" i="17" s="1"/>
  <c r="AL159" i="17"/>
  <c r="BF159" i="17"/>
  <c r="BH159" i="17"/>
  <c r="X49" i="17"/>
  <c r="AV159" i="17"/>
  <c r="CF159" i="17"/>
  <c r="T49" i="17"/>
  <c r="T42" i="17"/>
  <c r="AZ159" i="17"/>
  <c r="T51" i="17"/>
  <c r="X41" i="17"/>
  <c r="BD159" i="17"/>
  <c r="AT159" i="17"/>
  <c r="P46" i="17"/>
  <c r="H29" i="17"/>
  <c r="P29" i="17" s="1"/>
  <c r="CB159" i="17"/>
  <c r="CK155" i="17"/>
  <c r="X59" i="17" l="1"/>
  <c r="P57" i="17"/>
  <c r="P62" i="17" s="1"/>
  <c r="CK158" i="17"/>
  <c r="AN159" i="17"/>
  <c r="CN159" i="17"/>
  <c r="X51" i="17"/>
  <c r="X55" i="17"/>
  <c r="AB32" i="17" s="1"/>
  <c r="AB33" i="17" s="1"/>
  <c r="CK159" i="17"/>
  <c r="T52" i="17"/>
  <c r="AB29" i="17"/>
  <c r="G13" i="17"/>
  <c r="P68" i="17"/>
  <c r="T68" i="17" s="1"/>
  <c r="T46" i="17"/>
  <c r="H30" i="17"/>
  <c r="P30" i="17" s="1"/>
  <c r="AV30" i="17" s="1"/>
  <c r="AZ30" i="17" s="1"/>
  <c r="X52" i="17"/>
  <c r="X42" i="17"/>
  <c r="H32" i="17" s="1"/>
  <c r="X61" i="17" l="1"/>
  <c r="AJ32" i="17"/>
  <c r="AJ33" i="17" s="1"/>
  <c r="H33" i="17"/>
  <c r="P33" i="17" s="1"/>
  <c r="P32" i="17"/>
  <c r="AV32" i="17" s="1"/>
  <c r="AV29" i="17"/>
  <c r="AZ29" i="17" s="1"/>
  <c r="X46" i="17"/>
  <c r="X57" i="17"/>
  <c r="X62" i="17" s="1"/>
  <c r="X68" i="17"/>
  <c r="T70" i="17"/>
  <c r="P70" i="17"/>
  <c r="AV33" i="17" l="1"/>
  <c r="AZ33" i="17" s="1"/>
  <c r="AZ32" i="17"/>
  <c r="X70" i="17"/>
  <c r="J21" i="17" l="1"/>
  <c r="W21" i="17" l="1"/>
  <c r="S12" i="14" l="1"/>
  <c r="T12" i="14"/>
  <c r="S9" i="14"/>
  <c r="T9" i="14"/>
  <c r="S10" i="14"/>
  <c r="T10" i="14"/>
  <c r="S11" i="14"/>
  <c r="T11" i="14"/>
  <c r="R10" i="14"/>
  <c r="R11" i="14"/>
  <c r="R9" i="14"/>
  <c r="R12" i="14"/>
</calcChain>
</file>

<file path=xl/sharedStrings.xml><?xml version="1.0" encoding="utf-8"?>
<sst xmlns="http://schemas.openxmlformats.org/spreadsheetml/2006/main" count="744" uniqueCount="301">
  <si>
    <t>프로젝트명</t>
    <phoneticPr fontId="1" type="noConversion"/>
  </si>
  <si>
    <t>고객명</t>
    <phoneticPr fontId="1" type="noConversion"/>
  </si>
  <si>
    <t>구축기간</t>
    <phoneticPr fontId="1" type="noConversion"/>
  </si>
  <si>
    <t>매출액</t>
    <phoneticPr fontId="1" type="noConversion"/>
  </si>
  <si>
    <t>영업담당</t>
    <phoneticPr fontId="1" type="noConversion"/>
  </si>
  <si>
    <t>담당 PM</t>
    <phoneticPr fontId="1" type="noConversion"/>
  </si>
  <si>
    <t>2. 수주 내용 요약 및 수지차</t>
    <phoneticPr fontId="1" type="noConversion"/>
  </si>
  <si>
    <t>용역매출</t>
    <phoneticPr fontId="1" type="noConversion"/>
  </si>
  <si>
    <t>합계</t>
    <phoneticPr fontId="1" type="noConversion"/>
  </si>
  <si>
    <t>구분</t>
    <phoneticPr fontId="1" type="noConversion"/>
  </si>
  <si>
    <t>매입액</t>
    <phoneticPr fontId="1" type="noConversion"/>
  </si>
  <si>
    <t>내부 인력</t>
    <phoneticPr fontId="1" type="noConversion"/>
  </si>
  <si>
    <t>외주인력</t>
    <phoneticPr fontId="1" type="noConversion"/>
  </si>
  <si>
    <t>비용</t>
    <phoneticPr fontId="1" type="noConversion"/>
  </si>
  <si>
    <t>영업이익</t>
    <phoneticPr fontId="1" type="noConversion"/>
  </si>
  <si>
    <t>M/M</t>
    <phoneticPr fontId="1" type="noConversion"/>
  </si>
  <si>
    <t>금액</t>
    <phoneticPr fontId="1" type="noConversion"/>
  </si>
  <si>
    <t>매출이익률</t>
    <phoneticPr fontId="1" type="noConversion"/>
  </si>
  <si>
    <t>계획</t>
    <phoneticPr fontId="1" type="noConversion"/>
  </si>
  <si>
    <t>실행</t>
    <phoneticPr fontId="1" type="noConversion"/>
  </si>
  <si>
    <t>기간내</t>
    <phoneticPr fontId="1" type="noConversion"/>
  </si>
  <si>
    <t>지연</t>
    <phoneticPr fontId="1" type="noConversion"/>
  </si>
  <si>
    <t>1. 프로젝트 개요</t>
    <phoneticPr fontId="1" type="noConversion"/>
  </si>
  <si>
    <t>매출</t>
    <phoneticPr fontId="1" type="noConversion"/>
  </si>
  <si>
    <t>상품 매출</t>
    <phoneticPr fontId="1" type="noConversion"/>
  </si>
  <si>
    <t>자사 제품</t>
    <phoneticPr fontId="1" type="noConversion"/>
  </si>
  <si>
    <t>타사 상품</t>
    <phoneticPr fontId="1" type="noConversion"/>
  </si>
  <si>
    <t>소계</t>
    <phoneticPr fontId="1" type="noConversion"/>
  </si>
  <si>
    <t>자사 인력</t>
    <phoneticPr fontId="1" type="noConversion"/>
  </si>
  <si>
    <t>외주 인력</t>
    <phoneticPr fontId="1" type="noConversion"/>
  </si>
  <si>
    <t>매출액 소계</t>
    <phoneticPr fontId="1" type="noConversion"/>
  </si>
  <si>
    <t>제품원가</t>
    <phoneticPr fontId="1" type="noConversion"/>
  </si>
  <si>
    <t>손익</t>
    <phoneticPr fontId="1" type="noConversion"/>
  </si>
  <si>
    <t>상품원가</t>
    <phoneticPr fontId="1" type="noConversion"/>
  </si>
  <si>
    <t>상품 매출 손익 소계</t>
    <phoneticPr fontId="1" type="noConversion"/>
  </si>
  <si>
    <t>타사 인력</t>
    <phoneticPr fontId="1" type="noConversion"/>
  </si>
  <si>
    <t>자사 인력 원가</t>
    <phoneticPr fontId="1" type="noConversion"/>
  </si>
  <si>
    <t>외주 인력 원가</t>
    <phoneticPr fontId="1" type="noConversion"/>
  </si>
  <si>
    <t>용역 매출 손익 소계</t>
    <phoneticPr fontId="1" type="noConversion"/>
  </si>
  <si>
    <t>프로젝트 경비</t>
    <phoneticPr fontId="1" type="noConversion"/>
  </si>
  <si>
    <t>일반 경비</t>
    <phoneticPr fontId="1" type="noConversion"/>
  </si>
  <si>
    <t>특별 경비</t>
    <phoneticPr fontId="1" type="noConversion"/>
  </si>
  <si>
    <t>경비 소계</t>
    <phoneticPr fontId="1" type="noConversion"/>
  </si>
  <si>
    <t>프로젝트 영업 이익</t>
    <phoneticPr fontId="1" type="noConversion"/>
  </si>
  <si>
    <t>구 분</t>
    <phoneticPr fontId="1" type="noConversion"/>
  </si>
  <si>
    <t>Pre</t>
    <phoneticPr fontId="1" type="noConversion"/>
  </si>
  <si>
    <t>작성 기준 일자</t>
    <phoneticPr fontId="1" type="noConversion"/>
  </si>
  <si>
    <t>2. 제품/상품 매출 및 매입 계획</t>
    <phoneticPr fontId="1" type="noConversion"/>
  </si>
  <si>
    <t>⑴ 제품/상품 매출 및 매입 요약</t>
    <phoneticPr fontId="1" type="noConversion"/>
  </si>
  <si>
    <t>[단위 : 천원, %]</t>
    <phoneticPr fontId="1" type="noConversion"/>
  </si>
  <si>
    <t>매입</t>
    <phoneticPr fontId="1" type="noConversion"/>
  </si>
  <si>
    <t>업체명</t>
    <phoneticPr fontId="1" type="noConversion"/>
  </si>
  <si>
    <t>제품/상품명</t>
    <phoneticPr fontId="1" type="noConversion"/>
  </si>
  <si>
    <t>자사</t>
    <phoneticPr fontId="1" type="noConversion"/>
  </si>
  <si>
    <t>타사</t>
    <phoneticPr fontId="1" type="noConversion"/>
  </si>
  <si>
    <t>자사 합계</t>
    <phoneticPr fontId="1" type="noConversion"/>
  </si>
  <si>
    <t>타사 합계</t>
  </si>
  <si>
    <t>제품/상품 합계</t>
    <phoneticPr fontId="1" type="noConversion"/>
  </si>
  <si>
    <t>비고</t>
    <phoneticPr fontId="1" type="noConversion"/>
  </si>
  <si>
    <t>3. 내부/외부 인력 투입 계획</t>
    <phoneticPr fontId="1" type="noConversion"/>
  </si>
  <si>
    <t>⑴ 내부/외부 인력 투입 계획 (월별 세부)</t>
    <phoneticPr fontId="1" type="noConversion"/>
  </si>
  <si>
    <t>역할Ⅰ</t>
    <phoneticPr fontId="1" type="noConversion"/>
  </si>
  <si>
    <t>역할Ⅱ</t>
    <phoneticPr fontId="1" type="noConversion"/>
  </si>
  <si>
    <t>M2</t>
    <phoneticPr fontId="1" type="noConversion"/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</si>
  <si>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</si>
  <si>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</si>
  <si>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</si>
  <si>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</si>
  <si>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</si>
  <si>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</si>
  <si>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</si>
  <si>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</si>
  <si>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</si>
  <si>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</si>
  <si>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</si>
  <si>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</si>
  <si>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11월</t>
  </si>
  <si>
    <t>12월</t>
  </si>
  <si>
    <t>6월</t>
  </si>
  <si>
    <t>7월</t>
  </si>
  <si>
    <t>8월</t>
  </si>
  <si>
    <t>9월</t>
  </si>
  <si>
    <t>10월</t>
  </si>
  <si>
    <t>2014년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</si>
  <si>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</si>
  <si>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</si>
  <si>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</si>
  <si>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</si>
  <si>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</si>
  <si>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D2</t>
    <phoneticPr fontId="1" type="noConversion"/>
  </si>
  <si>
    <t>등급</t>
    <phoneticPr fontId="1" type="noConversion"/>
  </si>
  <si>
    <t>직급</t>
    <phoneticPr fontId="1" type="noConversion"/>
  </si>
  <si>
    <t>성함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</si>
  <si>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</si>
  <si>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</si>
  <si>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</si>
  <si>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</si>
  <si>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</si>
  <si>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M1</t>
    <phoneticPr fontId="1" type="noConversion"/>
  </si>
  <si>
    <t>D1</t>
    <phoneticPr fontId="1" type="noConversion"/>
  </si>
  <si>
    <t>D3</t>
    <phoneticPr fontId="1" type="noConversion"/>
  </si>
  <si>
    <t>2013년</t>
    <phoneticPr fontId="1" type="noConversion"/>
  </si>
  <si>
    <t>2015년</t>
    <phoneticPr fontId="1" type="noConversion"/>
  </si>
  <si>
    <t>11월</t>
    <phoneticPr fontId="1" type="noConversion"/>
  </si>
  <si>
    <t>12월</t>
    <phoneticPr fontId="1" type="noConversion"/>
  </si>
  <si>
    <t>계획
/
실행</t>
    <phoneticPr fontId="1" type="noConversion"/>
  </si>
  <si>
    <t>내부</t>
    <phoneticPr fontId="1" type="noConversion"/>
  </si>
  <si>
    <t>외부</t>
    <phoneticPr fontId="1" type="noConversion"/>
  </si>
  <si>
    <t>전체</t>
    <phoneticPr fontId="1" type="noConversion"/>
  </si>
  <si>
    <t>※ 2014년 ㈜위엠비 내부 기준단가 정리표</t>
  </si>
  <si>
    <t>소속 및 직군</t>
  </si>
  <si>
    <t>직군</t>
  </si>
  <si>
    <t>직급</t>
  </si>
  <si>
    <t>등급</t>
  </si>
  <si>
    <t>2014년</t>
  </si>
  <si>
    <t>제안단가</t>
  </si>
  <si>
    <t>내부단가</t>
  </si>
  <si>
    <t>기준</t>
  </si>
  <si>
    <t>적용</t>
  </si>
  <si>
    <t>할인률</t>
  </si>
  <si>
    <t>마진률</t>
  </si>
  <si>
    <t>위엠비_컨설팅</t>
  </si>
  <si>
    <t>컨설팅</t>
  </si>
  <si>
    <t>상무</t>
  </si>
  <si>
    <t>이사</t>
  </si>
  <si>
    <t>부장</t>
  </si>
  <si>
    <t>차장</t>
  </si>
  <si>
    <t>과장</t>
  </si>
  <si>
    <t>대리</t>
  </si>
  <si>
    <t>사원</t>
  </si>
  <si>
    <t>평균</t>
  </si>
  <si>
    <t>위엠비_개발</t>
  </si>
  <si>
    <t>개발</t>
  </si>
  <si>
    <t>외주_컨설팅</t>
  </si>
  <si>
    <t>컨_특</t>
  </si>
  <si>
    <t>컨_고</t>
  </si>
  <si>
    <t>컨_중</t>
  </si>
  <si>
    <t>컨_초</t>
  </si>
  <si>
    <t>외주_개발</t>
  </si>
  <si>
    <t>개_특</t>
  </si>
  <si>
    <t>개_고</t>
  </si>
  <si>
    <t>개_중</t>
  </si>
  <si>
    <t>개_초</t>
  </si>
  <si>
    <t>상무</t>
    <phoneticPr fontId="1" type="noConversion"/>
  </si>
  <si>
    <t>이사</t>
    <phoneticPr fontId="1" type="noConversion"/>
  </si>
  <si>
    <t>사원</t>
    <phoneticPr fontId="1" type="noConversion"/>
  </si>
  <si>
    <t>X</t>
    <phoneticPr fontId="1" type="noConversion"/>
  </si>
  <si>
    <t>위엠비_컨설팅</t>
    <phoneticPr fontId="1" type="noConversion"/>
  </si>
  <si>
    <t>위엠비_개발</t>
    <phoneticPr fontId="1" type="noConversion"/>
  </si>
  <si>
    <t>외주_컨설팅</t>
    <phoneticPr fontId="1" type="noConversion"/>
  </si>
  <si>
    <t>외주_개발</t>
    <phoneticPr fontId="1" type="noConversion"/>
  </si>
  <si>
    <t>개_특</t>
    <phoneticPr fontId="1" type="noConversion"/>
  </si>
  <si>
    <t>개_고</t>
    <phoneticPr fontId="1" type="noConversion"/>
  </si>
  <si>
    <t>개_중</t>
    <phoneticPr fontId="1" type="noConversion"/>
  </si>
  <si>
    <t>개_초</t>
    <phoneticPr fontId="1" type="noConversion"/>
  </si>
  <si>
    <t>컨_특</t>
    <phoneticPr fontId="1" type="noConversion"/>
  </si>
  <si>
    <t>컨_고</t>
    <phoneticPr fontId="1" type="noConversion"/>
  </si>
  <si>
    <t>컨_중</t>
    <phoneticPr fontId="1" type="noConversion"/>
  </si>
  <si>
    <t>컨_초</t>
    <phoneticPr fontId="1" type="noConversion"/>
  </si>
  <si>
    <t>소속 및 직군</t>
    <phoneticPr fontId="1" type="noConversion"/>
  </si>
  <si>
    <t>표준단가</t>
    <phoneticPr fontId="1" type="noConversion"/>
  </si>
  <si>
    <t>투입 금액</t>
    <phoneticPr fontId="1" type="noConversion"/>
  </si>
  <si>
    <t>⑵ 외주 업체별 계획 (금액 기준 / 월별 세부)</t>
    <phoneticPr fontId="1" type="noConversion"/>
  </si>
  <si>
    <t>M/M
/
금액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</si>
  <si>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</si>
  <si>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</si>
  <si>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</si>
  <si>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</si>
  <si>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</si>
  <si>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합 계</t>
    <phoneticPr fontId="1" type="noConversion"/>
  </si>
  <si>
    <t>4. 비용 계획 및 실행</t>
    <phoneticPr fontId="1" type="noConversion"/>
  </si>
  <si>
    <t>계정</t>
    <phoneticPr fontId="1" type="noConversion"/>
  </si>
  <si>
    <t>실행 합계</t>
    <phoneticPr fontId="1" type="noConversion"/>
  </si>
  <si>
    <t>계획 금액</t>
    <phoneticPr fontId="1" type="noConversion"/>
  </si>
  <si>
    <t>PJT 비용 합계</t>
    <phoneticPr fontId="1" type="noConversion"/>
  </si>
  <si>
    <t>시간외 근무 위로금</t>
    <phoneticPr fontId="1" type="noConversion"/>
  </si>
  <si>
    <t>직원식대</t>
    <phoneticPr fontId="1" type="noConversion"/>
  </si>
  <si>
    <t>부식대</t>
    <phoneticPr fontId="1" type="noConversion"/>
  </si>
  <si>
    <t>회식대</t>
    <phoneticPr fontId="1" type="noConversion"/>
  </si>
  <si>
    <t>회의비(복리)</t>
    <phoneticPr fontId="1" type="noConversion"/>
  </si>
  <si>
    <t>교통비</t>
    <phoneticPr fontId="1" type="noConversion"/>
  </si>
  <si>
    <t>숙박비</t>
    <phoneticPr fontId="1" type="noConversion"/>
  </si>
  <si>
    <t>국내출장비지원</t>
    <phoneticPr fontId="1" type="noConversion"/>
  </si>
  <si>
    <t>여비교통비</t>
    <phoneticPr fontId="1" type="noConversion"/>
  </si>
  <si>
    <t>주유대</t>
    <phoneticPr fontId="1" type="noConversion"/>
  </si>
  <si>
    <t>접대비</t>
    <phoneticPr fontId="1" type="noConversion"/>
  </si>
  <si>
    <t>통신비</t>
    <phoneticPr fontId="1" type="noConversion"/>
  </si>
  <si>
    <t>회의비</t>
    <phoneticPr fontId="1" type="noConversion"/>
  </si>
  <si>
    <t>전체 비용 합계</t>
    <phoneticPr fontId="1" type="noConversion"/>
  </si>
  <si>
    <t>수도광열비</t>
    <phoneticPr fontId="1" type="noConversion"/>
  </si>
  <si>
    <t>임차료</t>
    <phoneticPr fontId="1" type="noConversion"/>
  </si>
  <si>
    <t>지급수수료</t>
    <phoneticPr fontId="1" type="noConversion"/>
  </si>
  <si>
    <t>소모품비</t>
    <phoneticPr fontId="1" type="noConversion"/>
  </si>
  <si>
    <t>도서인쇄비</t>
    <phoneticPr fontId="1" type="noConversion"/>
  </si>
  <si>
    <t>지급수수료(보험)</t>
    <phoneticPr fontId="1" type="noConversion"/>
  </si>
  <si>
    <t>영업</t>
    <phoneticPr fontId="1" type="noConversion"/>
  </si>
  <si>
    <t>PJT</t>
    <phoneticPr fontId="1" type="noConversion"/>
  </si>
  <si>
    <t>영업 비용 합계</t>
    <phoneticPr fontId="1" type="noConversion"/>
  </si>
  <si>
    <t>상품매출</t>
    <phoneticPr fontId="1" type="noConversion"/>
  </si>
  <si>
    <t>지연 비용</t>
    <phoneticPr fontId="1" type="noConversion"/>
  </si>
  <si>
    <t>지연비용</t>
    <phoneticPr fontId="1" type="noConversion"/>
  </si>
  <si>
    <t>운반비</t>
    <phoneticPr fontId="1" type="noConversion"/>
  </si>
  <si>
    <t>Project 정산 _ 항목별 세부</t>
    <phoneticPr fontId="1" type="noConversion"/>
  </si>
  <si>
    <t>정금옥</t>
  </si>
  <si>
    <t>TBD</t>
  </si>
  <si>
    <t>M3</t>
    <phoneticPr fontId="1" type="noConversion"/>
  </si>
  <si>
    <t>경상비용</t>
    <phoneticPr fontId="1" type="noConversion"/>
  </si>
  <si>
    <t>수석(L)</t>
    <phoneticPr fontId="1" type="noConversion"/>
  </si>
  <si>
    <t>수석(S)</t>
    <phoneticPr fontId="1" type="noConversion"/>
  </si>
  <si>
    <t>책임(M)</t>
    <phoneticPr fontId="1" type="noConversion"/>
  </si>
  <si>
    <t>책임(A)</t>
    <phoneticPr fontId="1" type="noConversion"/>
  </si>
  <si>
    <t>기타</t>
    <phoneticPr fontId="1" type="noConversion"/>
  </si>
  <si>
    <t>M4</t>
    <phoneticPr fontId="1" type="noConversion"/>
  </si>
  <si>
    <t>M6</t>
    <phoneticPr fontId="1" type="noConversion"/>
  </si>
  <si>
    <t>M7</t>
    <phoneticPr fontId="1" type="noConversion"/>
  </si>
  <si>
    <t>M8</t>
    <phoneticPr fontId="1" type="noConversion"/>
  </si>
  <si>
    <t>M5</t>
    <phoneticPr fontId="1" type="noConversion"/>
  </si>
  <si>
    <t>M3</t>
    <phoneticPr fontId="1" type="noConversion"/>
  </si>
  <si>
    <t>M6</t>
    <phoneticPr fontId="1" type="noConversion"/>
  </si>
  <si>
    <t>M9</t>
    <phoneticPr fontId="1" type="noConversion"/>
  </si>
  <si>
    <t>M10</t>
    <phoneticPr fontId="1" type="noConversion"/>
  </si>
  <si>
    <t>M11</t>
    <phoneticPr fontId="1" type="noConversion"/>
  </si>
  <si>
    <t>M12</t>
    <phoneticPr fontId="1" type="noConversion"/>
  </si>
  <si>
    <t>상품 매출 원가</t>
    <phoneticPr fontId="1" type="noConversion"/>
  </si>
  <si>
    <t>용역 매출 원가</t>
    <phoneticPr fontId="1" type="noConversion"/>
  </si>
  <si>
    <t>M8</t>
    <phoneticPr fontId="1" type="noConversion"/>
  </si>
  <si>
    <t>위엠비</t>
    <phoneticPr fontId="1" type="noConversion"/>
  </si>
  <si>
    <t>2024년</t>
    <phoneticPr fontId="1" type="noConversion"/>
  </si>
  <si>
    <t>세금과공과</t>
    <phoneticPr fontId="1" type="noConversion"/>
  </si>
  <si>
    <t>수석(L)</t>
  </si>
  <si>
    <t>책임(M)</t>
  </si>
  <si>
    <t>프로젝트 부서비</t>
    <phoneticPr fontId="1" type="noConversion"/>
  </si>
  <si>
    <t>내부</t>
    <phoneticPr fontId="1" type="noConversion"/>
  </si>
  <si>
    <t>외부</t>
    <phoneticPr fontId="1" type="noConversion"/>
  </si>
  <si>
    <t>계획_최종 변경</t>
    <phoneticPr fontId="1" type="noConversion"/>
  </si>
  <si>
    <t>실 적</t>
    <phoneticPr fontId="1" type="noConversion"/>
  </si>
  <si>
    <t>계 획
_기준 계획</t>
    <phoneticPr fontId="1" type="noConversion"/>
  </si>
  <si>
    <t>계 획
_최종 변경</t>
    <phoneticPr fontId="1" type="noConversion"/>
  </si>
  <si>
    <t>계획_기준 계획</t>
    <phoneticPr fontId="1" type="noConversion"/>
  </si>
  <si>
    <t>계획</t>
    <phoneticPr fontId="1" type="noConversion"/>
  </si>
  <si>
    <t>계획
_기준
/
실행</t>
    <phoneticPr fontId="1" type="noConversion"/>
  </si>
  <si>
    <t>기준 계획</t>
    <phoneticPr fontId="1" type="noConversion"/>
  </si>
  <si>
    <t>최종 변경</t>
    <phoneticPr fontId="1" type="noConversion"/>
  </si>
  <si>
    <t>투입</t>
    <phoneticPr fontId="1" type="noConversion"/>
  </si>
  <si>
    <t>투입</t>
    <phoneticPr fontId="1" type="noConversion"/>
  </si>
  <si>
    <t>계획
_최종 변경</t>
    <phoneticPr fontId="1" type="noConversion"/>
  </si>
  <si>
    <t>계획
_기준 계획</t>
    <phoneticPr fontId="1" type="noConversion"/>
  </si>
  <si>
    <t>기준 계획 수지분석서</t>
    <phoneticPr fontId="1" type="noConversion"/>
  </si>
  <si>
    <t>최종 변경 수지분석서</t>
    <phoneticPr fontId="1" type="noConversion"/>
  </si>
  <si>
    <t>기준 계획대비_영업이익 증감액</t>
    <phoneticPr fontId="1" type="noConversion"/>
  </si>
  <si>
    <t>손익_실행</t>
    <phoneticPr fontId="1" type="noConversion"/>
  </si>
  <si>
    <t>기준 계획대비_매출이익 증감율</t>
  </si>
  <si>
    <t>⑴ 정산 결과</t>
    <phoneticPr fontId="1" type="noConversion"/>
  </si>
  <si>
    <t>⑵ 수주 내용 요약</t>
    <phoneticPr fontId="1" type="noConversion"/>
  </si>
  <si>
    <r>
      <rPr>
        <b/>
        <sz val="11"/>
        <color theme="1"/>
        <rFont val="맑은 고딕"/>
        <family val="3"/>
        <charset val="129"/>
      </rPr>
      <t>⑶</t>
    </r>
    <r>
      <rPr>
        <b/>
        <sz val="11"/>
        <color theme="1"/>
        <rFont val="맑은 고딕"/>
        <family val="3"/>
        <charset val="129"/>
        <scheme val="minor"/>
      </rPr>
      <t xml:space="preserve"> 수주차</t>
    </r>
    <phoneticPr fontId="1" type="noConversion"/>
  </si>
  <si>
    <r>
      <t>※</t>
    </r>
    <r>
      <rPr>
        <sz val="10.199999999999999"/>
        <color theme="1"/>
        <rFont val="맑은 고딕"/>
        <family val="3"/>
        <charset val="129"/>
      </rPr>
      <t xml:space="preserve"> 기준 계획 : 전자결재가 완료 된 최초의 수지분석서.</t>
    </r>
    <phoneticPr fontId="1" type="noConversion"/>
  </si>
  <si>
    <t>판관</t>
    <phoneticPr fontId="1" type="noConversion"/>
  </si>
  <si>
    <t>원가</t>
    <phoneticPr fontId="1" type="noConversion"/>
  </si>
  <si>
    <t>개발</t>
    <phoneticPr fontId="1" type="noConversion"/>
  </si>
  <si>
    <t>국내출장_교통비</t>
    <phoneticPr fontId="1" type="noConversion"/>
  </si>
  <si>
    <t>국내출장_식대</t>
    <phoneticPr fontId="1" type="noConversion"/>
  </si>
  <si>
    <t>국내출장_숙박</t>
    <phoneticPr fontId="1" type="noConversion"/>
  </si>
  <si>
    <t>국내출장_주유대</t>
    <phoneticPr fontId="1" type="noConversion"/>
  </si>
  <si>
    <t>윤근호 이사</t>
    <phoneticPr fontId="1" type="noConversion"/>
  </si>
  <si>
    <t>P24-039_ES_한국남동발전_KOEN 스마트 도면관리시스템 구축 용역</t>
    <phoneticPr fontId="1" type="noConversion"/>
  </si>
  <si>
    <t>한국남동발전</t>
    <phoneticPr fontId="1" type="noConversion"/>
  </si>
  <si>
    <t>2024년 11월 14일 ~ 2025년 09월 13일</t>
    <phoneticPr fontId="1" type="noConversion"/>
  </si>
  <si>
    <t>정현우 이사</t>
    <phoneticPr fontId="1" type="noConversion"/>
  </si>
  <si>
    <t>WEMB-수지분석서-202412-5151</t>
    <phoneticPr fontId="1" type="noConversion"/>
  </si>
  <si>
    <t>AJ네트웍스</t>
    <phoneticPr fontId="1" type="noConversion"/>
  </si>
  <si>
    <t>노트북,모니터, 사무가구 등 렌탈</t>
    <phoneticPr fontId="1" type="noConversion"/>
  </si>
  <si>
    <t>정현우</t>
    <phoneticPr fontId="1" type="noConversion"/>
  </si>
  <si>
    <t>최진희</t>
    <phoneticPr fontId="1" type="noConversion"/>
  </si>
  <si>
    <t>이재형</t>
    <phoneticPr fontId="1" type="noConversion"/>
  </si>
  <si>
    <t>김령희</t>
    <phoneticPr fontId="1" type="noConversion"/>
  </si>
  <si>
    <t>추민욱</t>
    <phoneticPr fontId="1" type="noConversion"/>
  </si>
  <si>
    <t>김대우</t>
    <phoneticPr fontId="1" type="noConversion"/>
  </si>
  <si>
    <t>아르바이트</t>
    <phoneticPr fontId="1" type="noConversion"/>
  </si>
  <si>
    <t>수석(S)</t>
  </si>
  <si>
    <t>책임(A)</t>
  </si>
  <si>
    <t>PM</t>
    <phoneticPr fontId="1" type="noConversion"/>
  </si>
  <si>
    <t>개발</t>
    <phoneticPr fontId="1" type="noConversion"/>
  </si>
  <si>
    <t>6월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</si>
  <si>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</si>
  <si>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</si>
  <si>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</si>
  <si>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2025년</t>
    <phoneticPr fontId="1" type="noConversion"/>
  </si>
  <si>
    <t>김철원</t>
    <phoneticPr fontId="1" type="noConversion"/>
  </si>
  <si>
    <t>야근교통비</t>
    <phoneticPr fontId="1" type="noConversion"/>
  </si>
  <si>
    <t>김신일</t>
    <phoneticPr fontId="1" type="noConversion"/>
  </si>
  <si>
    <t>강희연</t>
    <phoneticPr fontId="1" type="noConversion"/>
  </si>
  <si>
    <t>김예원</t>
    <phoneticPr fontId="1" type="noConversion"/>
  </si>
  <si>
    <t>이현지</t>
    <phoneticPr fontId="1" type="noConversion"/>
  </si>
  <si>
    <t>2025년</t>
    <phoneticPr fontId="1" type="noConversion"/>
  </si>
  <si>
    <t>7-10월</t>
    <phoneticPr fontId="1" type="noConversion"/>
  </si>
  <si>
    <t>변경 없음</t>
    <phoneticPr fontId="1" type="noConversion"/>
  </si>
  <si>
    <t>정산</t>
    <phoneticPr fontId="1" type="noConversion"/>
  </si>
  <si>
    <t>실행 합계</t>
    <phoneticPr fontId="1" type="noConversion"/>
  </si>
  <si>
    <t>정산_2</t>
    <phoneticPr fontId="1" type="noConversion"/>
  </si>
  <si>
    <t>실행 합계</t>
    <phoneticPr fontId="1" type="noConversion"/>
  </si>
  <si>
    <t>정산 후
영업이익의 30%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</si>
</sst>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4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&quot;년&quot;\ m&quot;월&quot;\ d&quot;일&quot;;@"/>
    <numFmt numFmtId="177" formatCode="_-* #,##0.00_-;\-* #,##0.00_-;_-* &quot;-&quot;_-;_-@_-"/>
    <numFmt numFmtId="178" formatCode="#,##0_ "/>
    <numFmt numFmtId="179" formatCode="#,###,_);\(\-\)\(#,###_)"/>
    <numFmt numFmtId="180" formatCode="#,###,_);\(\-\)#,###,_)"/>
    <numFmt numFmtId="181" formatCode="#,###,_);\(\-\)#,###_)"/>
    <numFmt numFmtId="182" formatCode="#,###,_);\(\-\)#,###,\)"/>
    <numFmt numFmtId="183" formatCode="0.00%;\(\-\)0.00%"/>
    <numFmt numFmtId="184" formatCode="_ &quot;₩&quot;* #,##0_ ;_ &quot;₩&quot;* \-#,##0_ ;_ &quot;₩&quot;* &quot;-&quot;_ ;_ @_ "/>
    <numFmt numFmtId="185" formatCode="###.#####"/>
    <numFmt numFmtId="186" formatCode="#,##0.00_);\(#,##0.00\)"/>
    <numFmt numFmtId="187" formatCode="_ * #,##0_ ;_ * \-#,##0_ ;_ * &quot;-&quot;_ ;_ @_ "/>
    <numFmt numFmtId="188" formatCode="#,##0\ &quot;.&quot;;[Red]\-#,##0\ &quot;.&quot;"/>
    <numFmt numFmtId="189" formatCode="_(&quot;$&quot;* #,##0_);_(&quot;$&quot;* \(#,##0\);_(&quot;$&quot;* &quot;-&quot;_);_(@_)"/>
    <numFmt numFmtId="190" formatCode="\U\$#,##0;&quot;-U$]&quot;#,##0"/>
    <numFmt numFmtId="191" formatCode="yy\-m\-d"/>
    <numFmt numFmtId="192" formatCode="_ * #,##0.00000_ ;_ * \-#,##0.00000_ ;_ * &quot;-&quot;_ ;_ @_ "/>
    <numFmt numFmtId="193" formatCode="&quot;₩&quot;#,##0.00;[Red]&quot;₩&quot;\-#,##0.00"/>
    <numFmt numFmtId="194" formatCode="_ &quot;₩&quot;* #,##0.00_ ;_ &quot;₩&quot;* \-#,##0.00_ ;_ &quot;₩&quot;* &quot;-&quot;??_ ;_ @_ "/>
    <numFmt numFmtId="195" formatCode="_-&quot;$&quot;* #,##0.00_-;\-&quot;$&quot;* #,##0.00_-;_-&quot;$&quot;* &quot;-&quot;??_-;_-@_-"/>
    <numFmt numFmtId="196" formatCode="_(&quot;$&quot;* #,##0.00_);_(&quot;$&quot;* \(#,##0.00\);_(&quot;$&quot;* &quot;-&quot;??_);_(@_)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_(&quot;$&quot;* #,##0.00_);_(&quot;$&quot;* &quot;₩&quot;&quot;₩&quot;&quot;₩&quot;&quot;₩&quot;\(#,##0.00&quot;₩&quot;&quot;₩&quot;&quot;₩&quot;&quot;₩&quot;\);_(&quot;$&quot;* &quot;-&quot;??_);_(@_)"/>
    <numFmt numFmtId="200" formatCode="\$#,##0.00;\(\$#,##0.00\)"/>
    <numFmt numFmtId="201" formatCode="#,##0\ &quot;.&quot;;\-#,##0\ &quot;.&quot;"/>
    <numFmt numFmtId="202" formatCode="\$#,##0.0_);\(\$#,##0.0\)"/>
    <numFmt numFmtId="203" formatCode="&quot;HF-CM-&quot;0####"/>
    <numFmt numFmtId="204" formatCode="0E+00"/>
    <numFmt numFmtId="205" formatCode="\ \ @"/>
    <numFmt numFmtId="206" formatCode="&quot;₩&quot;#,##0;[Red]&quot;₩&quot;\-#,##0"/>
    <numFmt numFmtId="207" formatCode="_ * #,##0.00_ ;_ * \-#,##0.00_ ;_ * &quot;-&quot;??_ ;_ @_ "/>
    <numFmt numFmtId="208" formatCode="_(* #,##0.00_);_(* \(#,##0.00\);_(* &quot;-&quot;??_);_(@_)"/>
    <numFmt numFmtId="209" formatCode="_-* #,##0.000\ _F_-;\-* #,##0.000\ _F_-;_-* &quot;-&quot;??\ _F_-;_-@_-"/>
    <numFmt numFmtId="210" formatCode="#,##0;[Red]&quot;-&quot;#,##0"/>
    <numFmt numFmtId="211" formatCode="#,##0.00;[Red]&quot;-&quot;#,##0.00"/>
    <numFmt numFmtId="212" formatCode="General_)"/>
    <numFmt numFmtId="213" formatCode="#,##0.0_);\(#,##0.0\)"/>
    <numFmt numFmtId="214" formatCode="_(* #,##0.0000_);_(* \(#,##0.0000\);_(* &quot;-&quot;??_);_(@_)"/>
    <numFmt numFmtId="215" formatCode="#,##0.00&quot;￡&quot;_);[Red]\(#,##0.00&quot;￡&quot;\)"/>
    <numFmt numFmtId="216" formatCode="_ * #,##0_)&quot;￡&quot;_ ;_ * \(#,##0\)&quot;￡&quot;_ ;_ * &quot;-&quot;_)&quot;￡&quot;_ ;_ @_ "/>
    <numFmt numFmtId="217" formatCode="0.0%;\(0.0%\)"/>
    <numFmt numFmtId="218" formatCode="#,##0;\(#,##0\)"/>
    <numFmt numFmtId="219" formatCode="\$#.00"/>
    <numFmt numFmtId="220" formatCode="&quot;$&quot;#,##0\ ;\(&quot;$&quot;#,##0\)"/>
    <numFmt numFmtId="221" formatCode="#,##0.00000;[Red]\-#,##0.00000"/>
    <numFmt numFmtId="222" formatCode="0_);\(0\)"/>
    <numFmt numFmtId="223" formatCode="#,##0.0000000;[Red]\-#,##0.0000000"/>
    <numFmt numFmtId="224" formatCode="#,##0;&quot;-&quot;#,##0"/>
    <numFmt numFmtId="225" formatCode="#.00"/>
    <numFmt numFmtId="226" formatCode="#,##0.0"/>
    <numFmt numFmtId="227" formatCode="&quot;$&quot;#,##0;[Red]\-&quot;$&quot;#,##0"/>
    <numFmt numFmtId="228" formatCode="%#.00"/>
    <numFmt numFmtId="229" formatCode="0%_);[Red]\(0%\)"/>
    <numFmt numFmtId="230" formatCode="_ * #,##0.00_)&quot;￡&quot;_ ;_ * \(#,##0.00\)&quot;￡&quot;_ ;_ * &quot;-&quot;??_)&quot;￡&quot;_ ;_ @_ "/>
    <numFmt numFmtId="231" formatCode="&quot;₩&quot;#,##0.00;&quot;₩&quot;\-#,##0.00"/>
    <numFmt numFmtId="232" formatCode="mm&quot;월&quot;\ dd&quot;일&quot;"/>
    <numFmt numFmtId="233" formatCode="@\ \ \ \ \ \ \ \ \ \ \ \ \ \ "/>
    <numFmt numFmtId="234" formatCode="&quot;₩&quot;#,##0;&quot;₩&quot;\-#,##0"/>
    <numFmt numFmtId="235" formatCode="#."/>
    <numFmt numFmtId="236" formatCode="0.000_)"/>
    <numFmt numFmtId="237" formatCode="#,##0.0;\-#,##0.0"/>
    <numFmt numFmtId="238" formatCode="_ &quot;SFr.&quot;* #,##0_ ;_ &quot;SFr.&quot;* \-#,##0_ ;_ &quot;SFr.&quot;* &quot;-&quot;_ ;_ @_ "/>
    <numFmt numFmtId="239" formatCode="&quot;￦ &quot;#,##0_);\(&quot;￦ &quot;#,##0\);&quot;￦ &quot;\-_)"/>
    <numFmt numFmtId="240" formatCode="0;[Red]0"/>
    <numFmt numFmtId="241" formatCode="#,##0.0_);[Red]\(#,##0.0\)"/>
    <numFmt numFmtId="242" formatCode="#,##0.00_);[Red]\(#,##0.00\)"/>
    <numFmt numFmtId="243" formatCode="0.00%;[Red]\(\-\)0.00%"/>
    <numFmt numFmtId="244" formatCode="#,##0,;[Red]\(\-\)#,##0,"/>
  </numFmts>
  <fonts count="23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조선일보명조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name val="조선일보명조"/>
      <family val="1"/>
      <charset val="129"/>
    </font>
    <font>
      <b/>
      <sz val="11"/>
      <name val="조선일보명조"/>
      <family val="1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b/>
      <sz val="14"/>
      <color theme="3" tint="-0.249977111117893"/>
      <name val="조선일보명조"/>
      <family val="1"/>
      <charset val="129"/>
    </font>
    <font>
      <sz val="8"/>
      <name val="돋움"/>
      <family val="3"/>
      <charset val="129"/>
    </font>
    <font>
      <b/>
      <sz val="10"/>
      <name val="MS Sans Serif"/>
      <family val="2"/>
    </font>
    <font>
      <sz val="10"/>
      <color indexed="10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0"/>
      <name val="Helv"/>
      <family val="2"/>
    </font>
    <font>
      <sz val="10"/>
      <color indexed="8"/>
      <name val="굴림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¹UAAA¼"/>
      <family val="1"/>
      <charset val="129"/>
    </font>
    <font>
      <u/>
      <sz val="11"/>
      <color indexed="12"/>
      <name val="돋움"/>
      <family val="3"/>
    </font>
    <font>
      <u/>
      <sz val="11"/>
      <color indexed="20"/>
      <name val="돋움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0"/>
      <color indexed="8"/>
      <name val="Arial"/>
      <family val="2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12"/>
      <name val="명조"/>
      <family val="3"/>
      <charset val="129"/>
    </font>
    <font>
      <sz val="14"/>
      <name val="??"/>
      <family val="1"/>
    </font>
    <font>
      <sz val="12"/>
      <name val="Arial"/>
      <family val="2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2"/>
      <name val="돋움체"/>
      <family val="3"/>
      <charset val="129"/>
    </font>
    <font>
      <b/>
      <sz val="15"/>
      <color indexed="24"/>
      <name val="¹UAAA¼"/>
      <family val="1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0"/>
      <name val="바탕체"/>
      <family val="1"/>
      <charset val="129"/>
    </font>
    <font>
      <sz val="11"/>
      <color indexed="8"/>
      <name val="굴림"/>
      <family val="3"/>
      <charset val="129"/>
    </font>
    <font>
      <sz val="11"/>
      <color indexed="9"/>
      <name val="굴림"/>
      <family val="3"/>
      <charset val="129"/>
    </font>
    <font>
      <sz val="12"/>
      <name val="쭵oUAAA?쬾"/>
      <family val="1"/>
      <charset val="129"/>
    </font>
    <font>
      <sz val="12"/>
      <name val="¹ÙÅÁÃ¼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2"/>
      <name val="¨IoUAAA¡§u"/>
      <family val="1"/>
      <charset val="129"/>
    </font>
    <font>
      <sz val="11"/>
      <name val="??????o"/>
      <family val="3"/>
    </font>
    <font>
      <sz val="11"/>
      <name val="ⓒoUAAA¨u"/>
      <family val="1"/>
      <charset val="129"/>
    </font>
    <font>
      <sz val="11"/>
      <name val="¥ì¢¬¢¯o"/>
      <family val="3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1"/>
      <name val="¹ÙÅÁÃ¼"/>
      <family val="1"/>
      <charset val="129"/>
    </font>
    <font>
      <sz val="11"/>
      <name val="¹UAAA¼"/>
      <family val="1"/>
      <charset val="129"/>
    </font>
    <font>
      <sz val="11"/>
      <name val="￥i￠￢￠?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¸íÁ¶"/>
      <family val="3"/>
      <charset val="129"/>
    </font>
    <font>
      <sz val="14"/>
      <name val="μ¸¿o"/>
      <family val="3"/>
      <charset val="129"/>
    </font>
    <font>
      <sz val="12"/>
      <name val="¹UAAA "/>
      <family val="1"/>
      <charset val="129"/>
    </font>
    <font>
      <sz val="11"/>
      <name val="µ¸¿o"/>
      <family val="3"/>
      <charset val="129"/>
    </font>
    <font>
      <sz val="9"/>
      <name val="Arial"/>
      <family val="2"/>
    </font>
    <font>
      <sz val="10"/>
      <name val="μ¸¿oA¼"/>
      <family val="3"/>
      <charset val="129"/>
    </font>
    <font>
      <sz val="10"/>
      <name val="MS Sans Serif"/>
      <family val="2"/>
    </font>
    <font>
      <sz val="10"/>
      <name val="±¼¸²A¼"/>
      <family val="3"/>
      <charset val="129"/>
    </font>
    <font>
      <sz val="12"/>
      <name val="¸iA¶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name val="Tms Rmn"/>
      <family val="1"/>
    </font>
    <font>
      <sz val="10"/>
      <name val="µ¸¿o"/>
      <family val="3"/>
      <charset val="129"/>
    </font>
    <font>
      <sz val="12"/>
      <name val="µ¸¿oA "/>
      <family val="3"/>
      <charset val="129"/>
    </font>
    <font>
      <sz val="12"/>
      <name val="￥i￠￢￠?oA¨u"/>
      <family val="3"/>
      <charset val="129"/>
    </font>
    <font>
      <sz val="11"/>
      <name val="¡Ii¡E¡þ¡E?o"/>
      <family val="3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sz val="14"/>
      <name val="±¼¸²Ã¼"/>
      <family val="3"/>
      <charset val="129"/>
    </font>
    <font>
      <sz val="14"/>
      <name val="±¼¸²A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μ¸¿o"/>
      <family val="3"/>
      <charset val="129"/>
    </font>
    <font>
      <sz val="9"/>
      <name val="±¼¸²Ã¼"/>
      <family val="3"/>
      <charset val="129"/>
    </font>
    <font>
      <sz val="12"/>
      <name val="±¼¸²Ã¼"/>
      <family val="3"/>
      <charset val="129"/>
    </font>
    <font>
      <sz val="13"/>
      <name val="±¼¸²A¼"/>
      <family val="3"/>
      <charset val="129"/>
    </font>
    <font>
      <b/>
      <u/>
      <sz val="22"/>
      <name val="¹UAAA¼"/>
      <family val="1"/>
      <charset val="129"/>
    </font>
    <font>
      <b/>
      <u/>
      <sz val="22"/>
      <name val="¹ÙÅÁÃ¼"/>
      <family val="1"/>
      <charset val="129"/>
    </font>
    <font>
      <sz val="12"/>
      <name val="¹Ù"/>
      <family val="3"/>
      <charset val="129"/>
    </font>
    <font>
      <b/>
      <sz val="10"/>
      <name val="Helv"/>
      <family val="2"/>
    </font>
    <font>
      <b/>
      <sz val="8"/>
      <name val="Arial"/>
      <family val="2"/>
    </font>
    <font>
      <i/>
      <sz val="8"/>
      <color indexed="10"/>
      <name val="Tahoma"/>
      <family val="2"/>
    </font>
    <font>
      <sz val="1"/>
      <color indexed="8"/>
      <name val="Courier"/>
      <family val="3"/>
    </font>
    <font>
      <sz val="10"/>
      <name val="Times New Roman"/>
      <family val="1"/>
    </font>
    <font>
      <sz val="12"/>
      <color indexed="24"/>
      <name val="Arial"/>
      <family val="2"/>
    </font>
    <font>
      <sz val="10"/>
      <name val="MS Serif"/>
      <family val="1"/>
    </font>
    <font>
      <sz val="11"/>
      <name val="??"/>
      <family val="1"/>
    </font>
    <font>
      <sz val="8"/>
      <color indexed="19"/>
      <name val="Tahoma"/>
      <family val="2"/>
    </font>
    <font>
      <sz val="10"/>
      <color indexed="16"/>
      <name val="MS Serif"/>
      <family val="1"/>
    </font>
    <font>
      <i/>
      <sz val="8"/>
      <color indexed="11"/>
      <name val="Tahoma"/>
      <family val="2"/>
    </font>
    <font>
      <u/>
      <sz val="11"/>
      <color indexed="36"/>
      <name val="??"/>
      <family val="1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2"/>
      <name val="Tms Rmn"/>
      <family val="1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u/>
      <sz val="11"/>
      <color indexed="12"/>
      <name val="??"/>
      <family val="1"/>
    </font>
    <font>
      <sz val="8"/>
      <color indexed="8"/>
      <name val="Tahoma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u/>
      <sz val="18"/>
      <name val="Times New Roman"/>
      <family val="1"/>
    </font>
    <font>
      <sz val="14"/>
      <name val="뼻뮝"/>
      <family val="1"/>
      <charset val="129"/>
    </font>
    <font>
      <sz val="14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8"/>
      <color indexed="12"/>
      <name val="Arial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color indexed="10"/>
      <name val="굴림"/>
      <family val="3"/>
      <charset val="129"/>
    </font>
    <font>
      <b/>
      <sz val="11"/>
      <color indexed="52"/>
      <name val="굴림"/>
      <family val="3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2"/>
      <name val="官帕眉"/>
      <charset val="134"/>
    </font>
    <font>
      <sz val="11"/>
      <color indexed="20"/>
      <name val="굴림"/>
      <family val="3"/>
      <charset val="129"/>
    </font>
    <font>
      <sz val="10"/>
      <name val="돋움체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1"/>
      <charset val="129"/>
    </font>
    <font>
      <sz val="14"/>
      <name val="ＭＳ 明朝"/>
      <family val="3"/>
      <charset val="255"/>
    </font>
    <font>
      <sz val="1"/>
      <color indexed="0"/>
      <name val="Courier"/>
      <family val="3"/>
    </font>
    <font>
      <sz val="10"/>
      <name val="궁서"/>
      <family val="1"/>
      <charset val="129"/>
    </font>
    <font>
      <sz val="11"/>
      <color indexed="60"/>
      <name val="굴림"/>
      <family val="3"/>
      <charset val="129"/>
    </font>
    <font>
      <sz val="12"/>
      <name val="뼻뮝"/>
      <family val="1"/>
      <charset val="129"/>
    </font>
    <font>
      <i/>
      <sz val="11"/>
      <color indexed="23"/>
      <name val="굴림"/>
      <family val="3"/>
      <charset val="129"/>
    </font>
    <font>
      <b/>
      <sz val="11"/>
      <color indexed="9"/>
      <name val="굴림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Arial"/>
      <family val="2"/>
    </font>
    <font>
      <sz val="10"/>
      <name val="명조"/>
      <family val="3"/>
      <charset val="129"/>
    </font>
    <font>
      <sz val="11"/>
      <color indexed="52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12"/>
      <color indexed="8"/>
      <name val="新細明體"/>
      <family val="1"/>
      <charset val="255"/>
    </font>
    <font>
      <sz val="11"/>
      <color indexed="62"/>
      <name val="굴림"/>
      <family val="3"/>
      <charset val="129"/>
    </font>
    <font>
      <sz val="10"/>
      <color indexed="24"/>
      <name val="MS Sans Serif"/>
      <family val="2"/>
    </font>
    <font>
      <b/>
      <sz val="15"/>
      <color indexed="56"/>
      <name val="굴림"/>
      <family val="3"/>
      <charset val="129"/>
    </font>
    <font>
      <b/>
      <sz val="13"/>
      <color indexed="56"/>
      <name val="굴림"/>
      <family val="3"/>
      <charset val="129"/>
    </font>
    <font>
      <b/>
      <sz val="11"/>
      <color indexed="56"/>
      <name val="굴림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굴림"/>
      <family val="3"/>
      <charset val="129"/>
    </font>
    <font>
      <i/>
      <u/>
      <sz val="10"/>
      <color indexed="10"/>
      <name val="Arial"/>
      <family val="2"/>
    </font>
    <font>
      <sz val="12"/>
      <name val="宋体"/>
      <family val="3"/>
      <charset val="129"/>
    </font>
    <font>
      <b/>
      <sz val="11"/>
      <color indexed="63"/>
      <name val="굴림"/>
      <family val="3"/>
      <charset val="129"/>
    </font>
    <font>
      <sz val="11"/>
      <name val="柧挬"/>
      <charset val="134"/>
    </font>
    <font>
      <b/>
      <sz val="18"/>
      <name val="바탕체"/>
      <family val="1"/>
      <charset val="129"/>
    </font>
    <font>
      <b/>
      <sz val="12"/>
      <name val="돋움체"/>
      <family val="3"/>
      <charset val="129"/>
    </font>
    <font>
      <sz val="11"/>
      <name val="바탕체"/>
      <family val="1"/>
      <charset val="129"/>
    </font>
    <font>
      <sz val="11"/>
      <name val="굴림"/>
      <family val="3"/>
      <charset val="129"/>
    </font>
    <font>
      <sz val="12"/>
      <name val="Osaka"/>
      <family val="3"/>
      <charset val="255"/>
    </font>
    <font>
      <sz val="12"/>
      <name val="芥竟"/>
      <family val="1"/>
      <charset val="129"/>
    </font>
    <font>
      <sz val="12"/>
      <name val="바탕체"/>
      <family val="1"/>
    </font>
    <font>
      <sz val="10"/>
      <name val="¹UAAA¼"/>
      <family val="1"/>
    </font>
    <font>
      <sz val="10"/>
      <name val="¹ÙÅÁÃ¼"/>
      <family val="1"/>
    </font>
    <font>
      <sz val="12"/>
      <name val="¹UAAA¼"/>
      <family val="1"/>
    </font>
    <font>
      <sz val="12"/>
      <name val="¹ÙÅÁÃ¼"/>
      <family val="1"/>
    </font>
    <font>
      <sz val="10"/>
      <name val="±¼¸²A¼"/>
      <family val="3"/>
    </font>
    <font>
      <sz val="10"/>
      <name val="±¼¸²Ã¼"/>
      <family val="3"/>
    </font>
    <font>
      <sz val="11"/>
      <color theme="1"/>
      <name val="Arial"/>
      <family val="2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2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sz val="10"/>
      <color indexed="17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52"/>
      <name val="맑은 고딕"/>
      <family val="3"/>
      <charset val="129"/>
    </font>
    <font>
      <sz val="10"/>
      <color indexed="60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0.199999999999999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7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3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 style="thin">
        <color theme="0" tint="-0.499984740745262"/>
      </top>
      <bottom/>
      <diagonal/>
    </border>
    <border>
      <left/>
      <right style="thick">
        <color theme="0" tint="-0.499984740745262"/>
      </right>
      <top style="thin">
        <color theme="0" tint="-0.499984740745262"/>
      </top>
      <bottom/>
      <diagonal/>
    </border>
    <border>
      <left style="thick">
        <color theme="0" tint="-0.499984740745262"/>
      </left>
      <right/>
      <top/>
      <bottom style="thin">
        <color theme="0" tint="-0.499984740745262"/>
      </bottom>
      <diagonal/>
    </border>
    <border>
      <left/>
      <right style="thick">
        <color theme="0" tint="-0.499984740745262"/>
      </right>
      <top/>
      <bottom style="thin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/>
      <top style="thick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n">
        <color theme="0" tint="-0.499984740745262"/>
      </right>
      <top/>
      <bottom style="thick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 style="hair">
        <color theme="0" tint="-0.34998626667073579"/>
      </top>
      <bottom style="thick">
        <color theme="0" tint="-0.34998626667073579"/>
      </bottom>
      <diagonal/>
    </border>
    <border>
      <left/>
      <right style="thick">
        <color theme="0" tint="-0.499984740745262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8"/>
      </right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/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ashed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dashed">
        <color theme="0" tint="-0.499984740745262"/>
      </bottom>
      <diagonal/>
    </border>
    <border>
      <left style="thick">
        <color theme="8" tint="-0.499984740745262"/>
      </left>
      <right/>
      <top style="thick">
        <color theme="8" tint="-0.499984740745262"/>
      </top>
      <bottom style="thin">
        <color theme="0" tint="-0.499984740745262"/>
      </bottom>
      <diagonal/>
    </border>
    <border>
      <left/>
      <right/>
      <top style="thick">
        <color theme="8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ck">
        <color theme="8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8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theme="8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8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8" tint="-0.499984740745262"/>
      </right>
      <top style="thick">
        <color theme="8" tint="-0.499984740745262"/>
      </top>
      <bottom style="thin">
        <color theme="0" tint="-0.499984740745262"/>
      </bottom>
      <diagonal/>
    </border>
    <border>
      <left style="thick">
        <color theme="8" tint="-0.499984740745262"/>
      </left>
      <right/>
      <top style="thin">
        <color theme="0" tint="-0.499984740745262"/>
      </top>
      <bottom style="thick">
        <color theme="8" tint="-0.499984740745262"/>
      </bottom>
      <diagonal/>
    </border>
    <border>
      <left/>
      <right/>
      <top style="thin">
        <color theme="0" tint="-0.499984740745262"/>
      </top>
      <bottom style="thick">
        <color theme="8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8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8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8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8" tint="-0.499984740745262"/>
      </bottom>
      <diagonal/>
    </border>
    <border>
      <left style="thin">
        <color theme="0" tint="-0.499984740745262"/>
      </left>
      <right style="thick">
        <color theme="8" tint="-0.499984740745262"/>
      </right>
      <top style="thin">
        <color theme="0" tint="-0.499984740745262"/>
      </top>
      <bottom style="thick">
        <color theme="8" tint="-0.499984740745262"/>
      </bottom>
      <diagonal/>
    </border>
  </borders>
  <cellStyleXfs count="48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/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>
      <alignment vertical="center"/>
    </xf>
    <xf numFmtId="0" fontId="18" fillId="0" borderId="0"/>
    <xf numFmtId="0" fontId="19" fillId="0" borderId="0"/>
    <xf numFmtId="0" fontId="20" fillId="0" borderId="0">
      <protection locked="0"/>
    </xf>
    <xf numFmtId="0" fontId="19" fillId="0" borderId="0"/>
    <xf numFmtId="0" fontId="20" fillId="0" borderId="0">
      <protection locked="0"/>
    </xf>
    <xf numFmtId="0" fontId="21" fillId="4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58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58" borderId="0" applyNumberFormat="0" applyBorder="0" applyAlignment="0" applyProtection="0">
      <alignment vertical="center"/>
    </xf>
    <xf numFmtId="0" fontId="22" fillId="58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9" fontId="24" fillId="0" borderId="0" applyBorder="0"/>
    <xf numFmtId="0" fontId="17" fillId="0" borderId="0" applyFont="0" applyFill="0" applyBorder="0" applyAlignment="0" applyProtection="0"/>
    <xf numFmtId="0" fontId="25" fillId="0" borderId="0" applyNumberFormat="0" applyFill="0" applyBorder="0" applyAlignment="0">
      <alignment vertical="center"/>
      <protection locked="0"/>
    </xf>
    <xf numFmtId="0" fontId="26" fillId="0" borderId="0" applyNumberFormat="0" applyFill="0" applyBorder="0" applyAlignment="0">
      <alignment vertical="center"/>
      <protection locked="0"/>
    </xf>
    <xf numFmtId="0" fontId="22" fillId="5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59" borderId="0" applyNumberFormat="0" applyBorder="0" applyAlignment="0" applyProtection="0">
      <alignment vertical="center"/>
    </xf>
    <xf numFmtId="0" fontId="22" fillId="5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6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60" borderId="0" applyNumberFormat="0" applyBorder="0" applyAlignment="0" applyProtection="0">
      <alignment vertical="center"/>
    </xf>
    <xf numFmtId="0" fontId="22" fillId="6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62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62" borderId="0" applyNumberFormat="0" applyBorder="0" applyAlignment="0" applyProtection="0">
      <alignment vertical="center"/>
    </xf>
    <xf numFmtId="0" fontId="22" fillId="62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9" fillId="15" borderId="69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8" fillId="63" borderId="86" applyNumberFormat="0" applyAlignment="0" applyProtection="0">
      <alignment vertical="center"/>
    </xf>
    <xf numFmtId="0" fontId="29" fillId="15" borderId="69" applyNumberFormat="0" applyAlignment="0" applyProtection="0">
      <alignment vertical="center"/>
    </xf>
    <xf numFmtId="0" fontId="29" fillId="15" borderId="69" applyNumberFormat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7" borderId="73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17" borderId="73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64" borderId="87" applyNumberFormat="0" applyFont="0" applyAlignment="0" applyProtection="0">
      <alignment vertical="center"/>
    </xf>
    <xf numFmtId="0" fontId="21" fillId="17" borderId="73" applyNumberFormat="0" applyFont="0" applyAlignment="0" applyProtection="0">
      <alignment vertical="center"/>
    </xf>
    <xf numFmtId="0" fontId="21" fillId="17" borderId="73" applyNumberFormat="0" applyFont="0" applyAlignment="0" applyProtection="0">
      <alignment vertical="center"/>
    </xf>
    <xf numFmtId="0" fontId="21" fillId="17" borderId="73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6" borderId="88" applyNumberFormat="0" applyAlignment="0" applyProtection="0">
      <alignment vertical="center"/>
    </xf>
    <xf numFmtId="0" fontId="14" fillId="16" borderId="72" applyNumberFormat="0" applyAlignment="0" applyProtection="0">
      <alignment vertical="center"/>
    </xf>
    <xf numFmtId="0" fontId="37" fillId="66" borderId="88" applyNumberFormat="0" applyAlignment="0" applyProtection="0">
      <alignment vertical="center"/>
    </xf>
    <xf numFmtId="0" fontId="37" fillId="66" borderId="88" applyNumberFormat="0" applyAlignment="0" applyProtection="0">
      <alignment vertical="center"/>
    </xf>
    <xf numFmtId="0" fontId="14" fillId="16" borderId="72" applyNumberFormat="0" applyAlignment="0" applyProtection="0">
      <alignment vertical="center"/>
    </xf>
    <xf numFmtId="0" fontId="14" fillId="16" borderId="72" applyNumberFormat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" fillId="0" borderId="0" applyFont="0" applyFill="0" applyBorder="0" applyAlignment="0">
      <alignment vertical="center"/>
      <protection locked="0"/>
    </xf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9" fillId="0" borderId="89" applyNumberFormat="0" applyFill="0" applyAlignment="0" applyProtection="0">
      <alignment vertical="center"/>
    </xf>
    <xf numFmtId="0" fontId="40" fillId="0" borderId="71" applyNumberFormat="0" applyFill="0" applyAlignment="0" applyProtection="0">
      <alignment vertical="center"/>
    </xf>
    <xf numFmtId="0" fontId="39" fillId="0" borderId="89" applyNumberFormat="0" applyFill="0" applyAlignment="0" applyProtection="0">
      <alignment vertical="center"/>
    </xf>
    <xf numFmtId="0" fontId="39" fillId="0" borderId="89" applyNumberFormat="0" applyFill="0" applyAlignment="0" applyProtection="0">
      <alignment vertical="center"/>
    </xf>
    <xf numFmtId="0" fontId="40" fillId="0" borderId="71" applyNumberFormat="0" applyFill="0" applyAlignment="0" applyProtection="0">
      <alignment vertical="center"/>
    </xf>
    <xf numFmtId="0" fontId="40" fillId="0" borderId="71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13" fillId="0" borderId="74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41" fillId="0" borderId="90" applyNumberFormat="0" applyFill="0" applyAlignment="0" applyProtection="0">
      <alignment vertical="center"/>
    </xf>
    <xf numFmtId="0" fontId="13" fillId="0" borderId="74" applyNumberFormat="0" applyFill="0" applyAlignment="0" applyProtection="0">
      <alignment vertical="center"/>
    </xf>
    <xf numFmtId="0" fontId="13" fillId="0" borderId="74" applyNumberFormat="0" applyFill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3" fillId="14" borderId="69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2" fillId="50" borderId="86" applyNumberFormat="0" applyAlignment="0" applyProtection="0">
      <alignment vertical="center"/>
    </xf>
    <xf numFmtId="0" fontId="43" fillId="14" borderId="69" applyNumberFormat="0" applyAlignment="0" applyProtection="0">
      <alignment vertical="center"/>
    </xf>
    <xf numFmtId="0" fontId="43" fillId="14" borderId="69" applyNumberFormat="0" applyAlignment="0" applyProtection="0">
      <alignment vertical="center"/>
    </xf>
    <xf numFmtId="0" fontId="44" fillId="0" borderId="91" applyNumberFormat="0" applyFill="0" applyAlignment="0" applyProtection="0">
      <alignment vertical="center"/>
    </xf>
    <xf numFmtId="0" fontId="45" fillId="0" borderId="66" applyNumberFormat="0" applyFill="0" applyAlignment="0" applyProtection="0">
      <alignment vertical="center"/>
    </xf>
    <xf numFmtId="0" fontId="44" fillId="0" borderId="91" applyNumberFormat="0" applyFill="0" applyAlignment="0" applyProtection="0">
      <alignment vertical="center"/>
    </xf>
    <xf numFmtId="0" fontId="44" fillId="0" borderId="91" applyNumberFormat="0" applyFill="0" applyAlignment="0" applyProtection="0">
      <alignment vertical="center"/>
    </xf>
    <xf numFmtId="0" fontId="45" fillId="0" borderId="66" applyNumberFormat="0" applyFill="0" applyAlignment="0" applyProtection="0">
      <alignment vertical="center"/>
    </xf>
    <xf numFmtId="0" fontId="46" fillId="0" borderId="92" applyNumberFormat="0" applyFill="0" applyAlignment="0" applyProtection="0">
      <alignment vertical="center"/>
    </xf>
    <xf numFmtId="0" fontId="47" fillId="0" borderId="67" applyNumberFormat="0" applyFill="0" applyAlignment="0" applyProtection="0">
      <alignment vertical="center"/>
    </xf>
    <xf numFmtId="0" fontId="46" fillId="0" borderId="92" applyNumberFormat="0" applyFill="0" applyAlignment="0" applyProtection="0">
      <alignment vertical="center"/>
    </xf>
    <xf numFmtId="0" fontId="46" fillId="0" borderId="92" applyNumberFormat="0" applyFill="0" applyAlignment="0" applyProtection="0">
      <alignment vertical="center"/>
    </xf>
    <xf numFmtId="0" fontId="47" fillId="0" borderId="67" applyNumberFormat="0" applyFill="0" applyAlignment="0" applyProtection="0">
      <alignment vertical="center"/>
    </xf>
    <xf numFmtId="0" fontId="48" fillId="0" borderId="93" applyNumberFormat="0" applyFill="0" applyAlignment="0" applyProtection="0">
      <alignment vertical="center"/>
    </xf>
    <xf numFmtId="0" fontId="49" fillId="0" borderId="68" applyNumberFormat="0" applyFill="0" applyAlignment="0" applyProtection="0">
      <alignment vertical="center"/>
    </xf>
    <xf numFmtId="0" fontId="48" fillId="0" borderId="93" applyNumberFormat="0" applyFill="0" applyAlignment="0" applyProtection="0">
      <alignment vertical="center"/>
    </xf>
    <xf numFmtId="0" fontId="48" fillId="0" borderId="93" applyNumberFormat="0" applyFill="0" applyAlignment="0" applyProtection="0">
      <alignment vertical="center"/>
    </xf>
    <xf numFmtId="0" fontId="49" fillId="0" borderId="68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5" fillId="15" borderId="70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4" fillId="63" borderId="94" applyNumberFormat="0" applyAlignment="0" applyProtection="0">
      <alignment vertical="center"/>
    </xf>
    <xf numFmtId="0" fontId="55" fillId="15" borderId="70" applyNumberFormat="0" applyAlignment="0" applyProtection="0">
      <alignment vertical="center"/>
    </xf>
    <xf numFmtId="0" fontId="55" fillId="15" borderId="70" applyNumberFormat="0" applyAlignment="0" applyProtection="0">
      <alignment vertical="center"/>
    </xf>
    <xf numFmtId="42" fontId="7" fillId="0" borderId="0" applyFont="0" applyFill="0" applyBorder="0" applyAlignment="0">
      <alignment vertical="center"/>
      <protection locked="0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38" fillId="0" borderId="0"/>
    <xf numFmtId="0" fontId="7" fillId="0" borderId="0">
      <alignment vertical="center"/>
    </xf>
    <xf numFmtId="0" fontId="38" fillId="0" borderId="0"/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38" fillId="0" borderId="0"/>
    <xf numFmtId="0" fontId="7" fillId="0" borderId="0">
      <alignment vertical="center"/>
    </xf>
    <xf numFmtId="0" fontId="38" fillId="0" borderId="0"/>
    <xf numFmtId="0" fontId="7" fillId="0" borderId="0">
      <alignment vertical="center"/>
    </xf>
    <xf numFmtId="0" fontId="38" fillId="0" borderId="0"/>
    <xf numFmtId="0" fontId="7" fillId="0" borderId="0">
      <alignment vertical="center"/>
    </xf>
    <xf numFmtId="0" fontId="38" fillId="0" borderId="0"/>
    <xf numFmtId="0" fontId="21" fillId="0" borderId="0">
      <alignment vertical="center"/>
    </xf>
    <xf numFmtId="0" fontId="38" fillId="0" borderId="0"/>
    <xf numFmtId="0" fontId="21" fillId="0" borderId="0">
      <alignment vertical="center"/>
    </xf>
    <xf numFmtId="0" fontId="38" fillId="0" borderId="0"/>
    <xf numFmtId="0" fontId="21" fillId="0" borderId="0">
      <alignment vertical="center"/>
    </xf>
    <xf numFmtId="0" fontId="38" fillId="0" borderId="0"/>
    <xf numFmtId="0" fontId="21" fillId="0" borderId="0">
      <alignment vertical="center"/>
    </xf>
    <xf numFmtId="0" fontId="38" fillId="0" borderId="0"/>
    <xf numFmtId="0" fontId="21" fillId="0" borderId="0">
      <alignment vertical="center"/>
    </xf>
    <xf numFmtId="0" fontId="38" fillId="0" borderId="0"/>
    <xf numFmtId="0" fontId="21" fillId="0" borderId="0">
      <alignment vertical="center"/>
    </xf>
    <xf numFmtId="0" fontId="38" fillId="0" borderId="0"/>
    <xf numFmtId="0" fontId="21" fillId="0" borderId="0">
      <alignment vertical="center"/>
    </xf>
    <xf numFmtId="0" fontId="38" fillId="0" borderId="0"/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7" fillId="0" borderId="0"/>
    <xf numFmtId="0" fontId="2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38" fillId="0" borderId="0"/>
    <xf numFmtId="0" fontId="21" fillId="0" borderId="0">
      <alignment vertical="center"/>
    </xf>
    <xf numFmtId="0" fontId="21" fillId="0" borderId="0">
      <alignment vertical="center"/>
    </xf>
    <xf numFmtId="0" fontId="3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5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/>
    <xf numFmtId="0" fontId="3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/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38" fillId="0" borderId="0"/>
    <xf numFmtId="0" fontId="17" fillId="0" borderId="0">
      <alignment vertical="center"/>
    </xf>
    <xf numFmtId="0" fontId="38" fillId="0" borderId="0"/>
    <xf numFmtId="0" fontId="17" fillId="0" borderId="0">
      <alignment vertical="center"/>
    </xf>
    <xf numFmtId="0" fontId="38" fillId="0" borderId="0"/>
    <xf numFmtId="0" fontId="17" fillId="0" borderId="0">
      <alignment vertical="center"/>
    </xf>
    <xf numFmtId="0" fontId="38" fillId="0" borderId="0"/>
    <xf numFmtId="0" fontId="1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/>
    <xf numFmtId="0" fontId="38" fillId="0" borderId="0"/>
    <xf numFmtId="0" fontId="21" fillId="0" borderId="0">
      <alignment vertical="center"/>
    </xf>
    <xf numFmtId="0" fontId="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5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58" fillId="0" borderId="0"/>
    <xf numFmtId="41" fontId="58" fillId="0" borderId="0" applyFont="0" applyFill="0" applyBorder="0" applyAlignment="0" applyProtection="0"/>
    <xf numFmtId="0" fontId="56" fillId="0" borderId="0"/>
    <xf numFmtId="0" fontId="10" fillId="0" borderId="0" applyNumberFormat="0" applyFill="0" applyBorder="0" applyAlignment="0" applyProtection="0"/>
    <xf numFmtId="5" fontId="7" fillId="0" borderId="0" applyFont="0" applyFill="0" applyBorder="0" applyAlignment="0" applyProtection="0"/>
    <xf numFmtId="0" fontId="56" fillId="0" borderId="0"/>
    <xf numFmtId="0" fontId="59" fillId="0" borderId="83"/>
    <xf numFmtId="0" fontId="56" fillId="0" borderId="0"/>
    <xf numFmtId="0" fontId="56" fillId="0" borderId="0"/>
    <xf numFmtId="0" fontId="56" fillId="0" borderId="0"/>
    <xf numFmtId="0" fontId="196" fillId="0" borderId="0"/>
    <xf numFmtId="40" fontId="6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0" fontId="56" fillId="0" borderId="0" applyFont="0" applyFill="0" applyBorder="0" applyAlignment="0" applyProtection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7" fillId="0" borderId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1" fillId="0" borderId="0"/>
    <xf numFmtId="0" fontId="61" fillId="0" borderId="0"/>
    <xf numFmtId="0" fontId="56" fillId="0" borderId="0" applyFont="0" applyFill="0" applyBorder="0" applyAlignment="0" applyProtection="0"/>
    <xf numFmtId="0" fontId="61" fillId="0" borderId="0"/>
    <xf numFmtId="0" fontId="19" fillId="0" borderId="0"/>
    <xf numFmtId="0" fontId="61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1" fillId="0" borderId="0"/>
    <xf numFmtId="0" fontId="19" fillId="0" borderId="0"/>
    <xf numFmtId="0" fontId="61" fillId="0" borderId="0"/>
    <xf numFmtId="0" fontId="17" fillId="0" borderId="0"/>
    <xf numFmtId="184" fontId="7" fillId="0" borderId="0" applyFont="0" applyFill="0" applyBorder="0" applyAlignment="0" applyProtection="0"/>
    <xf numFmtId="0" fontId="19" fillId="0" borderId="0"/>
    <xf numFmtId="0" fontId="19" fillId="0" borderId="0"/>
    <xf numFmtId="0" fontId="61" fillId="0" borderId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7" fillId="0" borderId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0" fontId="61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61" fillId="0" borderId="0"/>
    <xf numFmtId="0" fontId="17" fillId="0" borderId="0"/>
    <xf numFmtId="0" fontId="17" fillId="0" borderId="0"/>
    <xf numFmtId="0" fontId="62" fillId="0" borderId="0" applyFont="0" applyFill="0" applyBorder="0" applyAlignment="0" applyProtection="0"/>
    <xf numFmtId="0" fontId="64" fillId="0" borderId="0"/>
    <xf numFmtId="9" fontId="17" fillId="67" borderId="0"/>
    <xf numFmtId="0" fontId="56" fillId="0" borderId="0"/>
    <xf numFmtId="0" fontId="65" fillId="0" borderId="0"/>
    <xf numFmtId="0" fontId="66" fillId="0" borderId="0" applyNumberFormat="0" applyFill="0" applyBorder="0" applyAlignment="0" applyProtection="0"/>
    <xf numFmtId="0" fontId="56" fillId="0" borderId="0"/>
    <xf numFmtId="40" fontId="67" fillId="0" borderId="0" applyFont="0" applyFill="0" applyBorder="0" applyAlignment="0" applyProtection="0"/>
    <xf numFmtId="38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/>
    <xf numFmtId="0" fontId="68" fillId="0" borderId="0"/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1" fontId="69" fillId="0" borderId="76">
      <alignment horizontal="center" vertical="center"/>
    </xf>
    <xf numFmtId="0" fontId="17" fillId="0" borderId="0"/>
    <xf numFmtId="185" fontId="69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70" fillId="45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56" fillId="0" borderId="0"/>
    <xf numFmtId="0" fontId="70" fillId="51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6" fontId="62" fillId="0" borderId="0">
      <alignment vertical="center"/>
    </xf>
    <xf numFmtId="0" fontId="72" fillId="0" borderId="0" applyFont="0" applyFill="0" applyBorder="0" applyAlignment="0" applyProtection="0"/>
    <xf numFmtId="187" fontId="73" fillId="0" borderId="0" applyFont="0" applyFill="0" applyBorder="0" applyAlignment="0" applyProtection="0"/>
    <xf numFmtId="188" fontId="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41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2" fillId="68" borderId="95">
      <alignment horizontal="center" vertical="center"/>
    </xf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84" fontId="24" fillId="0" borderId="0" applyFont="0" applyFill="0" applyBorder="0" applyAlignment="0" applyProtection="0"/>
    <xf numFmtId="189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42" fontId="84" fillId="0" borderId="0" applyFont="0" applyFill="0" applyBorder="0" applyAlignment="0" applyProtection="0"/>
    <xf numFmtId="184" fontId="24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84" fontId="2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184" fontId="84" fillId="0" borderId="0" applyFont="0" applyFill="0" applyBorder="0" applyAlignment="0" applyProtection="0"/>
    <xf numFmtId="184" fontId="2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184" fontId="84" fillId="0" borderId="0" applyFont="0" applyFill="0" applyBorder="0" applyAlignment="0" applyProtection="0"/>
    <xf numFmtId="190" fontId="87" fillId="0" borderId="0" applyFont="0" applyFill="0" applyBorder="0" applyAlignment="0" applyProtection="0"/>
    <xf numFmtId="184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184" fontId="8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184" fontId="84" fillId="0" borderId="0" applyFont="0" applyFill="0" applyBorder="0" applyAlignment="0" applyProtection="0"/>
    <xf numFmtId="0" fontId="2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87" fillId="0" borderId="0" applyFont="0" applyFill="0" applyBorder="0" applyAlignment="0" applyProtection="0"/>
    <xf numFmtId="192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193" fontId="90" fillId="0" borderId="0" applyFont="0" applyFill="0" applyBorder="0" applyAlignment="0" applyProtection="0"/>
    <xf numFmtId="184" fontId="88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83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9" fillId="0" borderId="0" applyFont="0" applyFill="0" applyBorder="0" applyAlignment="0" applyProtection="0"/>
    <xf numFmtId="184" fontId="24" fillId="0" borderId="0" applyFont="0" applyFill="0" applyBorder="0" applyAlignment="0" applyProtection="0"/>
    <xf numFmtId="193" fontId="90" fillId="0" borderId="0" applyFont="0" applyFill="0" applyBorder="0" applyAlignment="0" applyProtection="0"/>
    <xf numFmtId="42" fontId="91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184" fontId="73" fillId="0" borderId="0" applyFont="0" applyFill="0" applyBorder="0" applyAlignment="0" applyProtection="0"/>
    <xf numFmtId="42" fontId="83" fillId="0" borderId="0" applyFont="0" applyFill="0" applyBorder="0" applyAlignment="0" applyProtection="0"/>
    <xf numFmtId="42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42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84" fontId="83" fillId="0" borderId="0" applyFont="0" applyFill="0" applyBorder="0" applyAlignment="0" applyProtection="0"/>
    <xf numFmtId="184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184" fontId="88" fillId="0" borderId="0" applyFont="0" applyFill="0" applyBorder="0" applyAlignment="0" applyProtection="0"/>
    <xf numFmtId="184" fontId="89" fillId="0" borderId="0" applyFont="0" applyFill="0" applyBorder="0" applyAlignment="0" applyProtection="0"/>
    <xf numFmtId="0" fontId="83" fillId="0" borderId="0" applyFont="0" applyFill="0" applyBorder="0" applyAlignment="0" applyProtection="0"/>
    <xf numFmtId="18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5" fontId="92" fillId="0" borderId="0" applyFont="0" applyFill="0" applyBorder="0" applyAlignment="0" applyProtection="0"/>
    <xf numFmtId="196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5" fontId="92" fillId="0" borderId="0" applyFont="0" applyFill="0" applyBorder="0" applyAlignment="0" applyProtection="0"/>
    <xf numFmtId="0" fontId="17" fillId="0" borderId="0" applyFont="0" applyFill="0" applyBorder="0" applyAlignment="0" applyProtection="0"/>
    <xf numFmtId="197" fontId="92" fillId="0" borderId="0" applyFont="0" applyFill="0" applyBorder="0" applyAlignment="0" applyProtection="0"/>
    <xf numFmtId="195" fontId="92" fillId="0" borderId="0" applyFont="0" applyFill="0" applyBorder="0" applyAlignment="0" applyProtection="0"/>
    <xf numFmtId="195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93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4" fontId="92" fillId="0" borderId="0" applyFont="0" applyFill="0" applyBorder="0" applyAlignment="0" applyProtection="0"/>
    <xf numFmtId="198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2" fillId="0" borderId="0" applyFont="0" applyFill="0" applyBorder="0" applyAlignment="0" applyProtection="0"/>
    <xf numFmtId="195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9" fontId="93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6" fontId="94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0" fontId="75" fillId="0" borderId="0" applyFont="0" applyFill="0" applyBorder="0" applyAlignment="0" applyProtection="0"/>
    <xf numFmtId="194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93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199" fontId="93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61" fillId="0" borderId="0" applyFont="0" applyFill="0" applyBorder="0" applyAlignment="0" applyProtection="0"/>
    <xf numFmtId="196" fontId="1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196" fontId="93" fillId="0" borderId="0" applyFont="0" applyFill="0" applyBorder="0" applyAlignment="0" applyProtection="0"/>
    <xf numFmtId="198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8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5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93" fillId="0" borderId="0" applyFont="0" applyFill="0" applyBorder="0" applyAlignment="0" applyProtection="0"/>
    <xf numFmtId="196" fontId="1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6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4" fontId="92" fillId="0" borderId="0" applyFont="0" applyFill="0" applyBorder="0" applyAlignment="0" applyProtection="0"/>
    <xf numFmtId="196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94" fontId="24" fillId="0" borderId="0" applyFont="0" applyFill="0" applyBorder="0" applyAlignment="0" applyProtection="0"/>
    <xf numFmtId="200" fontId="7" fillId="0" borderId="0" applyFont="0" applyFill="0" applyBorder="0" applyAlignment="0" applyProtection="0"/>
    <xf numFmtId="0" fontId="86" fillId="0" borderId="0" applyFont="0" applyFill="0" applyBorder="0" applyAlignment="0" applyProtection="0"/>
    <xf numFmtId="44" fontId="84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73" fillId="0" borderId="0" applyFont="0" applyFill="0" applyBorder="0" applyAlignment="0" applyProtection="0"/>
    <xf numFmtId="194" fontId="73" fillId="0" borderId="0" applyFont="0" applyFill="0" applyBorder="0" applyAlignment="0" applyProtection="0"/>
    <xf numFmtId="194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94" fontId="83" fillId="0" borderId="0" applyFont="0" applyFill="0" applyBorder="0" applyAlignment="0" applyProtection="0"/>
    <xf numFmtId="201" fontId="7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73" fillId="0" borderId="0" applyFont="0" applyFill="0" applyBorder="0" applyAlignment="0" applyProtection="0"/>
    <xf numFmtId="194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194" fontId="83" fillId="0" borderId="0" applyFont="0" applyFill="0" applyBorder="0" applyAlignment="0" applyProtection="0"/>
    <xf numFmtId="201" fontId="7" fillId="0" borderId="0" applyFont="0" applyFill="0" applyBorder="0" applyAlignment="0" applyProtection="0"/>
    <xf numFmtId="202" fontId="87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83" fillId="0" borderId="0" applyFont="0" applyFill="0" applyBorder="0" applyAlignment="0" applyProtection="0"/>
    <xf numFmtId="203" fontId="7" fillId="0" borderId="0" applyFont="0" applyFill="0" applyBorder="0" applyAlignment="0" applyProtection="0"/>
    <xf numFmtId="194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194" fontId="88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94" fontId="83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95" fillId="0" borderId="0" applyFont="0" applyFill="0" applyBorder="0" applyAlignment="0" applyProtection="0"/>
    <xf numFmtId="194" fontId="73" fillId="0" borderId="0" applyFont="0" applyFill="0" applyBorder="0" applyAlignment="0" applyProtection="0"/>
    <xf numFmtId="194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87" fillId="0" borderId="0" applyFont="0" applyFill="0" applyBorder="0" applyAlignment="0" applyProtection="0"/>
    <xf numFmtId="205" fontId="7" fillId="0" borderId="0" applyFont="0" applyFill="0" applyBorder="0" applyAlignment="0" applyProtection="0"/>
    <xf numFmtId="0" fontId="87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206" fontId="90" fillId="0" borderId="0" applyFont="0" applyFill="0" applyBorder="0" applyAlignment="0" applyProtection="0"/>
    <xf numFmtId="194" fontId="88" fillId="0" borderId="0" applyFont="0" applyFill="0" applyBorder="0" applyAlignment="0" applyProtection="0"/>
    <xf numFmtId="201" fontId="7" fillId="0" borderId="0" applyFont="0" applyFill="0" applyBorder="0" applyAlignment="0" applyProtection="0"/>
    <xf numFmtId="194" fontId="83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194" fontId="7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9" fillId="0" borderId="0" applyFont="0" applyFill="0" applyBorder="0" applyAlignment="0" applyProtection="0"/>
    <xf numFmtId="194" fontId="24" fillId="0" borderId="0" applyFont="0" applyFill="0" applyBorder="0" applyAlignment="0" applyProtection="0"/>
    <xf numFmtId="206" fontId="90" fillId="0" borderId="0" applyFont="0" applyFill="0" applyBorder="0" applyAlignment="0" applyProtection="0"/>
    <xf numFmtId="44" fontId="91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96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194" fontId="24" fillId="0" borderId="0" applyFont="0" applyFill="0" applyBorder="0" applyAlignment="0" applyProtection="0"/>
    <xf numFmtId="201" fontId="7" fillId="0" borderId="0" applyFont="0" applyFill="0" applyBorder="0" applyAlignment="0" applyProtection="0"/>
    <xf numFmtId="44" fontId="83" fillId="0" borderId="0" applyFont="0" applyFill="0" applyBorder="0" applyAlignment="0" applyProtection="0"/>
    <xf numFmtId="44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194" fontId="88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83" fillId="0" borderId="0" applyFont="0" applyFill="0" applyBorder="0" applyAlignment="0" applyProtection="0"/>
    <xf numFmtId="42" fontId="77" fillId="0" borderId="0" applyFont="0" applyFill="0" applyBorder="0" applyAlignment="0" applyProtection="0"/>
    <xf numFmtId="44" fontId="77" fillId="0" borderId="0" applyFont="0" applyFill="0" applyBorder="0" applyAlignment="0" applyProtection="0"/>
    <xf numFmtId="42" fontId="79" fillId="0" borderId="0" applyFont="0" applyFill="0" applyBorder="0" applyAlignment="0" applyProtection="0"/>
    <xf numFmtId="44" fontId="7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42" fontId="76" fillId="0" borderId="0" applyFont="0" applyFill="0" applyBorder="0" applyAlignment="0" applyProtection="0"/>
    <xf numFmtId="44" fontId="76" fillId="0" borderId="0" applyFont="0" applyFill="0" applyBorder="0" applyAlignment="0" applyProtection="0"/>
    <xf numFmtId="0" fontId="96" fillId="0" borderId="0"/>
    <xf numFmtId="18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208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0" fontId="17" fillId="0" borderId="0" applyFont="0" applyFill="0" applyBorder="0" applyAlignment="0" applyProtection="0"/>
    <xf numFmtId="209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93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7" fontId="92" fillId="0" borderId="0" applyFont="0" applyFill="0" applyBorder="0" applyAlignment="0" applyProtection="0"/>
    <xf numFmtId="197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2" fillId="0" borderId="0" applyFont="0" applyFill="0" applyBorder="0" applyAlignment="0" applyProtection="0"/>
    <xf numFmtId="43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17" fillId="0" borderId="0" applyFont="0" applyFill="0" applyBorder="0" applyAlignment="0" applyProtection="0"/>
    <xf numFmtId="208" fontId="94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93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61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93" fillId="0" borderId="0" applyFont="0" applyFill="0" applyBorder="0" applyAlignment="0" applyProtection="0"/>
    <xf numFmtId="197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0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93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17" fillId="0" borderId="0" applyFont="0" applyFill="0" applyBorder="0" applyAlignment="0" applyProtection="0"/>
    <xf numFmtId="208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7" fontId="92" fillId="0" borderId="0" applyFont="0" applyFill="0" applyBorder="0" applyAlignment="0" applyProtection="0"/>
    <xf numFmtId="208" fontId="17" fillId="0" borderId="0" applyFont="0" applyFill="0" applyBorder="0" applyAlignment="0" applyProtection="0"/>
    <xf numFmtId="207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87" fontId="24" fillId="0" borderId="0" applyFont="0" applyFill="0" applyBorder="0" applyAlignment="0" applyProtection="0"/>
    <xf numFmtId="41" fontId="8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187" fontId="73" fillId="0" borderId="0" applyFont="0" applyFill="0" applyBorder="0" applyAlignment="0" applyProtection="0"/>
    <xf numFmtId="187" fontId="7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24" fillId="0" borderId="0" applyFont="0" applyFill="0" applyBorder="0" applyAlignment="0"/>
    <xf numFmtId="187" fontId="73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7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38" fontId="24" fillId="0" borderId="0" applyFont="0" applyFill="0" applyBorder="0" applyAlignment="0" applyProtection="0"/>
    <xf numFmtId="187" fontId="7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210" fontId="90" fillId="0" borderId="0" applyFont="0" applyFill="0" applyBorder="0" applyAlignment="0" applyProtection="0"/>
    <xf numFmtId="187" fontId="8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187" fontId="7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9" fillId="0" borderId="0" applyFont="0" applyFill="0" applyBorder="0" applyAlignment="0" applyProtection="0"/>
    <xf numFmtId="210" fontId="98" fillId="0" borderId="0" applyFont="0" applyFill="0" applyBorder="0" applyAlignment="0" applyProtection="0"/>
    <xf numFmtId="210" fontId="90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07" fontId="24" fillId="0" borderId="0" applyFont="0" applyFill="0" applyBorder="0" applyAlignment="0" applyProtection="0"/>
    <xf numFmtId="43" fontId="84" fillId="0" borderId="0" applyFont="0" applyFill="0" applyBorder="0" applyAlignment="0" applyProtection="0"/>
    <xf numFmtId="207" fontId="24" fillId="0" borderId="0" applyFont="0" applyFill="0" applyBorder="0" applyAlignment="0" applyProtection="0"/>
    <xf numFmtId="207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207" fontId="73" fillId="0" borderId="0" applyFont="0" applyFill="0" applyBorder="0" applyAlignment="0" applyProtection="0"/>
    <xf numFmtId="207" fontId="73" fillId="0" borderId="0" applyFont="0" applyFill="0" applyBorder="0" applyAlignment="0" applyProtection="0"/>
    <xf numFmtId="207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207" fontId="73" fillId="0" borderId="0" applyFont="0" applyFill="0" applyBorder="0" applyAlignment="0" applyProtection="0"/>
    <xf numFmtId="207" fontId="24" fillId="0" borderId="0" applyFont="0" applyFill="0" applyBorder="0" applyAlignment="0" applyProtection="0"/>
    <xf numFmtId="207" fontId="73" fillId="0" borderId="0" applyFont="0" applyFill="0" applyBorder="0" applyAlignment="0" applyProtection="0"/>
    <xf numFmtId="207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207" fontId="73" fillId="0" borderId="0" applyFont="0" applyFill="0" applyBorder="0" applyAlignment="0" applyProtection="0"/>
    <xf numFmtId="207" fontId="2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211" fontId="90" fillId="0" borderId="0" applyFont="0" applyFill="0" applyBorder="0" applyAlignment="0" applyProtection="0"/>
    <xf numFmtId="207" fontId="88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24" fillId="0" borderId="0" applyFont="0" applyFill="0" applyBorder="0" applyAlignment="0" applyProtection="0"/>
    <xf numFmtId="207" fontId="7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9" fillId="0" borderId="0" applyFont="0" applyFill="0" applyBorder="0" applyAlignment="0" applyProtection="0"/>
    <xf numFmtId="211" fontId="98" fillId="0" borderId="0" applyFont="0" applyFill="0" applyBorder="0" applyAlignment="0" applyProtection="0"/>
    <xf numFmtId="211" fontId="90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3" fillId="0" borderId="0" applyFont="0" applyFill="0" applyBorder="0" applyAlignment="0" applyProtection="0"/>
    <xf numFmtId="58" fontId="7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Protection="0">
      <alignment horizontal="left"/>
    </xf>
    <xf numFmtId="0" fontId="92" fillId="0" borderId="0"/>
    <xf numFmtId="0" fontId="75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7" fillId="0" borderId="0"/>
    <xf numFmtId="0" fontId="92" fillId="0" borderId="0"/>
    <xf numFmtId="0" fontId="93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3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3" fillId="0" borderId="0"/>
    <xf numFmtId="0" fontId="92" fillId="0" borderId="0"/>
    <xf numFmtId="0" fontId="9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3" fillId="0" borderId="0"/>
    <xf numFmtId="0" fontId="17" fillId="0" borderId="0"/>
    <xf numFmtId="0" fontId="17" fillId="0" borderId="0"/>
    <xf numFmtId="0" fontId="17" fillId="0" borderId="0"/>
    <xf numFmtId="0" fontId="92" fillId="0" borderId="0"/>
    <xf numFmtId="0" fontId="93" fillId="0" borderId="0"/>
    <xf numFmtId="0" fontId="92" fillId="0" borderId="0"/>
    <xf numFmtId="0" fontId="92" fillId="0" borderId="0"/>
    <xf numFmtId="0" fontId="93" fillId="0" borderId="0"/>
    <xf numFmtId="0" fontId="1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3" fillId="0" borderId="0"/>
    <xf numFmtId="0" fontId="17" fillId="0" borderId="0"/>
    <xf numFmtId="0" fontId="93" fillId="0" borderId="0"/>
    <xf numFmtId="0" fontId="92" fillId="0" borderId="0"/>
    <xf numFmtId="0" fontId="92" fillId="0" borderId="0"/>
    <xf numFmtId="0" fontId="17" fillId="0" borderId="0"/>
    <xf numFmtId="212" fontId="10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2" fillId="0" borderId="0"/>
    <xf numFmtId="0" fontId="93" fillId="0" borderId="0"/>
    <xf numFmtId="0" fontId="93" fillId="0" borderId="0"/>
    <xf numFmtId="0" fontId="93" fillId="0" borderId="0"/>
    <xf numFmtId="0" fontId="92" fillId="0" borderId="0"/>
    <xf numFmtId="0" fontId="93" fillId="0" borderId="0"/>
    <xf numFmtId="0" fontId="17" fillId="0" borderId="0"/>
    <xf numFmtId="0" fontId="17" fillId="0" borderId="0"/>
    <xf numFmtId="0" fontId="93" fillId="0" borderId="0"/>
    <xf numFmtId="212" fontId="101" fillId="0" borderId="0"/>
    <xf numFmtId="0" fontId="92" fillId="0" borderId="0"/>
    <xf numFmtId="0" fontId="93" fillId="0" borderId="0"/>
    <xf numFmtId="0" fontId="17" fillId="0" borderId="0"/>
    <xf numFmtId="0" fontId="93" fillId="0" borderId="0"/>
    <xf numFmtId="0" fontId="93" fillId="0" borderId="0"/>
    <xf numFmtId="0" fontId="17" fillId="0" borderId="0"/>
    <xf numFmtId="0" fontId="102" fillId="0" borderId="0"/>
    <xf numFmtId="0" fontId="92" fillId="0" borderId="0"/>
    <xf numFmtId="0" fontId="9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3" fillId="0" borderId="0"/>
    <xf numFmtId="0" fontId="17" fillId="0" borderId="0"/>
    <xf numFmtId="0" fontId="17" fillId="0" borderId="0"/>
    <xf numFmtId="0" fontId="93" fillId="0" borderId="0"/>
    <xf numFmtId="0" fontId="17" fillId="0" borderId="0"/>
    <xf numFmtId="0" fontId="93" fillId="0" borderId="0"/>
    <xf numFmtId="0" fontId="92" fillId="0" borderId="0"/>
    <xf numFmtId="0" fontId="17" fillId="0" borderId="0"/>
    <xf numFmtId="0" fontId="93" fillId="0" borderId="0"/>
    <xf numFmtId="0" fontId="17" fillId="0" borderId="0"/>
    <xf numFmtId="39" fontId="19" fillId="0" borderId="0"/>
    <xf numFmtId="0" fontId="17" fillId="0" borderId="0"/>
    <xf numFmtId="0" fontId="17" fillId="0" borderId="0"/>
    <xf numFmtId="0" fontId="93" fillId="0" borderId="0"/>
    <xf numFmtId="0" fontId="17" fillId="0" borderId="0"/>
    <xf numFmtId="0" fontId="17" fillId="0" borderId="0"/>
    <xf numFmtId="0" fontId="92" fillId="0" borderId="0"/>
    <xf numFmtId="0" fontId="92" fillId="0" borderId="0"/>
    <xf numFmtId="0" fontId="17" fillId="0" borderId="0"/>
    <xf numFmtId="0" fontId="92" fillId="0" borderId="0"/>
    <xf numFmtId="0" fontId="9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2" fillId="0" borderId="0"/>
    <xf numFmtId="0" fontId="92" fillId="0" borderId="0"/>
    <xf numFmtId="0" fontId="92" fillId="0" borderId="0"/>
    <xf numFmtId="0" fontId="17" fillId="0" borderId="0"/>
    <xf numFmtId="0" fontId="17" fillId="0" borderId="0"/>
    <xf numFmtId="0" fontId="17" fillId="0" borderId="0"/>
    <xf numFmtId="0" fontId="92" fillId="0" borderId="0"/>
    <xf numFmtId="0" fontId="17" fillId="0" borderId="0"/>
    <xf numFmtId="39" fontId="19" fillId="0" borderId="0"/>
    <xf numFmtId="0" fontId="92" fillId="0" borderId="0"/>
    <xf numFmtId="0" fontId="92" fillId="0" borderId="0"/>
    <xf numFmtId="0" fontId="17" fillId="0" borderId="0"/>
    <xf numFmtId="0" fontId="17" fillId="0" borderId="0"/>
    <xf numFmtId="0" fontId="93" fillId="0" borderId="0"/>
    <xf numFmtId="0" fontId="93" fillId="0" borderId="0"/>
    <xf numFmtId="0" fontId="10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3" fillId="0" borderId="0"/>
    <xf numFmtId="0" fontId="17" fillId="0" borderId="0"/>
    <xf numFmtId="0" fontId="17" fillId="0" borderId="0"/>
    <xf numFmtId="0" fontId="93" fillId="0" borderId="0"/>
    <xf numFmtId="0" fontId="93" fillId="0" borderId="0"/>
    <xf numFmtId="0" fontId="17" fillId="0" borderId="0"/>
    <xf numFmtId="0" fontId="93" fillId="0" borderId="0"/>
    <xf numFmtId="0" fontId="17" fillId="0" borderId="0"/>
    <xf numFmtId="0" fontId="9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2" fillId="0" borderId="0"/>
    <xf numFmtId="0" fontId="92" fillId="0" borderId="0"/>
    <xf numFmtId="0" fontId="9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3" fillId="0" borderId="0"/>
    <xf numFmtId="0" fontId="93" fillId="0" borderId="0"/>
    <xf numFmtId="0" fontId="17" fillId="0" borderId="0"/>
    <xf numFmtId="0" fontId="17" fillId="0" borderId="0"/>
    <xf numFmtId="0" fontId="92" fillId="0" borderId="0"/>
    <xf numFmtId="0" fontId="92" fillId="0" borderId="0"/>
    <xf numFmtId="0" fontId="93" fillId="0" borderId="0"/>
    <xf numFmtId="0" fontId="93" fillId="0" borderId="0"/>
    <xf numFmtId="0" fontId="17" fillId="0" borderId="0"/>
    <xf numFmtId="0" fontId="93" fillId="0" borderId="0"/>
    <xf numFmtId="0" fontId="93" fillId="0" borderId="0"/>
    <xf numFmtId="39" fontId="19" fillId="0" borderId="0"/>
    <xf numFmtId="0" fontId="17" fillId="0" borderId="0"/>
    <xf numFmtId="0" fontId="61" fillId="0" borderId="0"/>
    <xf numFmtId="0" fontId="103" fillId="0" borderId="0" applyFont="0"/>
    <xf numFmtId="0" fontId="9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9" fontId="19" fillId="0" borderId="0"/>
    <xf numFmtId="0" fontId="17" fillId="0" borderId="0"/>
    <xf numFmtId="0" fontId="93" fillId="0" borderId="0"/>
    <xf numFmtId="0" fontId="102" fillId="0" borderId="0"/>
    <xf numFmtId="0" fontId="92" fillId="0" borderId="0"/>
    <xf numFmtId="0" fontId="17" fillId="0" borderId="0"/>
    <xf numFmtId="39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4" fillId="0" borderId="0"/>
    <xf numFmtId="0" fontId="72" fillId="0" borderId="0"/>
    <xf numFmtId="0" fontId="77" fillId="0" borderId="0"/>
    <xf numFmtId="0" fontId="82" fillId="0" borderId="0"/>
    <xf numFmtId="0" fontId="80" fillId="0" borderId="0"/>
    <xf numFmtId="0" fontId="81" fillId="0" borderId="0"/>
    <xf numFmtId="0" fontId="104" fillId="0" borderId="0"/>
    <xf numFmtId="0" fontId="79" fillId="0" borderId="0"/>
    <xf numFmtId="0" fontId="8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105" fillId="0" borderId="0"/>
    <xf numFmtId="0" fontId="106" fillId="0" borderId="0"/>
    <xf numFmtId="0" fontId="107" fillId="0" borderId="0"/>
    <xf numFmtId="0" fontId="24" fillId="0" borderId="0"/>
    <xf numFmtId="0" fontId="73" fillId="0" borderId="0"/>
    <xf numFmtId="0" fontId="95" fillId="0" borderId="0"/>
    <xf numFmtId="0" fontId="108" fillId="0" borderId="0">
      <alignment vertical="center"/>
    </xf>
    <xf numFmtId="0" fontId="109" fillId="0" borderId="0">
      <alignment vertical="center"/>
    </xf>
    <xf numFmtId="0" fontId="73" fillId="0" borderId="0"/>
    <xf numFmtId="0" fontId="24" fillId="0" borderId="0"/>
    <xf numFmtId="0" fontId="73" fillId="0" borderId="0"/>
    <xf numFmtId="0" fontId="83" fillId="0" borderId="0"/>
    <xf numFmtId="0" fontId="85" fillId="0" borderId="0"/>
    <xf numFmtId="0" fontId="24" fillId="0" borderId="0"/>
    <xf numFmtId="0" fontId="73" fillId="0" borderId="0"/>
    <xf numFmtId="0" fontId="88" fillId="0" borderId="0"/>
    <xf numFmtId="0" fontId="73" fillId="0" borderId="0"/>
    <xf numFmtId="0" fontId="24" fillId="0" borderId="0"/>
    <xf numFmtId="0" fontId="110" fillId="0" borderId="0"/>
    <xf numFmtId="0" fontId="110" fillId="0" borderId="0"/>
    <xf numFmtId="0" fontId="73" fillId="0" borderId="0"/>
    <xf numFmtId="0" fontId="24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97" fillId="0" borderId="0"/>
    <xf numFmtId="0" fontId="198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97" fillId="0" borderId="0"/>
    <xf numFmtId="0" fontId="198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97" fillId="0" borderId="0"/>
    <xf numFmtId="0" fontId="198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97" fillId="0" borderId="0"/>
    <xf numFmtId="0" fontId="198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24" fillId="0" borderId="0"/>
    <xf numFmtId="0" fontId="73" fillId="0" borderId="0"/>
    <xf numFmtId="0" fontId="73" fillId="0" borderId="0"/>
    <xf numFmtId="0" fontId="24" fillId="0" borderId="0"/>
    <xf numFmtId="0" fontId="73" fillId="0" borderId="0"/>
    <xf numFmtId="0" fontId="83" fillId="0" borderId="0"/>
    <xf numFmtId="0" fontId="84" fillId="0" borderId="0"/>
    <xf numFmtId="0" fontId="83" fillId="0" borderId="0"/>
    <xf numFmtId="0" fontId="84" fillId="0" borderId="0"/>
    <xf numFmtId="0" fontId="83" fillId="0" borderId="0"/>
    <xf numFmtId="0" fontId="73" fillId="0" borderId="0"/>
    <xf numFmtId="0" fontId="24" fillId="0" borderId="0"/>
    <xf numFmtId="0" fontId="73" fillId="0" borderId="0"/>
    <xf numFmtId="0" fontId="113" fillId="0" borderId="0"/>
    <xf numFmtId="0" fontId="84" fillId="0" borderId="0"/>
    <xf numFmtId="0" fontId="83" fillId="0" borderId="0"/>
    <xf numFmtId="0" fontId="84" fillId="0" borderId="0"/>
    <xf numFmtId="0" fontId="88" fillId="0" borderId="0"/>
    <xf numFmtId="0" fontId="84" fillId="0" borderId="0"/>
    <xf numFmtId="0" fontId="83" fillId="0" borderId="0"/>
    <xf numFmtId="0" fontId="89" fillId="0" borderId="0"/>
    <xf numFmtId="0" fontId="88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199" fillId="0" borderId="0"/>
    <xf numFmtId="0" fontId="200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199" fillId="0" borderId="0"/>
    <xf numFmtId="0" fontId="200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83" fillId="0" borderId="0"/>
    <xf numFmtId="0" fontId="84" fillId="0" borderId="0"/>
    <xf numFmtId="0" fontId="83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114" fillId="0" borderId="0"/>
    <xf numFmtId="0" fontId="24" fillId="0" borderId="0"/>
    <xf numFmtId="0" fontId="115" fillId="0" borderId="0"/>
    <xf numFmtId="0" fontId="88" fillId="0" borderId="0"/>
    <xf numFmtId="0" fontId="73" fillId="0" borderId="0"/>
    <xf numFmtId="0" fontId="24" fillId="0" borderId="0"/>
    <xf numFmtId="0" fontId="73" fillId="0" borderId="0"/>
    <xf numFmtId="0" fontId="88" fillId="0" borderId="0"/>
    <xf numFmtId="0" fontId="89" fillId="0" borderId="0"/>
    <xf numFmtId="0" fontId="98" fillId="0" borderId="0" applyBorder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88" fillId="0" borderId="0"/>
    <xf numFmtId="0" fontId="90" fillId="0" borderId="0" applyBorder="0"/>
    <xf numFmtId="0" fontId="24" fillId="0" borderId="0"/>
    <xf numFmtId="0" fontId="73" fillId="0" borderId="0"/>
    <xf numFmtId="0" fontId="83" fillId="0" borderId="0"/>
    <xf numFmtId="0" fontId="73" fillId="0" borderId="0"/>
    <xf numFmtId="0" fontId="88" fillId="0" borderId="0"/>
    <xf numFmtId="0" fontId="115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199" fillId="0" borderId="0"/>
    <xf numFmtId="0" fontId="200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199" fillId="0" borderId="0"/>
    <xf numFmtId="0" fontId="200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199" fillId="0" borderId="0"/>
    <xf numFmtId="0" fontId="200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199" fillId="0" borderId="0"/>
    <xf numFmtId="0" fontId="200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199" fillId="0" borderId="0"/>
    <xf numFmtId="0" fontId="200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24" fillId="0" borderId="0"/>
    <xf numFmtId="0" fontId="73" fillId="0" borderId="0"/>
    <xf numFmtId="0" fontId="83" fillId="0" borderId="0"/>
    <xf numFmtId="0" fontId="84" fillId="0" borderId="0"/>
    <xf numFmtId="0" fontId="17" fillId="0" borderId="0"/>
    <xf numFmtId="0" fontId="17" fillId="0" borderId="0"/>
    <xf numFmtId="0" fontId="24" fillId="0" borderId="0"/>
    <xf numFmtId="0" fontId="84" fillId="0" borderId="0"/>
    <xf numFmtId="0" fontId="83" fillId="0" borderId="0"/>
    <xf numFmtId="0" fontId="73" fillId="0" borderId="0"/>
    <xf numFmtId="0" fontId="116" fillId="0" borderId="0"/>
    <xf numFmtId="0" fontId="90" fillId="0" borderId="0" applyBorder="0"/>
    <xf numFmtId="0" fontId="117" fillId="0" borderId="0" applyFont="0" applyAlignment="0"/>
    <xf numFmtId="0" fontId="118" fillId="0" borderId="0" applyFont="0" applyAlignment="0"/>
    <xf numFmtId="0" fontId="24" fillId="0" borderId="0"/>
    <xf numFmtId="0" fontId="73" fillId="0" borderId="0"/>
    <xf numFmtId="0" fontId="98" fillId="0" borderId="0" applyBorder="0"/>
    <xf numFmtId="0" fontId="90" fillId="0" borderId="0" applyBorder="0"/>
    <xf numFmtId="0" fontId="91" fillId="0" borderId="0"/>
    <xf numFmtId="0" fontId="115" fillId="0" borderId="0"/>
    <xf numFmtId="0" fontId="110" fillId="0" borderId="0"/>
    <xf numFmtId="0" fontId="110" fillId="0" borderId="0"/>
    <xf numFmtId="0" fontId="24" fillId="0" borderId="0"/>
    <xf numFmtId="0" fontId="84" fillId="0" borderId="0"/>
    <xf numFmtId="0" fontId="106" fillId="0" borderId="0"/>
    <xf numFmtId="0" fontId="84" fillId="0" borderId="0"/>
    <xf numFmtId="0" fontId="83" fillId="0" borderId="0"/>
    <xf numFmtId="0" fontId="107" fillId="0" borderId="0"/>
    <xf numFmtId="0" fontId="97" fillId="0" borderId="0"/>
    <xf numFmtId="0" fontId="107" fillId="0" borderId="0"/>
    <xf numFmtId="0" fontId="24" fillId="0" borderId="0"/>
    <xf numFmtId="0" fontId="73" fillId="0" borderId="0"/>
    <xf numFmtId="0" fontId="24" fillId="0" borderId="0"/>
    <xf numFmtId="0" fontId="115" fillId="0" borderId="0"/>
    <xf numFmtId="0" fontId="83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201" fillId="0" borderId="0"/>
    <xf numFmtId="0" fontId="202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201" fillId="0" borderId="0"/>
    <xf numFmtId="0" fontId="202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201" fillId="0" borderId="0"/>
    <xf numFmtId="0" fontId="202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201" fillId="0" borderId="0"/>
    <xf numFmtId="0" fontId="202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201" fillId="0" borderId="0"/>
    <xf numFmtId="0" fontId="202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201" fillId="0" borderId="0"/>
    <xf numFmtId="0" fontId="202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201" fillId="0" borderId="0"/>
    <xf numFmtId="0" fontId="202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24" fillId="0" borderId="0" applyBorder="0"/>
    <xf numFmtId="0" fontId="73" fillId="0" borderId="0" applyBorder="0"/>
    <xf numFmtId="0" fontId="24" fillId="0" borderId="0"/>
    <xf numFmtId="0" fontId="119" fillId="0" borderId="0"/>
    <xf numFmtId="0" fontId="83" fillId="0" borderId="0"/>
    <xf numFmtId="0" fontId="84" fillId="0" borderId="0"/>
    <xf numFmtId="0" fontId="24" fillId="0" borderId="0"/>
    <xf numFmtId="0" fontId="73" fillId="0" borderId="0"/>
    <xf numFmtId="0" fontId="24" fillId="0" borderId="0"/>
    <xf numFmtId="0" fontId="7" fillId="0" borderId="0" applyFill="0" applyBorder="0" applyAlignment="0"/>
    <xf numFmtId="213" fontId="19" fillId="0" borderId="0" applyFill="0" applyBorder="0" applyAlignment="0"/>
    <xf numFmtId="214" fontId="19" fillId="0" borderId="0" applyFill="0" applyBorder="0" applyAlignment="0"/>
    <xf numFmtId="215" fontId="17" fillId="0" borderId="0" applyFill="0" applyBorder="0" applyAlignment="0"/>
    <xf numFmtId="216" fontId="17" fillId="0" borderId="0" applyFill="0" applyBorder="0" applyAlignment="0"/>
    <xf numFmtId="196" fontId="19" fillId="0" borderId="0" applyFill="0" applyBorder="0" applyAlignment="0"/>
    <xf numFmtId="217" fontId="19" fillId="0" borderId="0" applyFill="0" applyBorder="0" applyAlignment="0"/>
    <xf numFmtId="213" fontId="19" fillId="0" borderId="0" applyFill="0" applyBorder="0" applyAlignment="0"/>
    <xf numFmtId="0" fontId="17" fillId="0" borderId="0" applyFont="0"/>
    <xf numFmtId="0" fontId="120" fillId="0" borderId="0"/>
    <xf numFmtId="0" fontId="17" fillId="0" borderId="0" applyFont="0"/>
    <xf numFmtId="0" fontId="17" fillId="0" borderId="0" applyFont="0"/>
    <xf numFmtId="0" fontId="61" fillId="0" borderId="75">
      <alignment horizontal="center"/>
    </xf>
    <xf numFmtId="0" fontId="121" fillId="0" borderId="0" applyNumberFormat="0" applyFill="0" applyBorder="0" applyProtection="0">
      <alignment horizontal="center" wrapText="1"/>
    </xf>
    <xf numFmtId="0" fontId="122" fillId="0" borderId="0" applyNumberFormat="0" applyFill="0" applyBorder="0" applyProtection="0">
      <alignment horizontal="right"/>
    </xf>
    <xf numFmtId="4" fontId="123" fillId="0" borderId="0">
      <protection locked="0"/>
    </xf>
    <xf numFmtId="0" fontId="19" fillId="0" borderId="96"/>
    <xf numFmtId="0" fontId="9" fillId="0" borderId="0" applyFont="0" applyFill="0" applyBorder="0" applyAlignment="0" applyProtection="0"/>
    <xf numFmtId="196" fontId="19" fillId="0" borderId="0" applyFont="0" applyFill="0" applyBorder="0" applyAlignment="0" applyProtection="0"/>
    <xf numFmtId="218" fontId="124" fillId="0" borderId="0"/>
    <xf numFmtId="3" fontId="125" fillId="0" borderId="0" applyFont="0" applyFill="0" applyBorder="0" applyAlignment="0" applyProtection="0"/>
    <xf numFmtId="0" fontId="126" fillId="0" borderId="0" applyNumberFormat="0" applyAlignment="0">
      <alignment horizontal="left"/>
    </xf>
    <xf numFmtId="0" fontId="19" fillId="0" borderId="96"/>
    <xf numFmtId="0" fontId="63" fillId="0" borderId="0" applyFont="0" applyFill="0" applyBorder="0" applyAlignment="0" applyProtection="0"/>
    <xf numFmtId="219" fontId="123" fillId="0" borderId="0">
      <protection locked="0"/>
    </xf>
    <xf numFmtId="0" fontId="9" fillId="0" borderId="0" applyFont="0" applyFill="0" applyBorder="0" applyAlignment="0" applyProtection="0"/>
    <xf numFmtId="213" fontId="19" fillId="0" borderId="0" applyFont="0" applyFill="0" applyBorder="0" applyAlignment="0" applyProtection="0"/>
    <xf numFmtId="196" fontId="17" fillId="0" borderId="0" applyFont="0" applyFill="0" applyBorder="0" applyAlignment="0" applyProtection="0"/>
    <xf numFmtId="220" fontId="125" fillId="0" borderId="0" applyFont="0" applyFill="0" applyBorder="0" applyAlignment="0" applyProtection="0"/>
    <xf numFmtId="221" fontId="17" fillId="0" borderId="0"/>
    <xf numFmtId="12" fontId="17" fillId="0" borderId="0" applyFont="0" applyFill="0" applyProtection="0"/>
    <xf numFmtId="0" fontId="56" fillId="0" borderId="0" applyFont="0" applyFill="0" applyBorder="0" applyAlignment="0" applyProtection="0"/>
    <xf numFmtId="0" fontId="123" fillId="0" borderId="0">
      <protection locked="0"/>
    </xf>
    <xf numFmtId="14" fontId="38" fillId="0" borderId="0" applyFill="0" applyBorder="0" applyAlignment="0"/>
    <xf numFmtId="0" fontId="127" fillId="0" borderId="0">
      <protection locked="0"/>
    </xf>
    <xf numFmtId="222" fontId="7" fillId="0" borderId="0">
      <protection locked="0"/>
    </xf>
    <xf numFmtId="38" fontId="96" fillId="0" borderId="0" applyFont="0" applyFill="0" applyBorder="0" applyAlignment="0" applyProtection="0"/>
    <xf numFmtId="40" fontId="96" fillId="0" borderId="0" applyFont="0" applyFill="0" applyBorder="0" applyAlignment="0" applyProtection="0"/>
    <xf numFmtId="223" fontId="17" fillId="0" borderId="0"/>
    <xf numFmtId="0" fontId="128" fillId="0" borderId="0" applyNumberFormat="0" applyFill="0" applyBorder="0" applyProtection="0">
      <alignment horizontal="left"/>
    </xf>
    <xf numFmtId="196" fontId="19" fillId="0" borderId="0" applyFill="0" applyBorder="0" applyAlignment="0"/>
    <xf numFmtId="213" fontId="19" fillId="0" borderId="0" applyFill="0" applyBorder="0" applyAlignment="0"/>
    <xf numFmtId="196" fontId="19" fillId="0" borderId="0" applyFill="0" applyBorder="0" applyAlignment="0"/>
    <xf numFmtId="217" fontId="19" fillId="0" borderId="0" applyFill="0" applyBorder="0" applyAlignment="0"/>
    <xf numFmtId="213" fontId="19" fillId="0" borderId="0" applyFill="0" applyBorder="0" applyAlignment="0"/>
    <xf numFmtId="0" fontId="129" fillId="0" borderId="0" applyNumberFormat="0" applyAlignment="0">
      <alignment horizontal="left"/>
    </xf>
    <xf numFmtId="0" fontId="130" fillId="0" borderId="0" applyNumberFormat="0" applyFill="0" applyBorder="0" applyProtection="0">
      <alignment horizontal="right"/>
    </xf>
    <xf numFmtId="0" fontId="123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224" fontId="7" fillId="0" borderId="0">
      <protection locked="0"/>
    </xf>
    <xf numFmtId="225" fontId="123" fillId="0" borderId="0"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Protection="0">
      <alignment horizontal="right"/>
    </xf>
    <xf numFmtId="38" fontId="133" fillId="42" borderId="0" applyNumberFormat="0" applyBorder="0" applyAlignment="0" applyProtection="0"/>
    <xf numFmtId="0" fontId="134" fillId="0" borderId="0">
      <alignment horizontal="left"/>
    </xf>
    <xf numFmtId="0" fontId="135" fillId="0" borderId="78" applyNumberFormat="0" applyAlignment="0" applyProtection="0">
      <alignment horizontal="left" vertical="center"/>
    </xf>
    <xf numFmtId="0" fontId="135" fillId="0" borderId="80">
      <alignment horizontal="left" vertical="center"/>
    </xf>
    <xf numFmtId="0" fontId="136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8" fillId="0" borderId="0"/>
    <xf numFmtId="0" fontId="139" fillId="0" borderId="0">
      <protection locked="0"/>
    </xf>
    <xf numFmtId="0" fontId="139" fillId="0" borderId="0">
      <protection locked="0"/>
    </xf>
    <xf numFmtId="0" fontId="140" fillId="0" borderId="81" applyNumberFormat="0" applyFill="0" applyAlignment="0" applyProtection="0"/>
    <xf numFmtId="0" fontId="141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194" fontId="56" fillId="0" borderId="0" applyFont="0" applyFill="0" applyBorder="0" applyAlignment="0" applyProtection="0"/>
    <xf numFmtId="10" fontId="133" fillId="69" borderId="75" applyNumberFormat="0" applyBorder="0" applyAlignment="0" applyProtection="0"/>
    <xf numFmtId="0" fontId="142" fillId="0" borderId="0" applyNumberFormat="0" applyFill="0" applyBorder="0" applyProtection="0">
      <alignment horizontal="left"/>
    </xf>
    <xf numFmtId="210" fontId="7" fillId="0" borderId="0">
      <protection locked="0"/>
    </xf>
    <xf numFmtId="226" fontId="7" fillId="0" borderId="0">
      <protection locked="0"/>
    </xf>
    <xf numFmtId="226" fontId="7" fillId="0" borderId="0">
      <protection locked="0"/>
    </xf>
    <xf numFmtId="184" fontId="56" fillId="0" borderId="0" applyFont="0" applyFill="0" applyBorder="0" applyAlignment="0" applyProtection="0"/>
    <xf numFmtId="196" fontId="19" fillId="0" borderId="0" applyFill="0" applyBorder="0" applyAlignment="0"/>
    <xf numFmtId="213" fontId="19" fillId="0" borderId="0" applyFill="0" applyBorder="0" applyAlignment="0"/>
    <xf numFmtId="196" fontId="19" fillId="0" borderId="0" applyFill="0" applyBorder="0" applyAlignment="0"/>
    <xf numFmtId="217" fontId="19" fillId="0" borderId="0" applyFill="0" applyBorder="0" applyAlignment="0"/>
    <xf numFmtId="213" fontId="19" fillId="0" borderId="0" applyFill="0" applyBorder="0" applyAlignment="0"/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40" fontId="96" fillId="0" borderId="0" applyFont="0" applyFill="0" applyBorder="0" applyAlignment="0" applyProtection="0"/>
    <xf numFmtId="0" fontId="143" fillId="0" borderId="79"/>
    <xf numFmtId="227" fontId="96" fillId="0" borderId="0" applyFont="0" applyFill="0" applyBorder="0" applyAlignment="0" applyProtection="0"/>
    <xf numFmtId="193" fontId="17" fillId="0" borderId="0" applyFont="0" applyFill="0" applyBorder="0" applyAlignment="0" applyProtection="0"/>
    <xf numFmtId="200" fontId="7" fillId="0" borderId="0" applyFont="0" applyFill="0" applyBorder="0" applyAlignment="0" applyProtection="0"/>
    <xf numFmtId="196" fontId="38" fillId="0" borderId="0" applyFont="0" applyFill="0" applyBorder="0" applyAlignment="0" applyProtection="0"/>
    <xf numFmtId="0" fontId="124" fillId="0" borderId="0"/>
    <xf numFmtId="37" fontId="144" fillId="0" borderId="0"/>
    <xf numFmtId="0" fontId="61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7" fillId="0" borderId="0"/>
    <xf numFmtId="0" fontId="146" fillId="0" borderId="0" applyFont="0" applyFill="0" applyBorder="0" applyAlignment="0" applyProtection="0">
      <alignment horizontal="centerContinuous"/>
    </xf>
    <xf numFmtId="0" fontId="17" fillId="0" borderId="0"/>
    <xf numFmtId="40" fontId="14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0" fontId="148" fillId="0" borderId="0" applyFont="0" applyFill="0" applyBorder="0" applyAlignment="0" applyProtection="0"/>
    <xf numFmtId="38" fontId="148" fillId="0" borderId="0" applyFont="0" applyFill="0" applyBorder="0" applyAlignment="0" applyProtection="0"/>
    <xf numFmtId="0" fontId="128" fillId="0" borderId="0" applyNumberFormat="0" applyFill="0" applyBorder="0" applyProtection="0">
      <alignment horizontal="left"/>
    </xf>
    <xf numFmtId="228" fontId="123" fillId="0" borderId="0">
      <protection locked="0"/>
    </xf>
    <xf numFmtId="216" fontId="17" fillId="0" borderId="0" applyFont="0" applyFill="0" applyBorder="0" applyAlignment="0" applyProtection="0"/>
    <xf numFmtId="22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9" fontId="96" fillId="0" borderId="84" applyNumberFormat="0" applyBorder="0"/>
    <xf numFmtId="0" fontId="149" fillId="0" borderId="0" applyNumberFormat="0" applyFill="0" applyBorder="0" applyProtection="0">
      <alignment horizontal="right"/>
    </xf>
    <xf numFmtId="196" fontId="19" fillId="0" borderId="0" applyFill="0" applyBorder="0" applyAlignment="0"/>
    <xf numFmtId="213" fontId="19" fillId="0" borderId="0" applyFill="0" applyBorder="0" applyAlignment="0"/>
    <xf numFmtId="196" fontId="19" fillId="0" borderId="0" applyFill="0" applyBorder="0" applyAlignment="0"/>
    <xf numFmtId="217" fontId="19" fillId="0" borderId="0" applyFill="0" applyBorder="0" applyAlignment="0"/>
    <xf numFmtId="213" fontId="19" fillId="0" borderId="0" applyFill="0" applyBorder="0" applyAlignment="0"/>
    <xf numFmtId="4" fontId="150" fillId="0" borderId="0" applyFont="0" applyFill="0" applyBorder="0" applyProtection="0">
      <alignment horizontal="right"/>
    </xf>
    <xf numFmtId="207" fontId="56" fillId="0" borderId="0" applyFont="0" applyFill="0" applyBorder="0" applyAlignment="0" applyProtection="0"/>
    <xf numFmtId="30" fontId="151" fillId="0" borderId="0" applyNumberFormat="0" applyFill="0" applyBorder="0" applyAlignment="0" applyProtection="0">
      <alignment horizontal="left"/>
    </xf>
    <xf numFmtId="184" fontId="62" fillId="0" borderId="0" applyFont="0" applyFill="0" applyBorder="0" applyAlignment="0" applyProtection="0"/>
    <xf numFmtId="0" fontId="17" fillId="0" borderId="0"/>
    <xf numFmtId="0" fontId="62" fillId="0" borderId="0">
      <alignment vertical="center"/>
    </xf>
    <xf numFmtId="0" fontId="143" fillId="0" borderId="0"/>
    <xf numFmtId="40" fontId="152" fillId="0" borderId="0" applyBorder="0">
      <alignment horizontal="right"/>
    </xf>
    <xf numFmtId="226" fontId="7" fillId="0" borderId="85">
      <protection locked="0"/>
    </xf>
    <xf numFmtId="49" fontId="38" fillId="0" borderId="0" applyFill="0" applyBorder="0" applyAlignment="0"/>
    <xf numFmtId="0" fontId="17" fillId="0" borderId="0" applyFill="0" applyBorder="0" applyAlignment="0"/>
    <xf numFmtId="230" fontId="17" fillId="0" borderId="0" applyFill="0" applyBorder="0" applyAlignment="0"/>
    <xf numFmtId="0" fontId="24" fillId="0" borderId="0"/>
    <xf numFmtId="0" fontId="142" fillId="0" borderId="0" applyNumberFormat="0" applyFill="0" applyBorder="0" applyProtection="0">
      <alignment horizontal="left"/>
    </xf>
    <xf numFmtId="0" fontId="123" fillId="0" borderId="82">
      <protection locked="0"/>
    </xf>
    <xf numFmtId="37" fontId="133" fillId="43" borderId="0" applyNumberFormat="0" applyBorder="0" applyAlignment="0" applyProtection="0"/>
    <xf numFmtId="37" fontId="133" fillId="0" borderId="0"/>
    <xf numFmtId="37" fontId="133" fillId="43" borderId="0" applyNumberFormat="0" applyBorder="0" applyAlignment="0" applyProtection="0"/>
    <xf numFmtId="3" fontId="153" fillId="0" borderId="81" applyProtection="0"/>
    <xf numFmtId="0" fontId="154" fillId="0" borderId="0" applyNumberFormat="0" applyFill="0" applyBorder="0" applyAlignment="0" applyProtection="0"/>
    <xf numFmtId="0" fontId="100" fillId="70" borderId="97" applyNumberFormat="0" applyAlignment="0" applyProtection="0"/>
    <xf numFmtId="0" fontId="155" fillId="0" borderId="0" applyNumberFormat="0" applyFill="0" applyBorder="0" applyProtection="0">
      <alignment horizontal="right"/>
    </xf>
    <xf numFmtId="194" fontId="7" fillId="0" borderId="0" applyFont="0" applyFill="0" applyBorder="0" applyAlignment="0" applyProtection="0"/>
    <xf numFmtId="231" fontId="62" fillId="0" borderId="0" applyFont="0" applyFill="0" applyBorder="0" applyAlignment="0" applyProtection="0"/>
    <xf numFmtId="232" fontId="7" fillId="0" borderId="0">
      <protection locked="0"/>
    </xf>
    <xf numFmtId="194" fontId="56" fillId="0" borderId="0" applyFont="0" applyFill="0" applyBorder="0" applyAlignment="0" applyProtection="0"/>
    <xf numFmtId="0" fontId="56" fillId="0" borderId="0"/>
    <xf numFmtId="0" fontId="71" fillId="59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62" borderId="0" applyNumberFormat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7" fillId="63" borderId="86" applyNumberFormat="0" applyAlignment="0" applyProtection="0">
      <alignment vertical="center"/>
    </xf>
    <xf numFmtId="2" fontId="18" fillId="0" borderId="0" applyFont="0" applyFill="0" applyBorder="0" applyAlignment="0" applyProtection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233" fontId="69" fillId="0" borderId="0"/>
    <xf numFmtId="233" fontId="69" fillId="0" borderId="0"/>
    <xf numFmtId="233" fontId="69" fillId="0" borderId="0"/>
    <xf numFmtId="233" fontId="69" fillId="0" borderId="0"/>
    <xf numFmtId="233" fontId="69" fillId="0" borderId="0"/>
    <xf numFmtId="233" fontId="69" fillId="0" borderId="0"/>
    <xf numFmtId="233" fontId="69" fillId="0" borderId="0"/>
    <xf numFmtId="233" fontId="69" fillId="0" borderId="0"/>
    <xf numFmtId="233" fontId="69" fillId="0" borderId="0"/>
    <xf numFmtId="233" fontId="69" fillId="0" borderId="0"/>
    <xf numFmtId="233" fontId="69" fillId="0" borderId="0"/>
    <xf numFmtId="0" fontId="160" fillId="0" borderId="0"/>
    <xf numFmtId="9" fontId="161" fillId="0" borderId="0" applyFont="0" applyFill="0" applyBorder="0" applyAlignment="0" applyProtection="0"/>
    <xf numFmtId="234" fontId="7" fillId="0" borderId="75">
      <alignment horizontal="right" vertical="center" shrinkToFit="1"/>
    </xf>
    <xf numFmtId="0" fontId="162" fillId="46" borderId="0" applyNumberFormat="0" applyBorder="0" applyAlignment="0" applyProtection="0">
      <alignment vertical="center"/>
    </xf>
    <xf numFmtId="0" fontId="18" fillId="0" borderId="0" applyFont="0" applyFill="0" applyBorder="0" applyAlignment="0" applyProtection="0"/>
    <xf numFmtId="0" fontId="123" fillId="0" borderId="0">
      <protection locked="0"/>
    </xf>
    <xf numFmtId="38" fontId="163" fillId="0" borderId="0">
      <alignment vertical="center"/>
    </xf>
    <xf numFmtId="0" fontId="164" fillId="0" borderId="0" applyNumberFormat="0" applyFill="0" applyBorder="0" applyAlignment="0" applyProtection="0">
      <alignment vertical="top"/>
      <protection locked="0"/>
    </xf>
    <xf numFmtId="40" fontId="165" fillId="0" borderId="0" applyFont="0" applyFill="0" applyBorder="0" applyAlignment="0" applyProtection="0"/>
    <xf numFmtId="38" fontId="16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70" fillId="64" borderId="87" applyNumberFormat="0" applyFont="0" applyAlignment="0" applyProtection="0">
      <alignment vertical="center"/>
    </xf>
    <xf numFmtId="0" fontId="70" fillId="64" borderId="87" applyNumberFormat="0" applyFont="0" applyAlignment="0" applyProtection="0">
      <alignment vertical="center"/>
    </xf>
    <xf numFmtId="0" fontId="70" fillId="64" borderId="87" applyNumberFormat="0" applyFont="0" applyAlignment="0" applyProtection="0">
      <alignment vertical="center"/>
    </xf>
    <xf numFmtId="0" fontId="70" fillId="64" borderId="87" applyNumberFormat="0" applyFont="0" applyAlignment="0" applyProtection="0">
      <alignment vertical="center"/>
    </xf>
    <xf numFmtId="0" fontId="70" fillId="64" borderId="87" applyNumberFormat="0" applyFont="0" applyAlignment="0" applyProtection="0">
      <alignment vertical="center"/>
    </xf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6" fillId="0" borderId="0"/>
    <xf numFmtId="235" fontId="167" fillId="0" borderId="0">
      <protection locked="0"/>
    </xf>
    <xf numFmtId="235" fontId="167" fillId="0" borderId="0">
      <protection locked="0"/>
    </xf>
    <xf numFmtId="235" fontId="167" fillId="0" borderId="0">
      <protection locked="0"/>
    </xf>
    <xf numFmtId="0" fontId="168" fillId="0" borderId="98" applyFont="0" applyFill="0" applyBorder="0" applyAlignment="0" applyProtection="0"/>
    <xf numFmtId="0" fontId="168" fillId="0" borderId="0"/>
    <xf numFmtId="9" fontId="58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9" fillId="65" borderId="0" applyNumberFormat="0" applyBorder="0" applyAlignment="0" applyProtection="0">
      <alignment vertical="center"/>
    </xf>
    <xf numFmtId="0" fontId="64" fillId="0" borderId="0" applyBorder="0"/>
    <xf numFmtId="0" fontId="170" fillId="0" borderId="0"/>
    <xf numFmtId="0" fontId="170" fillId="0" borderId="0"/>
    <xf numFmtId="0" fontId="170" fillId="0" borderId="0"/>
    <xf numFmtId="0" fontId="7" fillId="0" borderId="0"/>
    <xf numFmtId="236" fontId="56" fillId="0" borderId="0" applyFont="0" applyFill="0" applyBorder="0" applyAlignment="0" applyProtection="0"/>
    <xf numFmtId="237" fontId="56" fillId="0" borderId="0" applyFont="0" applyFill="0" applyBorder="0" applyAlignment="0" applyProtection="0"/>
    <xf numFmtId="37" fontId="69" fillId="0" borderId="77" applyAlignment="0"/>
    <xf numFmtId="0" fontId="171" fillId="0" borderId="0" applyNumberFormat="0" applyFill="0" applyBorder="0" applyAlignment="0" applyProtection="0">
      <alignment vertical="center"/>
    </xf>
    <xf numFmtId="0" fontId="172" fillId="66" borderId="88" applyNumberFormat="0" applyAlignment="0" applyProtection="0">
      <alignment vertical="center"/>
    </xf>
    <xf numFmtId="184" fontId="7" fillId="0" borderId="0" applyFont="0" applyFill="0" applyBorder="0" applyAlignment="0" applyProtection="0"/>
    <xf numFmtId="0" fontId="17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03" fillId="44" borderId="75">
      <alignment vertical="center"/>
    </xf>
    <xf numFmtId="0" fontId="24" fillId="0" borderId="0" applyFont="0" applyFill="0" applyBorder="0" applyAlignment="0" applyProtection="0"/>
    <xf numFmtId="238" fontId="7" fillId="0" borderId="0" applyFont="0" applyFill="0" applyBorder="0" applyAlignment="0" applyProtection="0"/>
    <xf numFmtId="0" fontId="17" fillId="0" borderId="0" applyFont="0" applyFill="0" applyBorder="0" applyAlignment="0" applyProtection="0"/>
    <xf numFmtId="238" fontId="7" fillId="0" borderId="0" applyFont="0" applyFill="0" applyBorder="0" applyAlignment="0" applyProtection="0"/>
    <xf numFmtId="238" fontId="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5" fillId="0" borderId="99"/>
    <xf numFmtId="0" fontId="176" fillId="0" borderId="89" applyNumberFormat="0" applyFill="0" applyAlignment="0" applyProtection="0">
      <alignment vertical="center"/>
    </xf>
    <xf numFmtId="187" fontId="161" fillId="0" borderId="0" applyFont="0" applyFill="0" applyBorder="0" applyAlignment="0" applyProtection="0"/>
    <xf numFmtId="207" fontId="161" fillId="0" borderId="0" applyFont="0" applyFill="0" applyBorder="0" applyAlignment="0" applyProtection="0"/>
    <xf numFmtId="0" fontId="177" fillId="0" borderId="90" applyNumberFormat="0" applyFill="0" applyAlignment="0" applyProtection="0">
      <alignment vertical="center"/>
    </xf>
    <xf numFmtId="239" fontId="19" fillId="0" borderId="0" applyFont="0" applyFill="0" applyBorder="0" applyProtection="0">
      <alignment horizontal="right"/>
    </xf>
    <xf numFmtId="0" fontId="178" fillId="0" borderId="0"/>
    <xf numFmtId="0" fontId="179" fillId="50" borderId="86" applyNumberFormat="0" applyAlignment="0" applyProtection="0">
      <alignment vertical="center"/>
    </xf>
    <xf numFmtId="4" fontId="180" fillId="0" borderId="0" applyFont="0" applyFill="0" applyBorder="0" applyAlignment="0" applyProtection="0"/>
    <xf numFmtId="3" fontId="18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81" fillId="0" borderId="91" applyNumberFormat="0" applyFill="0" applyAlignment="0" applyProtection="0">
      <alignment vertical="center"/>
    </xf>
    <xf numFmtId="0" fontId="182" fillId="0" borderId="92" applyNumberFormat="0" applyFill="0" applyAlignment="0" applyProtection="0">
      <alignment vertical="center"/>
    </xf>
    <xf numFmtId="0" fontId="183" fillId="0" borderId="93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0" borderId="0"/>
    <xf numFmtId="0" fontId="185" fillId="47" borderId="0" applyNumberFormat="0" applyBorder="0" applyAlignment="0" applyProtection="0">
      <alignment vertical="center"/>
    </xf>
    <xf numFmtId="14" fontId="186" fillId="0" borderId="0" applyNumberFormat="0"/>
    <xf numFmtId="0" fontId="56" fillId="0" borderId="0"/>
    <xf numFmtId="0" fontId="161" fillId="0" borderId="0"/>
    <xf numFmtId="187" fontId="64" fillId="0" borderId="0" applyFont="0" applyFill="0" applyBorder="0" applyAlignment="0" applyProtection="0"/>
    <xf numFmtId="207" fontId="64" fillId="0" borderId="0" applyFont="0" applyFill="0" applyBorder="0" applyAlignment="0" applyProtection="0"/>
    <xf numFmtId="0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/>
    <xf numFmtId="0" fontId="188" fillId="63" borderId="94" applyNumberFormat="0" applyAlignment="0" applyProtection="0">
      <alignment vertical="center"/>
    </xf>
    <xf numFmtId="0" fontId="189" fillId="0" borderId="0"/>
    <xf numFmtId="235" fontId="167" fillId="0" borderId="0">
      <protection locked="0"/>
    </xf>
    <xf numFmtId="0" fontId="24" fillId="0" borderId="0" applyFont="0" applyFill="0" applyBorder="0" applyAlignment="0" applyProtection="0"/>
    <xf numFmtId="235" fontId="167" fillId="0" borderId="0">
      <protection locked="0"/>
    </xf>
    <xf numFmtId="235" fontId="167" fillId="0" borderId="0">
      <protection locked="0"/>
    </xf>
    <xf numFmtId="0" fontId="56" fillId="0" borderId="0" applyFont="0" applyFill="0" applyBorder="0" applyAlignment="0" applyProtection="0"/>
    <xf numFmtId="235" fontId="167" fillId="0" borderId="0">
      <protection locked="0"/>
    </xf>
    <xf numFmtId="0" fontId="7" fillId="0" borderId="0" applyFont="0" applyFill="0" applyBorder="0" applyAlignment="0" applyProtection="0"/>
    <xf numFmtId="0" fontId="168" fillId="0" borderId="82"/>
    <xf numFmtId="0" fontId="168" fillId="0" borderId="0"/>
    <xf numFmtId="0" fontId="168" fillId="0" borderId="0"/>
    <xf numFmtId="207" fontId="62" fillId="0" borderId="0" applyFont="0" applyFill="0" applyBorder="0" applyAlignment="0" applyProtection="0"/>
    <xf numFmtId="178" fontId="190" fillId="0" borderId="0" applyFont="0" applyFill="0" applyBorder="0" applyAlignment="0">
      <alignment vertical="center"/>
    </xf>
    <xf numFmtId="0" fontId="7" fillId="0" borderId="0" applyFont="0" applyFill="0" applyBorder="0" applyAlignment="0" applyProtection="0"/>
    <xf numFmtId="3" fontId="191" fillId="0" borderId="0"/>
    <xf numFmtId="0" fontId="65" fillId="0" borderId="0" applyFont="0" applyFill="0" applyBorder="0" applyAlignment="0" applyProtection="0"/>
    <xf numFmtId="235" fontId="167" fillId="0" borderId="0">
      <protection locked="0"/>
    </xf>
    <xf numFmtId="235" fontId="167" fillId="0" borderId="0">
      <protection locked="0"/>
    </xf>
    <xf numFmtId="235" fontId="167" fillId="0" borderId="0">
      <protection locked="0"/>
    </xf>
    <xf numFmtId="235" fontId="167" fillId="0" borderId="0">
      <protection locked="0"/>
    </xf>
    <xf numFmtId="0" fontId="7" fillId="0" borderId="0" applyFont="0" applyFill="0" applyBorder="0" applyAlignment="0" applyProtection="0"/>
    <xf numFmtId="0" fontId="192" fillId="0" borderId="0">
      <alignment vertical="center"/>
      <protection locked="0"/>
    </xf>
    <xf numFmtId="0" fontId="56" fillId="0" borderId="0" applyFont="0" applyFill="0" applyBorder="0" applyAlignment="0" applyProtection="0"/>
    <xf numFmtId="184" fontId="161" fillId="0" borderId="0" applyFont="0" applyFill="0" applyBorder="0" applyAlignment="0" applyProtection="0"/>
    <xf numFmtId="194" fontId="161" fillId="0" borderId="0" applyFont="0" applyFill="0" applyBorder="0" applyAlignment="0" applyProtection="0"/>
    <xf numFmtId="9" fontId="180" fillId="0" borderId="0" applyFont="0" applyFill="0" applyBorder="0" applyAlignment="0" applyProtection="0"/>
    <xf numFmtId="235" fontId="167" fillId="0" borderId="0">
      <protection locked="0"/>
    </xf>
    <xf numFmtId="235" fontId="167" fillId="0" borderId="0">
      <protection locked="0"/>
    </xf>
    <xf numFmtId="235" fontId="167" fillId="0" borderId="0">
      <protection locked="0"/>
    </xf>
    <xf numFmtId="0" fontId="15" fillId="0" borderId="0">
      <alignment vertical="center"/>
    </xf>
    <xf numFmtId="0" fontId="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" fillId="0" borderId="0"/>
    <xf numFmtId="0" fontId="7" fillId="0" borderId="0"/>
    <xf numFmtId="0" fontId="203" fillId="0" borderId="0">
      <alignment vertical="center"/>
    </xf>
    <xf numFmtId="0" fontId="7" fillId="0" borderId="0"/>
    <xf numFmtId="0" fontId="15" fillId="0" borderId="0">
      <alignment vertical="center"/>
    </xf>
    <xf numFmtId="0" fontId="193" fillId="0" borderId="0">
      <alignment vertical="center"/>
    </xf>
    <xf numFmtId="0" fontId="15" fillId="0" borderId="0">
      <alignment vertical="center"/>
    </xf>
    <xf numFmtId="0" fontId="70" fillId="0" borderId="0">
      <alignment vertical="center"/>
    </xf>
    <xf numFmtId="0" fontId="15" fillId="0" borderId="0">
      <alignment vertical="center"/>
    </xf>
    <xf numFmtId="0" fontId="194" fillId="0" borderId="0"/>
    <xf numFmtId="240" fontId="7" fillId="0" borderId="0" applyNumberFormat="0" applyAlignment="0">
      <alignment horizontal="center"/>
    </xf>
    <xf numFmtId="41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8" fillId="0" borderId="85" applyNumberFormat="0" applyFont="0" applyFill="0" applyAlignment="0" applyProtection="0"/>
    <xf numFmtId="234" fontId="180" fillId="0" borderId="0" applyFont="0" applyFill="0" applyBorder="0" applyAlignment="0" applyProtection="0"/>
    <xf numFmtId="234" fontId="180" fillId="0" borderId="0" applyFont="0" applyFill="0" applyBorder="0" applyAlignment="0" applyProtection="0"/>
    <xf numFmtId="0" fontId="17" fillId="0" borderId="0"/>
    <xf numFmtId="0" fontId="208" fillId="0" borderId="0" applyNumberFormat="0" applyFill="0" applyBorder="0" applyAlignment="0" applyProtection="0">
      <alignment vertical="center"/>
    </xf>
    <xf numFmtId="0" fontId="204" fillId="53" borderId="0" applyNumberFormat="0" applyBorder="0" applyAlignment="0" applyProtection="0">
      <alignment vertical="center"/>
    </xf>
    <xf numFmtId="0" fontId="204" fillId="48" borderId="0" applyNumberFormat="0" applyBorder="0" applyAlignment="0" applyProtection="0">
      <alignment vertical="center"/>
    </xf>
    <xf numFmtId="0" fontId="204" fillId="51" borderId="0" applyNumberFormat="0" applyBorder="0" applyAlignment="0" applyProtection="0">
      <alignment vertical="center"/>
    </xf>
    <xf numFmtId="0" fontId="204" fillId="54" borderId="0" applyNumberFormat="0" applyBorder="0" applyAlignment="0" applyProtection="0">
      <alignment vertical="center"/>
    </xf>
    <xf numFmtId="0" fontId="205" fillId="52" borderId="0" applyNumberFormat="0" applyBorder="0" applyAlignment="0" applyProtection="0">
      <alignment vertical="center"/>
    </xf>
    <xf numFmtId="0" fontId="205" fillId="53" borderId="0" applyNumberFormat="0" applyBorder="0" applyAlignment="0" applyProtection="0">
      <alignment vertical="center"/>
    </xf>
    <xf numFmtId="0" fontId="205" fillId="57" borderId="0" applyNumberFormat="0" applyBorder="0" applyAlignment="0" applyProtection="0">
      <alignment vertical="center"/>
    </xf>
    <xf numFmtId="0" fontId="205" fillId="58" borderId="0" applyNumberFormat="0" applyBorder="0" applyAlignment="0" applyProtection="0">
      <alignment vertical="center"/>
    </xf>
    <xf numFmtId="0" fontId="205" fillId="59" borderId="0" applyNumberFormat="0" applyBorder="0" applyAlignment="0" applyProtection="0">
      <alignment vertical="center"/>
    </xf>
    <xf numFmtId="0" fontId="205" fillId="60" borderId="0" applyNumberFormat="0" applyBorder="0" applyAlignment="0" applyProtection="0">
      <alignment vertical="center"/>
    </xf>
    <xf numFmtId="0" fontId="205" fillId="56" borderId="0" applyNumberFormat="0" applyBorder="0" applyAlignment="0" applyProtection="0">
      <alignment vertical="center"/>
    </xf>
    <xf numFmtId="0" fontId="205" fillId="57" borderId="0" applyNumberFormat="0" applyBorder="0" applyAlignment="0" applyProtection="0">
      <alignment vertical="center"/>
    </xf>
    <xf numFmtId="0" fontId="205" fillId="62" borderId="0" applyNumberFormat="0" applyBorder="0" applyAlignment="0" applyProtection="0">
      <alignment vertical="center"/>
    </xf>
    <xf numFmtId="0" fontId="206" fillId="46" borderId="0" applyNumberFormat="0" applyBorder="0" applyAlignment="0" applyProtection="0">
      <alignment vertical="center"/>
    </xf>
    <xf numFmtId="0" fontId="207" fillId="63" borderId="86" applyNumberFormat="0" applyAlignment="0" applyProtection="0">
      <alignment vertical="center"/>
    </xf>
    <xf numFmtId="0" fontId="12" fillId="66" borderId="88" applyNumberFormat="0" applyAlignment="0" applyProtection="0">
      <alignment vertical="center"/>
    </xf>
    <xf numFmtId="0" fontId="209" fillId="47" borderId="0" applyNumberFormat="0" applyBorder="0" applyAlignment="0" applyProtection="0">
      <alignment vertical="center"/>
    </xf>
    <xf numFmtId="0" fontId="44" fillId="0" borderId="91" applyNumberFormat="0" applyFill="0" applyAlignment="0" applyProtection="0">
      <alignment vertical="center"/>
    </xf>
    <xf numFmtId="0" fontId="46" fillId="0" borderId="92" applyNumberFormat="0" applyFill="0" applyAlignment="0" applyProtection="0">
      <alignment vertical="center"/>
    </xf>
    <xf numFmtId="0" fontId="48" fillId="0" borderId="93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10" fillId="50" borderId="86" applyNumberFormat="0" applyAlignment="0" applyProtection="0">
      <alignment vertical="center"/>
    </xf>
    <xf numFmtId="0" fontId="211" fillId="0" borderId="89" applyNumberFormat="0" applyFill="0" applyAlignment="0" applyProtection="0">
      <alignment vertical="center"/>
    </xf>
    <xf numFmtId="0" fontId="212" fillId="65" borderId="0" applyNumberFormat="0" applyBorder="0" applyAlignment="0" applyProtection="0">
      <alignment vertical="center"/>
    </xf>
    <xf numFmtId="0" fontId="38" fillId="64" borderId="87" applyNumberFormat="0" applyFont="0" applyAlignment="0" applyProtection="0">
      <alignment vertical="center"/>
    </xf>
    <xf numFmtId="0" fontId="213" fillId="63" borderId="94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14" fillId="0" borderId="9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top"/>
    </xf>
    <xf numFmtId="9" fontId="38" fillId="0" borderId="0" applyFont="0" applyFill="0" applyBorder="0" applyAlignment="0" applyProtection="0">
      <alignment vertical="top"/>
    </xf>
    <xf numFmtId="9" fontId="38" fillId="0" borderId="0" applyFont="0" applyFill="0" applyBorder="0" applyAlignment="0" applyProtection="0">
      <alignment vertical="top"/>
    </xf>
    <xf numFmtId="41" fontId="38" fillId="0" borderId="0" applyFont="0" applyFill="0" applyBorder="0" applyAlignment="0" applyProtection="0">
      <alignment vertical="top"/>
    </xf>
    <xf numFmtId="41" fontId="7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0" fontId="38" fillId="0" borderId="0">
      <alignment vertical="top"/>
    </xf>
    <xf numFmtId="0" fontId="38" fillId="0" borderId="0">
      <alignment vertical="top"/>
    </xf>
    <xf numFmtId="0" fontId="205" fillId="56" borderId="0" applyNumberFormat="0" applyBorder="0" applyAlignment="0" applyProtection="0">
      <alignment vertical="center"/>
    </xf>
    <xf numFmtId="0" fontId="205" fillId="5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top"/>
    </xf>
    <xf numFmtId="0" fontId="205" fillId="61" borderId="0" applyNumberFormat="0" applyBorder="0" applyAlignment="0" applyProtection="0">
      <alignment vertical="center"/>
    </xf>
    <xf numFmtId="0" fontId="204" fillId="52" borderId="0" applyNumberFormat="0" applyBorder="0" applyAlignment="0" applyProtection="0">
      <alignment vertical="center"/>
    </xf>
    <xf numFmtId="0" fontId="204" fillId="51" borderId="0" applyNumberFormat="0" applyBorder="0" applyAlignment="0" applyProtection="0">
      <alignment vertical="center"/>
    </xf>
    <xf numFmtId="0" fontId="204" fillId="50" borderId="0" applyNumberFormat="0" applyBorder="0" applyAlignment="0" applyProtection="0">
      <alignment vertical="center"/>
    </xf>
    <xf numFmtId="0" fontId="204" fillId="49" borderId="0" applyNumberFormat="0" applyBorder="0" applyAlignment="0" applyProtection="0">
      <alignment vertical="center"/>
    </xf>
    <xf numFmtId="0" fontId="204" fillId="48" borderId="0" applyNumberFormat="0" applyBorder="0" applyAlignment="0" applyProtection="0">
      <alignment vertical="center"/>
    </xf>
    <xf numFmtId="0" fontId="204" fillId="46" borderId="0" applyNumberFormat="0" applyBorder="0" applyAlignment="0" applyProtection="0">
      <alignment vertical="center"/>
    </xf>
    <xf numFmtId="0" fontId="204" fillId="45" borderId="0" applyNumberFormat="0" applyBorder="0" applyAlignment="0" applyProtection="0">
      <alignment vertical="center"/>
    </xf>
    <xf numFmtId="0" fontId="38" fillId="0" borderId="0">
      <alignment vertical="top"/>
    </xf>
    <xf numFmtId="0" fontId="204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</cellStyleXfs>
  <cellXfs count="661">
    <xf numFmtId="0" fontId="0" fillId="0" borderId="0" xfId="0">
      <alignment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178" fontId="5" fillId="9" borderId="44" xfId="10" applyNumberFormat="1" applyFont="1" applyFill="1" applyBorder="1" applyAlignment="1">
      <alignment horizontal="center" vertical="center"/>
    </xf>
    <xf numFmtId="0" fontId="4" fillId="0" borderId="48" xfId="10" applyFont="1" applyFill="1" applyBorder="1" applyAlignment="1">
      <alignment horizontal="center" vertical="center"/>
    </xf>
    <xf numFmtId="0" fontId="4" fillId="0" borderId="49" xfId="10" applyFont="1" applyFill="1" applyBorder="1" applyAlignment="1">
      <alignment horizontal="center" vertical="center"/>
    </xf>
    <xf numFmtId="0" fontId="4" fillId="0" borderId="51" xfId="3" applyFont="1" applyFill="1" applyBorder="1" applyAlignment="1" applyProtection="1">
      <alignment horizontal="center" vertical="center"/>
      <protection locked="0"/>
    </xf>
    <xf numFmtId="0" fontId="4" fillId="0" borderId="52" xfId="3" applyFont="1" applyFill="1" applyBorder="1" applyAlignment="1" applyProtection="1">
      <alignment horizontal="center" vertical="center"/>
      <protection locked="0"/>
    </xf>
    <xf numFmtId="0" fontId="4" fillId="0" borderId="54" xfId="3" applyFont="1" applyFill="1" applyBorder="1" applyAlignment="1" applyProtection="1">
      <alignment horizontal="center" vertical="center"/>
      <protection locked="0"/>
    </xf>
    <xf numFmtId="0" fontId="4" fillId="0" borderId="55" xfId="3" applyFont="1" applyFill="1" applyBorder="1" applyAlignment="1" applyProtection="1">
      <alignment horizontal="center" vertical="center"/>
      <protection locked="0"/>
    </xf>
    <xf numFmtId="178" fontId="4" fillId="0" borderId="51" xfId="10" applyNumberFormat="1" applyFont="1" applyFill="1" applyBorder="1" applyAlignment="1">
      <alignment horizontal="center" vertical="center"/>
    </xf>
    <xf numFmtId="178" fontId="4" fillId="0" borderId="52" xfId="9" applyNumberFormat="1" applyFont="1" applyFill="1" applyBorder="1" applyAlignment="1">
      <alignment horizontal="center" vertical="center"/>
    </xf>
    <xf numFmtId="178" fontId="4" fillId="0" borderId="52" xfId="10" applyNumberFormat="1" applyFont="1" applyFill="1" applyBorder="1" applyAlignment="1">
      <alignment horizontal="center" vertical="center"/>
    </xf>
    <xf numFmtId="178" fontId="4" fillId="0" borderId="54" xfId="10" applyNumberFormat="1" applyFont="1" applyFill="1" applyBorder="1" applyAlignment="1">
      <alignment horizontal="right" vertical="center"/>
    </xf>
    <xf numFmtId="178" fontId="4" fillId="0" borderId="55" xfId="9" applyNumberFormat="1" applyFont="1" applyFill="1" applyBorder="1" applyAlignment="1">
      <alignment horizontal="right" vertical="center"/>
    </xf>
    <xf numFmtId="178" fontId="4" fillId="0" borderId="55" xfId="10" applyNumberFormat="1" applyFont="1" applyFill="1" applyBorder="1" applyAlignment="1">
      <alignment horizontal="right" vertical="center"/>
    </xf>
    <xf numFmtId="178" fontId="4" fillId="0" borderId="54" xfId="3" applyNumberFormat="1" applyFont="1" applyFill="1" applyBorder="1" applyAlignment="1">
      <alignment horizontal="right" vertical="center"/>
    </xf>
    <xf numFmtId="178" fontId="4" fillId="0" borderId="55" xfId="3" applyNumberFormat="1" applyFont="1" applyFill="1" applyBorder="1" applyAlignment="1">
      <alignment horizontal="right" vertical="center"/>
    </xf>
    <xf numFmtId="178" fontId="4" fillId="0" borderId="51" xfId="10" applyNumberFormat="1" applyFont="1" applyFill="1" applyBorder="1" applyAlignment="1">
      <alignment horizontal="right" vertical="center"/>
    </xf>
    <xf numFmtId="178" fontId="4" fillId="0" borderId="52" xfId="9" applyNumberFormat="1" applyFont="1" applyFill="1" applyBorder="1" applyAlignment="1">
      <alignment horizontal="right" vertical="center"/>
    </xf>
    <xf numFmtId="178" fontId="4" fillId="0" borderId="52" xfId="10" applyNumberFormat="1" applyFont="1" applyFill="1" applyBorder="1" applyAlignment="1">
      <alignment horizontal="right" vertical="center"/>
    </xf>
    <xf numFmtId="178" fontId="4" fillId="0" borderId="51" xfId="3" applyNumberFormat="1" applyFont="1" applyFill="1" applyBorder="1" applyAlignment="1">
      <alignment horizontal="right" vertical="center"/>
    </xf>
    <xf numFmtId="178" fontId="4" fillId="0" borderId="52" xfId="3" applyNumberFormat="1" applyFont="1" applyFill="1" applyBorder="1" applyAlignment="1">
      <alignment horizontal="right" vertical="center"/>
    </xf>
    <xf numFmtId="10" fontId="4" fillId="0" borderId="54" xfId="4" applyNumberFormat="1" applyFont="1" applyFill="1" applyBorder="1" applyAlignment="1">
      <alignment horizontal="right" vertical="center"/>
    </xf>
    <xf numFmtId="10" fontId="4" fillId="0" borderId="55" xfId="4" applyNumberFormat="1" applyFont="1" applyFill="1" applyBorder="1" applyAlignment="1">
      <alignment horizontal="right" vertical="center"/>
    </xf>
    <xf numFmtId="10" fontId="4" fillId="0" borderId="57" xfId="4" applyNumberFormat="1" applyFont="1" applyFill="1" applyBorder="1" applyAlignment="1">
      <alignment horizontal="right" vertical="center"/>
    </xf>
    <xf numFmtId="10" fontId="4" fillId="0" borderId="58" xfId="4" applyNumberFormat="1" applyFont="1" applyFill="1" applyBorder="1" applyAlignment="1">
      <alignment horizontal="right" vertical="center"/>
    </xf>
    <xf numFmtId="0" fontId="4" fillId="5" borderId="50" xfId="10" applyFont="1" applyFill="1" applyBorder="1" applyAlignment="1">
      <alignment horizontal="center" vertical="center"/>
    </xf>
    <xf numFmtId="0" fontId="4" fillId="5" borderId="53" xfId="10" applyFont="1" applyFill="1" applyBorder="1" applyAlignment="1">
      <alignment vertical="center"/>
    </xf>
    <xf numFmtId="0" fontId="4" fillId="5" borderId="56" xfId="10" applyFont="1" applyFill="1" applyBorder="1" applyAlignment="1">
      <alignment horizontal="center" vertical="center"/>
    </xf>
    <xf numFmtId="178" fontId="4" fillId="5" borderId="56" xfId="10" applyNumberFormat="1" applyFont="1" applyFill="1" applyBorder="1" applyAlignment="1">
      <alignment horizontal="right" vertical="center"/>
    </xf>
    <xf numFmtId="178" fontId="4" fillId="5" borderId="53" xfId="10" applyNumberFormat="1" applyFont="1" applyFill="1" applyBorder="1" applyAlignment="1">
      <alignment horizontal="right" vertical="center"/>
    </xf>
    <xf numFmtId="10" fontId="4" fillId="5" borderId="56" xfId="4" applyNumberFormat="1" applyFont="1" applyFill="1" applyBorder="1" applyAlignment="1">
      <alignment horizontal="right" vertical="center"/>
    </xf>
    <xf numFmtId="10" fontId="4" fillId="5" borderId="59" xfId="4" applyNumberFormat="1" applyFont="1" applyFill="1" applyBorder="1" applyAlignment="1">
      <alignment horizontal="right" vertical="center"/>
    </xf>
    <xf numFmtId="178" fontId="4" fillId="5" borderId="56" xfId="3" applyNumberFormat="1" applyFont="1" applyFill="1" applyBorder="1" applyAlignment="1">
      <alignment horizontal="right" vertical="center"/>
    </xf>
    <xf numFmtId="178" fontId="4" fillId="5" borderId="53" xfId="3" applyNumberFormat="1" applyFont="1" applyFill="1" applyBorder="1" applyAlignment="1">
      <alignment horizontal="right" vertical="center"/>
    </xf>
    <xf numFmtId="178" fontId="5" fillId="9" borderId="46" xfId="10" applyNumberFormat="1" applyFont="1" applyFill="1" applyBorder="1" applyAlignment="1">
      <alignment horizontal="center" vertical="center"/>
    </xf>
    <xf numFmtId="178" fontId="5" fillId="9" borderId="47" xfId="10" applyNumberFormat="1" applyFont="1" applyFill="1" applyBorder="1" applyAlignment="1">
      <alignment horizontal="center" vertical="center"/>
    </xf>
    <xf numFmtId="178" fontId="5" fillId="9" borderId="60" xfId="10" applyNumberFormat="1" applyFont="1" applyFill="1" applyBorder="1" applyAlignment="1">
      <alignment horizontal="center" vertical="center"/>
    </xf>
    <xf numFmtId="178" fontId="4" fillId="5" borderId="63" xfId="10" applyNumberFormat="1" applyFont="1" applyFill="1" applyBorder="1" applyAlignment="1">
      <alignment horizontal="right" vertical="center"/>
    </xf>
    <xf numFmtId="178" fontId="4" fillId="5" borderId="63" xfId="3" applyNumberFormat="1" applyFont="1" applyFill="1" applyBorder="1" applyAlignment="1">
      <alignment horizontal="right" vertical="center"/>
    </xf>
    <xf numFmtId="178" fontId="4" fillId="5" borderId="64" xfId="3" applyNumberFormat="1" applyFont="1" applyFill="1" applyBorder="1" applyAlignment="1">
      <alignment horizontal="right" vertical="center"/>
    </xf>
    <xf numFmtId="178" fontId="4" fillId="3" borderId="61" xfId="10" applyNumberFormat="1" applyFont="1" applyFill="1" applyBorder="1" applyAlignment="1">
      <alignment horizontal="right" vertical="center"/>
    </xf>
    <xf numFmtId="178" fontId="4" fillId="3" borderId="62" xfId="9" applyNumberFormat="1" applyFont="1" applyFill="1" applyBorder="1" applyAlignment="1">
      <alignment horizontal="right" vertical="center"/>
    </xf>
    <xf numFmtId="178" fontId="4" fillId="3" borderId="62" xfId="10" applyNumberFormat="1" applyFont="1" applyFill="1" applyBorder="1" applyAlignment="1">
      <alignment horizontal="right" vertical="center"/>
    </xf>
    <xf numFmtId="178" fontId="4" fillId="3" borderId="61" xfId="3" applyNumberFormat="1" applyFont="1" applyFill="1" applyBorder="1" applyAlignment="1">
      <alignment horizontal="right" vertical="center"/>
    </xf>
    <xf numFmtId="178" fontId="4" fillId="3" borderId="62" xfId="3" applyNumberFormat="1" applyFont="1" applyFill="1" applyBorder="1" applyAlignment="1">
      <alignment horizontal="right" vertical="center"/>
    </xf>
    <xf numFmtId="41" fontId="2" fillId="0" borderId="0" xfId="1" applyFont="1">
      <alignment vertical="center"/>
    </xf>
    <xf numFmtId="180" fontId="2" fillId="0" borderId="0" xfId="0" applyNumberFormat="1" applyFont="1">
      <alignment vertical="center"/>
    </xf>
    <xf numFmtId="41" fontId="0" fillId="0" borderId="0" xfId="0" applyNumberFormat="1">
      <alignment vertical="center"/>
    </xf>
    <xf numFmtId="242" fontId="216" fillId="0" borderId="83" xfId="4893" applyNumberFormat="1" applyFont="1" applyFill="1" applyBorder="1" applyAlignment="1" applyProtection="1">
      <alignment vertical="center"/>
      <protection locked="0"/>
    </xf>
    <xf numFmtId="242" fontId="216" fillId="0" borderId="83" xfId="4895" applyNumberFormat="1" applyFont="1" applyFill="1" applyBorder="1" applyAlignment="1" applyProtection="1">
      <alignment vertical="center"/>
      <protection locked="0"/>
    </xf>
    <xf numFmtId="41" fontId="0" fillId="0" borderId="0" xfId="1" applyFont="1">
      <alignment vertical="center"/>
    </xf>
    <xf numFmtId="242" fontId="216" fillId="0" borderId="75" xfId="4893" applyNumberFormat="1" applyFont="1" applyFill="1" applyBorder="1" applyAlignment="1" applyProtection="1">
      <alignment vertical="center"/>
      <protection locked="0"/>
    </xf>
    <xf numFmtId="0" fontId="217" fillId="71" borderId="100" xfId="4894" applyFont="1" applyFill="1" applyBorder="1" applyAlignment="1" applyProtection="1">
      <alignment horizontal="center" vertical="center" wrapText="1"/>
      <protection locked="0"/>
    </xf>
    <xf numFmtId="241" fontId="215" fillId="72" borderId="75" xfId="4894" applyNumberFormat="1" applyFont="1" applyFill="1" applyBorder="1" applyAlignment="1" applyProtection="1">
      <alignment horizontal="right" vertical="center"/>
      <protection locked="0"/>
    </xf>
    <xf numFmtId="242" fontId="215" fillId="72" borderId="75" xfId="4894" applyNumberFormat="1" applyFont="1" applyFill="1" applyBorder="1" applyAlignment="1" applyProtection="1">
      <alignment horizontal="right" vertical="center"/>
      <protection locked="0"/>
    </xf>
    <xf numFmtId="242" fontId="216" fillId="0" borderId="75" xfId="4895" applyNumberFormat="1" applyFont="1" applyFill="1" applyBorder="1" applyAlignment="1" applyProtection="1">
      <alignment vertical="center"/>
      <protection locked="0"/>
    </xf>
    <xf numFmtId="242" fontId="215" fillId="0" borderId="75" xfId="4895" applyNumberFormat="1" applyFont="1" applyFill="1" applyBorder="1" applyAlignment="1" applyProtection="1">
      <alignment vertical="center"/>
      <protection locked="0"/>
    </xf>
    <xf numFmtId="0" fontId="217" fillId="71" borderId="100" xfId="4894" applyFont="1" applyFill="1" applyBorder="1" applyAlignment="1" applyProtection="1">
      <alignment horizontal="center" vertical="center" wrapText="1"/>
      <protection locked="0"/>
    </xf>
    <xf numFmtId="241" fontId="215" fillId="72" borderId="75" xfId="4894" applyNumberFormat="1" applyFont="1" applyFill="1" applyBorder="1" applyAlignment="1" applyProtection="1">
      <alignment horizontal="right" vertical="center"/>
      <protection locked="0"/>
    </xf>
    <xf numFmtId="242" fontId="216" fillId="72" borderId="75" xfId="4895" applyNumberFormat="1" applyFont="1" applyFill="1" applyBorder="1" applyAlignment="1" applyProtection="1">
      <alignment vertical="center"/>
      <protection locked="0"/>
    </xf>
    <xf numFmtId="0" fontId="218" fillId="0" borderId="0" xfId="0" applyFont="1">
      <alignment vertical="center"/>
    </xf>
    <xf numFmtId="41" fontId="218" fillId="0" borderId="0" xfId="1" applyFont="1">
      <alignment vertical="center"/>
    </xf>
    <xf numFmtId="0" fontId="13" fillId="0" borderId="0" xfId="0" applyFont="1" applyBorder="1" applyAlignment="1">
      <alignment horizontal="center" vertical="center"/>
    </xf>
    <xf numFmtId="176" fontId="219" fillId="0" borderId="0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41" fontId="15" fillId="0" borderId="0" xfId="1" applyFont="1">
      <alignment vertical="center"/>
    </xf>
    <xf numFmtId="0" fontId="219" fillId="0" borderId="0" xfId="0" applyFont="1">
      <alignment vertical="center"/>
    </xf>
    <xf numFmtId="0" fontId="16" fillId="0" borderId="0" xfId="0" applyFont="1">
      <alignment vertical="center"/>
    </xf>
    <xf numFmtId="41" fontId="16" fillId="0" borderId="0" xfId="1" applyFont="1">
      <alignment vertical="center"/>
    </xf>
    <xf numFmtId="0" fontId="15" fillId="0" borderId="12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180" fontId="15" fillId="0" borderId="0" xfId="0" applyNumberFormat="1" applyFont="1" applyAlignment="1">
      <alignment horizontal="right" vertical="center"/>
    </xf>
    <xf numFmtId="0" fontId="13" fillId="5" borderId="8" xfId="0" applyFont="1" applyFill="1" applyBorder="1" applyAlignment="1">
      <alignment horizontal="left" vertical="center" indent="2"/>
    </xf>
    <xf numFmtId="0" fontId="13" fillId="5" borderId="9" xfId="0" applyFont="1" applyFill="1" applyBorder="1" applyAlignment="1">
      <alignment horizontal="left" vertical="center" indent="2"/>
    </xf>
    <xf numFmtId="0" fontId="13" fillId="6" borderId="8" xfId="0" applyFont="1" applyFill="1" applyBorder="1" applyAlignment="1">
      <alignment horizontal="left" vertical="center" indent="1"/>
    </xf>
    <xf numFmtId="0" fontId="13" fillId="6" borderId="9" xfId="0" applyFont="1" applyFill="1" applyBorder="1" applyAlignment="1">
      <alignment horizontal="left" vertical="center" indent="1"/>
    </xf>
    <xf numFmtId="0" fontId="13" fillId="6" borderId="3" xfId="0" applyFont="1" applyFill="1" applyBorder="1" applyAlignment="1">
      <alignment horizontal="left" vertical="center" indent="1"/>
    </xf>
    <xf numFmtId="0" fontId="13" fillId="6" borderId="4" xfId="0" applyFont="1" applyFill="1" applyBorder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13" fillId="6" borderId="3" xfId="0" applyFont="1" applyFill="1" applyBorder="1" applyAlignment="1">
      <alignment vertical="center"/>
    </xf>
    <xf numFmtId="0" fontId="13" fillId="6" borderId="4" xfId="0" applyFont="1" applyFill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6" borderId="2" xfId="0" applyFont="1" applyFill="1" applyBorder="1" applyAlignment="1">
      <alignment horizontal="left" vertical="center" indent="1"/>
    </xf>
    <xf numFmtId="180" fontId="16" fillId="0" borderId="0" xfId="0" applyNumberFormat="1" applyFont="1">
      <alignment vertical="center"/>
    </xf>
    <xf numFmtId="0" fontId="13" fillId="2" borderId="6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15" fillId="0" borderId="43" xfId="0" applyFont="1" applyBorder="1">
      <alignment vertical="center"/>
    </xf>
    <xf numFmtId="0" fontId="15" fillId="0" borderId="65" xfId="0" applyFont="1" applyBorder="1">
      <alignment vertical="center"/>
    </xf>
    <xf numFmtId="0" fontId="13" fillId="5" borderId="6" xfId="0" applyFont="1" applyFill="1" applyBorder="1" applyAlignment="1">
      <alignment vertical="center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vertical="center"/>
    </xf>
    <xf numFmtId="0" fontId="13" fillId="5" borderId="0" xfId="0" applyFont="1" applyFill="1" applyBorder="1" applyAlignment="1">
      <alignment vertical="center"/>
    </xf>
    <xf numFmtId="41" fontId="15" fillId="0" borderId="3" xfId="1" applyFont="1" applyFill="1" applyBorder="1" applyAlignment="1">
      <alignment horizontal="center" vertical="center"/>
    </xf>
    <xf numFmtId="41" fontId="15" fillId="0" borderId="4" xfId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vertical="center"/>
    </xf>
    <xf numFmtId="0" fontId="15" fillId="0" borderId="0" xfId="0" applyFont="1" applyFill="1" applyBorder="1">
      <alignment vertical="center"/>
    </xf>
    <xf numFmtId="0" fontId="13" fillId="5" borderId="9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/>
    </xf>
    <xf numFmtId="0" fontId="222" fillId="0" borderId="0" xfId="11" applyFont="1" applyFill="1" applyBorder="1" applyAlignment="1" applyProtection="1">
      <alignment horizontal="center" vertical="center"/>
      <protection locked="0"/>
    </xf>
    <xf numFmtId="180" fontId="13" fillId="0" borderId="0" xfId="1" applyNumberFormat="1" applyFont="1" applyAlignment="1">
      <alignment horizontal="right" vertical="center"/>
    </xf>
    <xf numFmtId="180" fontId="13" fillId="0" borderId="3" xfId="1" applyNumberFormat="1" applyFont="1" applyBorder="1" applyAlignment="1">
      <alignment horizontal="right" vertical="center"/>
    </xf>
    <xf numFmtId="41" fontId="13" fillId="0" borderId="0" xfId="1" applyFont="1" applyFill="1">
      <alignment vertical="center"/>
    </xf>
    <xf numFmtId="0" fontId="13" fillId="6" borderId="2" xfId="0" applyFont="1" applyFill="1" applyBorder="1" applyAlignment="1">
      <alignment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41" fontId="13" fillId="0" borderId="0" xfId="1" applyFont="1" applyFill="1" applyBorder="1" applyAlignment="1">
      <alignment vertical="center"/>
    </xf>
    <xf numFmtId="0" fontId="13" fillId="9" borderId="3" xfId="0" applyFont="1" applyFill="1" applyBorder="1" applyAlignment="1">
      <alignment vertical="center"/>
    </xf>
    <xf numFmtId="0" fontId="13" fillId="9" borderId="4" xfId="0" applyFont="1" applyFill="1" applyBorder="1" applyAlignment="1">
      <alignment vertical="center"/>
    </xf>
    <xf numFmtId="0" fontId="23" fillId="0" borderId="0" xfId="0" applyFont="1">
      <alignment vertical="center"/>
    </xf>
    <xf numFmtId="177" fontId="15" fillId="0" borderId="0" xfId="1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41" fontId="15" fillId="0" borderId="0" xfId="1" applyFont="1" applyFill="1" applyBorder="1" applyAlignment="1">
      <alignment vertical="center"/>
    </xf>
    <xf numFmtId="177" fontId="221" fillId="0" borderId="0" xfId="1" applyNumberFormat="1" applyFont="1" applyFill="1" applyBorder="1" applyAlignment="1">
      <alignment vertical="center"/>
    </xf>
    <xf numFmtId="41" fontId="221" fillId="0" borderId="0" xfId="1" applyFont="1" applyFill="1" applyBorder="1" applyAlignment="1">
      <alignment vertical="center"/>
    </xf>
    <xf numFmtId="0" fontId="221" fillId="0" borderId="0" xfId="0" applyFont="1" applyFill="1" applyBorder="1" applyAlignment="1">
      <alignment vertical="center"/>
    </xf>
    <xf numFmtId="0" fontId="221" fillId="0" borderId="0" xfId="0" applyFont="1">
      <alignment vertical="center"/>
    </xf>
    <xf numFmtId="41" fontId="13" fillId="0" borderId="0" xfId="1" applyFont="1">
      <alignment vertical="center"/>
    </xf>
    <xf numFmtId="0" fontId="13" fillId="10" borderId="3" xfId="0" applyFont="1" applyFill="1" applyBorder="1" applyAlignment="1">
      <alignment vertical="center"/>
    </xf>
    <xf numFmtId="0" fontId="13" fillId="10" borderId="4" xfId="0" applyFont="1" applyFill="1" applyBorder="1" applyAlignment="1">
      <alignment vertical="center"/>
    </xf>
    <xf numFmtId="181" fontId="13" fillId="5" borderId="8" xfId="0" applyNumberFormat="1" applyFont="1" applyFill="1" applyBorder="1" applyAlignment="1">
      <alignment vertical="center"/>
    </xf>
    <xf numFmtId="181" fontId="13" fillId="5" borderId="9" xfId="0" applyNumberFormat="1" applyFont="1" applyFill="1" applyBorder="1" applyAlignment="1">
      <alignment vertical="center"/>
    </xf>
    <xf numFmtId="180" fontId="221" fillId="0" borderId="0" xfId="0" applyNumberFormat="1" applyFont="1" applyAlignment="1">
      <alignment horizontal="right" vertical="center"/>
    </xf>
    <xf numFmtId="0" fontId="224" fillId="0" borderId="0" xfId="0" applyFont="1">
      <alignment vertical="center"/>
    </xf>
    <xf numFmtId="0" fontId="14" fillId="0" borderId="0" xfId="0" applyFo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180" fontId="15" fillId="0" borderId="0" xfId="0" applyNumberFormat="1" applyFont="1" applyBorder="1" applyAlignment="1">
      <alignment horizontal="right" vertical="center"/>
    </xf>
    <xf numFmtId="180" fontId="15" fillId="0" borderId="18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3" fillId="72" borderId="0" xfId="0" applyFont="1" applyFill="1" applyBorder="1" applyAlignment="1">
      <alignment vertical="center"/>
    </xf>
    <xf numFmtId="0" fontId="13" fillId="2" borderId="26" xfId="0" applyFont="1" applyFill="1" applyBorder="1" applyAlignment="1">
      <alignment vertical="center"/>
    </xf>
    <xf numFmtId="181" fontId="15" fillId="72" borderId="0" xfId="1" applyNumberFormat="1" applyFont="1" applyFill="1" applyBorder="1" applyAlignment="1">
      <alignment vertical="center"/>
    </xf>
    <xf numFmtId="182" fontId="13" fillId="72" borderId="0" xfId="0" applyNumberFormat="1" applyFont="1" applyFill="1" applyBorder="1" applyAlignment="1">
      <alignment vertical="center"/>
    </xf>
    <xf numFmtId="0" fontId="13" fillId="0" borderId="2" xfId="0" applyFont="1" applyBorder="1" applyAlignment="1">
      <alignment horizontal="left" vertical="center" indent="1"/>
    </xf>
    <xf numFmtId="0" fontId="23" fillId="0" borderId="0" xfId="0" applyFont="1" applyBorder="1">
      <alignment vertical="center"/>
    </xf>
    <xf numFmtId="0" fontId="15" fillId="0" borderId="0" xfId="0" applyFont="1" applyBorder="1" applyAlignment="1">
      <alignment horizontal="left" vertical="center" indent="1"/>
    </xf>
    <xf numFmtId="180" fontId="15" fillId="0" borderId="0" xfId="1" applyNumberFormat="1" applyFont="1" applyBorder="1" applyAlignment="1">
      <alignment horizontal="right" vertical="center"/>
    </xf>
    <xf numFmtId="41" fontId="15" fillId="0" borderId="0" xfId="1" applyFont="1" applyFill="1" applyBorder="1">
      <alignment vertical="center"/>
    </xf>
    <xf numFmtId="41" fontId="15" fillId="0" borderId="0" xfId="1" applyFont="1" applyBorder="1">
      <alignment vertical="center"/>
    </xf>
    <xf numFmtId="0" fontId="15" fillId="0" borderId="12" xfId="0" applyFont="1" applyBorder="1">
      <alignment vertical="center"/>
    </xf>
    <xf numFmtId="180" fontId="15" fillId="0" borderId="12" xfId="1" applyNumberFormat="1" applyFont="1" applyBorder="1" applyAlignment="1">
      <alignment horizontal="right" vertical="center"/>
    </xf>
    <xf numFmtId="180" fontId="13" fillId="0" borderId="2" xfId="1" applyNumberFormat="1" applyFont="1" applyBorder="1" applyAlignment="1">
      <alignment horizontal="right" vertical="center"/>
    </xf>
    <xf numFmtId="180" fontId="15" fillId="0" borderId="43" xfId="1" applyNumberFormat="1" applyFont="1" applyBorder="1" applyAlignment="1">
      <alignment horizontal="right" vertical="center"/>
    </xf>
    <xf numFmtId="180" fontId="15" fillId="0" borderId="65" xfId="1" applyNumberFormat="1" applyFont="1" applyBorder="1" applyAlignment="1">
      <alignment horizontal="right" vertical="center"/>
    </xf>
    <xf numFmtId="180" fontId="13" fillId="0" borderId="43" xfId="1" applyNumberFormat="1" applyFont="1" applyBorder="1" applyAlignment="1">
      <alignment horizontal="right" vertical="center"/>
    </xf>
    <xf numFmtId="180" fontId="13" fillId="0" borderId="0" xfId="1" applyNumberFormat="1" applyFont="1" applyBorder="1" applyAlignment="1">
      <alignment horizontal="right" vertical="center"/>
    </xf>
    <xf numFmtId="180" fontId="13" fillId="0" borderId="65" xfId="1" applyNumberFormat="1" applyFont="1" applyBorder="1" applyAlignment="1">
      <alignment horizontal="right" vertical="center"/>
    </xf>
    <xf numFmtId="0" fontId="224" fillId="72" borderId="0" xfId="0" applyFont="1" applyFill="1">
      <alignment vertical="center"/>
    </xf>
    <xf numFmtId="0" fontId="23" fillId="72" borderId="0" xfId="0" applyFont="1" applyFill="1">
      <alignment vertical="center"/>
    </xf>
    <xf numFmtId="0" fontId="23" fillId="72" borderId="0" xfId="0" applyFont="1" applyFill="1" applyBorder="1">
      <alignment vertical="center"/>
    </xf>
    <xf numFmtId="0" fontId="14" fillId="72" borderId="0" xfId="0" applyFont="1" applyFill="1">
      <alignment vertical="center"/>
    </xf>
    <xf numFmtId="0" fontId="23" fillId="0" borderId="0" xfId="0" applyFont="1" applyFill="1">
      <alignment vertical="center"/>
    </xf>
    <xf numFmtId="0" fontId="15" fillId="0" borderId="0" xfId="0" applyFont="1" applyFill="1">
      <alignment vertical="center"/>
    </xf>
    <xf numFmtId="41" fontId="15" fillId="0" borderId="0" xfId="1" applyFont="1" applyFill="1">
      <alignment vertical="center"/>
    </xf>
    <xf numFmtId="0" fontId="226" fillId="0" borderId="0" xfId="0" applyFont="1" applyFill="1" applyBorder="1" applyAlignment="1">
      <alignment vertical="center"/>
    </xf>
    <xf numFmtId="0" fontId="228" fillId="0" borderId="0" xfId="0" applyFont="1" applyFill="1" applyBorder="1" applyAlignment="1">
      <alignment vertical="center"/>
    </xf>
    <xf numFmtId="244" fontId="229" fillId="0" borderId="0" xfId="0" applyNumberFormat="1" applyFont="1" applyFill="1" applyBorder="1" applyAlignment="1">
      <alignment vertical="center"/>
    </xf>
    <xf numFmtId="243" fontId="229" fillId="0" borderId="0" xfId="0" applyNumberFormat="1" applyFont="1" applyFill="1" applyBorder="1" applyAlignment="1">
      <alignment vertical="center"/>
    </xf>
    <xf numFmtId="243" fontId="229" fillId="0" borderId="0" xfId="0" applyNumberFormat="1" applyFont="1" applyFill="1" applyBorder="1" applyAlignment="1">
      <alignment horizontal="center" vertical="center"/>
    </xf>
    <xf numFmtId="0" fontId="231" fillId="73" borderId="1" xfId="0" applyFont="1" applyFill="1" applyBorder="1" applyAlignment="1">
      <alignment horizontal="center" vertical="center"/>
    </xf>
    <xf numFmtId="243" fontId="225" fillId="5" borderId="1" xfId="0" applyNumberFormat="1" applyFont="1" applyFill="1" applyBorder="1" applyAlignment="1">
      <alignment horizontal="center" vertical="center"/>
    </xf>
    <xf numFmtId="244" fontId="225" fillId="5" borderId="1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distributed" vertical="center" indent="1"/>
    </xf>
    <xf numFmtId="0" fontId="13" fillId="2" borderId="3" xfId="0" applyFont="1" applyFill="1" applyBorder="1" applyAlignment="1">
      <alignment horizontal="distributed" vertical="center" indent="1"/>
    </xf>
    <xf numFmtId="180" fontId="15" fillId="0" borderId="2" xfId="0" applyNumberFormat="1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4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220" fillId="2" borderId="2" xfId="0" applyFont="1" applyFill="1" applyBorder="1" applyAlignment="1">
      <alignment horizontal="distributed" vertical="center" wrapText="1" indent="1"/>
    </xf>
    <xf numFmtId="0" fontId="220" fillId="2" borderId="3" xfId="0" applyFont="1" applyFill="1" applyBorder="1" applyAlignment="1">
      <alignment horizontal="distributed" vertical="center" indent="1"/>
    </xf>
    <xf numFmtId="0" fontId="15" fillId="0" borderId="2" xfId="0" applyFont="1" applyBorder="1" applyAlignment="1">
      <alignment horizontal="left" vertical="center" wrapText="1" indent="1"/>
    </xf>
    <xf numFmtId="176" fontId="15" fillId="0" borderId="2" xfId="0" applyNumberFormat="1" applyFont="1" applyBorder="1" applyAlignment="1">
      <alignment horizontal="left" vertical="center" indent="1"/>
    </xf>
    <xf numFmtId="176" fontId="15" fillId="0" borderId="3" xfId="0" applyNumberFormat="1" applyFont="1" applyBorder="1" applyAlignment="1">
      <alignment horizontal="left" vertical="center" indent="1"/>
    </xf>
    <xf numFmtId="176" fontId="15" fillId="0" borderId="4" xfId="0" applyNumberFormat="1" applyFont="1" applyBorder="1" applyAlignment="1">
      <alignment horizontal="left" vertical="center" indent="1"/>
    </xf>
    <xf numFmtId="0" fontId="13" fillId="5" borderId="1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176" fontId="223" fillId="5" borderId="15" xfId="0" applyNumberFormat="1" applyFont="1" applyFill="1" applyBorder="1" applyAlignment="1">
      <alignment horizontal="center" vertical="center"/>
    </xf>
    <xf numFmtId="176" fontId="223" fillId="5" borderId="16" xfId="0" applyNumberFormat="1" applyFont="1" applyFill="1" applyBorder="1" applyAlignment="1">
      <alignment horizontal="center" vertical="center"/>
    </xf>
    <xf numFmtId="176" fontId="223" fillId="5" borderId="17" xfId="0" applyNumberFormat="1" applyFont="1" applyFill="1" applyBorder="1" applyAlignment="1">
      <alignment horizontal="center" vertical="center"/>
    </xf>
    <xf numFmtId="0" fontId="15" fillId="0" borderId="2" xfId="0" quotePrefix="1" applyFont="1" applyBorder="1" applyAlignment="1">
      <alignment horizontal="left" vertical="center" indent="1"/>
    </xf>
    <xf numFmtId="0" fontId="13" fillId="2" borderId="11" xfId="0" applyFont="1" applyFill="1" applyBorder="1" applyAlignment="1">
      <alignment horizontal="center" vertical="center"/>
    </xf>
    <xf numFmtId="0" fontId="13" fillId="2" borderId="106" xfId="0" applyFont="1" applyFill="1" applyBorder="1" applyAlignment="1">
      <alignment horizontal="center" vertical="center"/>
    </xf>
    <xf numFmtId="0" fontId="13" fillId="2" borderId="114" xfId="0" applyFont="1" applyFill="1" applyBorder="1" applyAlignment="1">
      <alignment horizontal="center" vertical="center"/>
    </xf>
    <xf numFmtId="0" fontId="13" fillId="2" borderId="115" xfId="0" applyFont="1" applyFill="1" applyBorder="1" applyAlignment="1">
      <alignment horizontal="center" vertical="center"/>
    </xf>
    <xf numFmtId="0" fontId="13" fillId="2" borderId="11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17" xfId="0" applyFont="1" applyFill="1" applyBorder="1" applyAlignment="1">
      <alignment horizontal="center" vertical="center"/>
    </xf>
    <xf numFmtId="0" fontId="13" fillId="2" borderId="118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80" fontId="15" fillId="3" borderId="106" xfId="0" applyNumberFormat="1" applyFont="1" applyFill="1" applyBorder="1" applyAlignment="1">
      <alignment horizontal="right" vertical="center"/>
    </xf>
    <xf numFmtId="180" fontId="15" fillId="3" borderId="8" xfId="0" applyNumberFormat="1" applyFont="1" applyFill="1" applyBorder="1" applyAlignment="1">
      <alignment horizontal="right" vertical="center"/>
    </xf>
    <xf numFmtId="180" fontId="15" fillId="3" borderId="110" xfId="0" applyNumberFormat="1" applyFont="1" applyFill="1" applyBorder="1" applyAlignment="1">
      <alignment horizontal="right" vertical="center"/>
    </xf>
    <xf numFmtId="183" fontId="15" fillId="3" borderId="106" xfId="2" applyNumberFormat="1" applyFont="1" applyFill="1" applyBorder="1" applyAlignment="1">
      <alignment horizontal="center" vertical="center"/>
    </xf>
    <xf numFmtId="183" fontId="15" fillId="3" borderId="111" xfId="2" applyNumberFormat="1" applyFont="1" applyFill="1" applyBorder="1" applyAlignment="1">
      <alignment horizontal="center" vertical="center"/>
    </xf>
    <xf numFmtId="177" fontId="15" fillId="3" borderId="106" xfId="1" applyNumberFormat="1" applyFont="1" applyFill="1" applyBorder="1" applyAlignment="1">
      <alignment horizontal="right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left" vertical="center" indent="1"/>
    </xf>
    <xf numFmtId="0" fontId="13" fillId="5" borderId="6" xfId="0" applyFont="1" applyFill="1" applyBorder="1" applyAlignment="1">
      <alignment horizontal="left" vertical="center" indent="1"/>
    </xf>
    <xf numFmtId="0" fontId="13" fillId="5" borderId="7" xfId="0" applyFont="1" applyFill="1" applyBorder="1" applyAlignment="1">
      <alignment horizontal="left" vertical="center" indent="1"/>
    </xf>
    <xf numFmtId="0" fontId="13" fillId="5" borderId="12" xfId="0" applyFont="1" applyFill="1" applyBorder="1" applyAlignment="1">
      <alignment horizontal="left" vertical="center" indent="1"/>
    </xf>
    <xf numFmtId="0" fontId="13" fillId="5" borderId="0" xfId="0" applyFont="1" applyFill="1" applyBorder="1" applyAlignment="1">
      <alignment horizontal="left" vertical="center" indent="1"/>
    </xf>
    <xf numFmtId="0" fontId="13" fillId="5" borderId="18" xfId="0" applyFont="1" applyFill="1" applyBorder="1" applyAlignment="1">
      <alignment horizontal="left" vertical="center" indent="1"/>
    </xf>
    <xf numFmtId="0" fontId="13" fillId="0" borderId="5" xfId="0" applyFont="1" applyBorder="1" applyAlignment="1">
      <alignment horizontal="left" vertical="center" indent="1"/>
    </xf>
    <xf numFmtId="0" fontId="13" fillId="0" borderId="6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left" vertical="center" indent="1"/>
    </xf>
    <xf numFmtId="180" fontId="15" fillId="3" borderId="5" xfId="0" applyNumberFormat="1" applyFont="1" applyFill="1" applyBorder="1" applyAlignment="1">
      <alignment horizontal="right" vertical="center"/>
    </xf>
    <xf numFmtId="180" fontId="15" fillId="3" borderId="6" xfId="0" applyNumberFormat="1" applyFont="1" applyFill="1" applyBorder="1" applyAlignment="1">
      <alignment horizontal="right" vertical="center"/>
    </xf>
    <xf numFmtId="180" fontId="15" fillId="3" borderId="7" xfId="0" applyNumberFormat="1" applyFont="1" applyFill="1" applyBorder="1" applyAlignment="1">
      <alignment horizontal="right" vertical="center"/>
    </xf>
    <xf numFmtId="180" fontId="15" fillId="4" borderId="5" xfId="0" applyNumberFormat="1" applyFont="1" applyFill="1" applyBorder="1" applyAlignment="1">
      <alignment horizontal="right" vertical="center"/>
    </xf>
    <xf numFmtId="180" fontId="15" fillId="4" borderId="6" xfId="0" applyNumberFormat="1" applyFont="1" applyFill="1" applyBorder="1" applyAlignment="1">
      <alignment horizontal="right" vertical="center"/>
    </xf>
    <xf numFmtId="180" fontId="15" fillId="4" borderId="7" xfId="0" applyNumberFormat="1" applyFont="1" applyFill="1" applyBorder="1" applyAlignment="1">
      <alignment horizontal="right" vertical="center"/>
    </xf>
    <xf numFmtId="0" fontId="13" fillId="0" borderId="8" xfId="0" applyFont="1" applyBorder="1" applyAlignment="1">
      <alignment horizontal="left" vertical="center" indent="1"/>
    </xf>
    <xf numFmtId="0" fontId="13" fillId="0" borderId="9" xfId="0" applyFont="1" applyBorder="1" applyAlignment="1">
      <alignment horizontal="left" vertical="center" indent="1"/>
    </xf>
    <xf numFmtId="0" fontId="13" fillId="0" borderId="10" xfId="0" applyFont="1" applyBorder="1" applyAlignment="1">
      <alignment horizontal="left" vertical="center" indent="1"/>
    </xf>
    <xf numFmtId="180" fontId="15" fillId="3" borderId="9" xfId="0" applyNumberFormat="1" applyFont="1" applyFill="1" applyBorder="1" applyAlignment="1">
      <alignment horizontal="right" vertical="center"/>
    </xf>
    <xf numFmtId="180" fontId="15" fillId="3" borderId="10" xfId="0" applyNumberFormat="1" applyFont="1" applyFill="1" applyBorder="1" applyAlignment="1">
      <alignment horizontal="right" vertical="center"/>
    </xf>
    <xf numFmtId="180" fontId="15" fillId="4" borderId="8" xfId="0" applyNumberFormat="1" applyFont="1" applyFill="1" applyBorder="1" applyAlignment="1">
      <alignment horizontal="right" vertical="center"/>
    </xf>
    <xf numFmtId="180" fontId="15" fillId="4" borderId="9" xfId="0" applyNumberFormat="1" applyFont="1" applyFill="1" applyBorder="1" applyAlignment="1">
      <alignment horizontal="right" vertical="center"/>
    </xf>
    <xf numFmtId="180" fontId="15" fillId="4" borderId="10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center" vertical="center" wrapText="1"/>
    </xf>
    <xf numFmtId="180" fontId="13" fillId="6" borderId="2" xfId="0" applyNumberFormat="1" applyFont="1" applyFill="1" applyBorder="1" applyAlignment="1">
      <alignment horizontal="right" vertical="center"/>
    </xf>
    <xf numFmtId="180" fontId="13" fillId="6" borderId="3" xfId="0" applyNumberFormat="1" applyFont="1" applyFill="1" applyBorder="1" applyAlignment="1">
      <alignment horizontal="right" vertical="center"/>
    </xf>
    <xf numFmtId="180" fontId="13" fillId="6" borderId="4" xfId="0" applyNumberFormat="1" applyFont="1" applyFill="1" applyBorder="1" applyAlignment="1">
      <alignment horizontal="right" vertical="center"/>
    </xf>
    <xf numFmtId="180" fontId="223" fillId="6" borderId="2" xfId="0" applyNumberFormat="1" applyFont="1" applyFill="1" applyBorder="1" applyAlignment="1">
      <alignment horizontal="right" vertical="center"/>
    </xf>
    <xf numFmtId="180" fontId="223" fillId="6" borderId="3" xfId="0" applyNumberFormat="1" applyFont="1" applyFill="1" applyBorder="1" applyAlignment="1">
      <alignment horizontal="right" vertical="center"/>
    </xf>
    <xf numFmtId="180" fontId="223" fillId="6" borderId="4" xfId="0" applyNumberFormat="1" applyFont="1" applyFill="1" applyBorder="1" applyAlignment="1">
      <alignment horizontal="right" vertical="center"/>
    </xf>
    <xf numFmtId="0" fontId="13" fillId="5" borderId="3" xfId="0" applyFont="1" applyFill="1" applyBorder="1" applyAlignment="1">
      <alignment horizontal="left" vertical="center" indent="1"/>
    </xf>
    <xf numFmtId="0" fontId="13" fillId="5" borderId="4" xfId="0" applyFont="1" applyFill="1" applyBorder="1" applyAlignment="1">
      <alignment horizontal="left" vertical="center" indent="1"/>
    </xf>
    <xf numFmtId="180" fontId="13" fillId="5" borderId="2" xfId="0" applyNumberFormat="1" applyFont="1" applyFill="1" applyBorder="1" applyAlignment="1">
      <alignment horizontal="right" vertical="center"/>
    </xf>
    <xf numFmtId="180" fontId="13" fillId="5" borderId="3" xfId="0" applyNumberFormat="1" applyFont="1" applyFill="1" applyBorder="1" applyAlignment="1">
      <alignment horizontal="right" vertical="center"/>
    </xf>
    <xf numFmtId="180" fontId="13" fillId="5" borderId="4" xfId="0" applyNumberFormat="1" applyFont="1" applyFill="1" applyBorder="1" applyAlignment="1">
      <alignment horizontal="right" vertical="center"/>
    </xf>
    <xf numFmtId="180" fontId="223" fillId="5" borderId="2" xfId="0" applyNumberFormat="1" applyFont="1" applyFill="1" applyBorder="1" applyAlignment="1">
      <alignment horizontal="right" vertical="center"/>
    </xf>
    <xf numFmtId="180" fontId="223" fillId="5" borderId="3" xfId="0" applyNumberFormat="1" applyFont="1" applyFill="1" applyBorder="1" applyAlignment="1">
      <alignment horizontal="right" vertical="center"/>
    </xf>
    <xf numFmtId="180" fontId="223" fillId="5" borderId="4" xfId="0" applyNumberFormat="1" applyFont="1" applyFill="1" applyBorder="1" applyAlignment="1">
      <alignment horizontal="right" vertical="center"/>
    </xf>
    <xf numFmtId="0" fontId="13" fillId="0" borderId="2" xfId="0" applyFont="1" applyBorder="1" applyAlignment="1">
      <alignment horizontal="left" vertical="center" indent="1"/>
    </xf>
    <xf numFmtId="0" fontId="13" fillId="0" borderId="3" xfId="0" applyFont="1" applyBorder="1" applyAlignment="1">
      <alignment horizontal="left" vertical="center" indent="1"/>
    </xf>
    <xf numFmtId="0" fontId="13" fillId="0" borderId="4" xfId="0" applyFont="1" applyBorder="1" applyAlignment="1">
      <alignment horizontal="left" vertical="center" indent="1"/>
    </xf>
    <xf numFmtId="180" fontId="15" fillId="3" borderId="2" xfId="0" applyNumberFormat="1" applyFont="1" applyFill="1" applyBorder="1" applyAlignment="1">
      <alignment horizontal="right" vertical="center"/>
    </xf>
    <xf numFmtId="180" fontId="15" fillId="3" borderId="3" xfId="0" applyNumberFormat="1" applyFont="1" applyFill="1" applyBorder="1" applyAlignment="1">
      <alignment horizontal="right" vertical="center"/>
    </xf>
    <xf numFmtId="180" fontId="15" fillId="3" borderId="4" xfId="0" applyNumberFormat="1" applyFont="1" applyFill="1" applyBorder="1" applyAlignment="1">
      <alignment horizontal="right" vertical="center"/>
    </xf>
    <xf numFmtId="180" fontId="221" fillId="3" borderId="2" xfId="0" applyNumberFormat="1" applyFont="1" applyFill="1" applyBorder="1" applyAlignment="1">
      <alignment horizontal="right" vertical="center"/>
    </xf>
    <xf numFmtId="180" fontId="221" fillId="3" borderId="3" xfId="0" applyNumberFormat="1" applyFont="1" applyFill="1" applyBorder="1" applyAlignment="1">
      <alignment horizontal="right" vertical="center"/>
    </xf>
    <xf numFmtId="180" fontId="221" fillId="3" borderId="4" xfId="0" applyNumberFormat="1" applyFont="1" applyFill="1" applyBorder="1" applyAlignment="1">
      <alignment horizontal="right" vertical="center"/>
    </xf>
    <xf numFmtId="180" fontId="15" fillId="4" borderId="2" xfId="0" applyNumberFormat="1" applyFont="1" applyFill="1" applyBorder="1" applyAlignment="1">
      <alignment horizontal="right" vertical="center"/>
    </xf>
    <xf numFmtId="180" fontId="15" fillId="4" borderId="3" xfId="0" applyNumberFormat="1" applyFont="1" applyFill="1" applyBorder="1" applyAlignment="1">
      <alignment horizontal="right" vertical="center"/>
    </xf>
    <xf numFmtId="180" fontId="15" fillId="4" borderId="4" xfId="0" applyNumberFormat="1" applyFont="1" applyFill="1" applyBorder="1" applyAlignment="1">
      <alignment horizontal="right" vertical="center"/>
    </xf>
    <xf numFmtId="180" fontId="221" fillId="3" borderId="8" xfId="0" applyNumberFormat="1" applyFont="1" applyFill="1" applyBorder="1" applyAlignment="1">
      <alignment horizontal="right" vertical="center"/>
    </xf>
    <xf numFmtId="180" fontId="221" fillId="3" borderId="9" xfId="0" applyNumberFormat="1" applyFont="1" applyFill="1" applyBorder="1" applyAlignment="1">
      <alignment horizontal="right" vertical="center"/>
    </xf>
    <xf numFmtId="180" fontId="221" fillId="3" borderId="10" xfId="0" applyNumberFormat="1" applyFont="1" applyFill="1" applyBorder="1" applyAlignment="1">
      <alignment horizontal="right" vertical="center"/>
    </xf>
    <xf numFmtId="0" fontId="13" fillId="0" borderId="12" xfId="0" applyFont="1" applyBorder="1" applyAlignment="1">
      <alignment horizontal="left" vertical="center" indent="1"/>
    </xf>
    <xf numFmtId="0" fontId="13" fillId="0" borderId="0" xfId="0" applyFont="1" applyBorder="1" applyAlignment="1">
      <alignment horizontal="left" vertical="center" indent="1"/>
    </xf>
    <xf numFmtId="0" fontId="13" fillId="0" borderId="18" xfId="0" applyFont="1" applyBorder="1" applyAlignment="1">
      <alignment horizontal="left" vertical="center" indent="1"/>
    </xf>
    <xf numFmtId="180" fontId="15" fillId="3" borderId="12" xfId="0" applyNumberFormat="1" applyFont="1" applyFill="1" applyBorder="1" applyAlignment="1">
      <alignment horizontal="right" vertical="center"/>
    </xf>
    <xf numFmtId="180" fontId="15" fillId="3" borderId="0" xfId="0" applyNumberFormat="1" applyFont="1" applyFill="1" applyBorder="1" applyAlignment="1">
      <alignment horizontal="right" vertical="center"/>
    </xf>
    <xf numFmtId="180" fontId="15" fillId="3" borderId="18" xfId="0" applyNumberFormat="1" applyFont="1" applyFill="1" applyBorder="1" applyAlignment="1">
      <alignment horizontal="right" vertical="center"/>
    </xf>
    <xf numFmtId="180" fontId="221" fillId="3" borderId="12" xfId="0" applyNumberFormat="1" applyFont="1" applyFill="1" applyBorder="1" applyAlignment="1">
      <alignment horizontal="right" vertical="center"/>
    </xf>
    <xf numFmtId="180" fontId="221" fillId="3" borderId="0" xfId="0" applyNumberFormat="1" applyFont="1" applyFill="1" applyBorder="1" applyAlignment="1">
      <alignment horizontal="right" vertical="center"/>
    </xf>
    <xf numFmtId="180" fontId="221" fillId="3" borderId="18" xfId="0" applyNumberFormat="1" applyFont="1" applyFill="1" applyBorder="1" applyAlignment="1">
      <alignment horizontal="right" vertical="center"/>
    </xf>
    <xf numFmtId="180" fontId="15" fillId="4" borderId="12" xfId="0" applyNumberFormat="1" applyFont="1" applyFill="1" applyBorder="1" applyAlignment="1">
      <alignment horizontal="right" vertical="center"/>
    </xf>
    <xf numFmtId="180" fontId="15" fillId="4" borderId="0" xfId="0" applyNumberFormat="1" applyFont="1" applyFill="1" applyBorder="1" applyAlignment="1">
      <alignment horizontal="right" vertical="center"/>
    </xf>
    <xf numFmtId="180" fontId="15" fillId="4" borderId="18" xfId="0" applyNumberFormat="1" applyFont="1" applyFill="1" applyBorder="1" applyAlignment="1">
      <alignment horizontal="right" vertical="center"/>
    </xf>
    <xf numFmtId="177" fontId="15" fillId="3" borderId="5" xfId="1" applyNumberFormat="1" applyFont="1" applyFill="1" applyBorder="1" applyAlignment="1">
      <alignment horizontal="center" vertical="center"/>
    </xf>
    <xf numFmtId="177" fontId="15" fillId="3" borderId="6" xfId="1" applyNumberFormat="1" applyFont="1" applyFill="1" applyBorder="1" applyAlignment="1">
      <alignment horizontal="center" vertical="center"/>
    </xf>
    <xf numFmtId="177" fontId="15" fillId="3" borderId="7" xfId="1" applyNumberFormat="1" applyFont="1" applyFill="1" applyBorder="1" applyAlignment="1">
      <alignment horizontal="center" vertical="center"/>
    </xf>
    <xf numFmtId="177" fontId="221" fillId="3" borderId="5" xfId="1" applyNumberFormat="1" applyFont="1" applyFill="1" applyBorder="1" applyAlignment="1">
      <alignment horizontal="center" vertical="center"/>
    </xf>
    <xf numFmtId="177" fontId="221" fillId="3" borderId="6" xfId="1" applyNumberFormat="1" applyFont="1" applyFill="1" applyBorder="1" applyAlignment="1">
      <alignment horizontal="center" vertical="center"/>
    </xf>
    <xf numFmtId="177" fontId="221" fillId="3" borderId="7" xfId="1" applyNumberFormat="1" applyFont="1" applyFill="1" applyBorder="1" applyAlignment="1">
      <alignment horizontal="center" vertical="center"/>
    </xf>
    <xf numFmtId="177" fontId="15" fillId="4" borderId="5" xfId="1" applyNumberFormat="1" applyFont="1" applyFill="1" applyBorder="1" applyAlignment="1">
      <alignment horizontal="center" vertical="center"/>
    </xf>
    <xf numFmtId="177" fontId="15" fillId="4" borderId="6" xfId="1" applyNumberFormat="1" applyFont="1" applyFill="1" applyBorder="1" applyAlignment="1">
      <alignment horizontal="center" vertical="center"/>
    </xf>
    <xf numFmtId="177" fontId="15" fillId="4" borderId="7" xfId="1" applyNumberFormat="1" applyFont="1" applyFill="1" applyBorder="1" applyAlignment="1">
      <alignment horizontal="center" vertical="center"/>
    </xf>
    <xf numFmtId="177" fontId="15" fillId="3" borderId="5" xfId="1" applyNumberFormat="1" applyFont="1" applyFill="1" applyBorder="1" applyAlignment="1">
      <alignment horizontal="right" vertical="center"/>
    </xf>
    <xf numFmtId="177" fontId="15" fillId="3" borderId="6" xfId="1" applyNumberFormat="1" applyFont="1" applyFill="1" applyBorder="1" applyAlignment="1">
      <alignment horizontal="right" vertical="center"/>
    </xf>
    <xf numFmtId="177" fontId="15" fillId="3" borderId="7" xfId="1" applyNumberFormat="1" applyFont="1" applyFill="1" applyBorder="1" applyAlignment="1">
      <alignment horizontal="right" vertical="center"/>
    </xf>
    <xf numFmtId="177" fontId="221" fillId="3" borderId="5" xfId="1" applyNumberFormat="1" applyFont="1" applyFill="1" applyBorder="1" applyAlignment="1">
      <alignment horizontal="right" vertical="center"/>
    </xf>
    <xf numFmtId="177" fontId="221" fillId="3" borderId="6" xfId="1" applyNumberFormat="1" applyFont="1" applyFill="1" applyBorder="1" applyAlignment="1">
      <alignment horizontal="right" vertical="center"/>
    </xf>
    <xf numFmtId="177" fontId="221" fillId="3" borderId="7" xfId="1" applyNumberFormat="1" applyFont="1" applyFill="1" applyBorder="1" applyAlignment="1">
      <alignment horizontal="right" vertical="center"/>
    </xf>
    <xf numFmtId="177" fontId="15" fillId="4" borderId="5" xfId="1" applyNumberFormat="1" applyFont="1" applyFill="1" applyBorder="1" applyAlignment="1">
      <alignment horizontal="right" vertical="center"/>
    </xf>
    <xf numFmtId="177" fontId="15" fillId="4" borderId="6" xfId="1" applyNumberFormat="1" applyFont="1" applyFill="1" applyBorder="1" applyAlignment="1">
      <alignment horizontal="right" vertical="center"/>
    </xf>
    <xf numFmtId="177" fontId="15" fillId="4" borderId="7" xfId="1" applyNumberFormat="1" applyFont="1" applyFill="1" applyBorder="1" applyAlignment="1">
      <alignment horizontal="right" vertical="center"/>
    </xf>
    <xf numFmtId="180" fontId="15" fillId="4" borderId="1" xfId="1" applyNumberFormat="1" applyFont="1" applyFill="1" applyBorder="1" applyAlignment="1">
      <alignment horizontal="right" vertical="center"/>
    </xf>
    <xf numFmtId="180" fontId="15" fillId="4" borderId="2" xfId="1" applyNumberFormat="1" applyFont="1" applyFill="1" applyBorder="1" applyAlignment="1">
      <alignment horizontal="right" vertical="center"/>
    </xf>
    <xf numFmtId="180" fontId="15" fillId="4" borderId="26" xfId="1" applyNumberFormat="1" applyFont="1" applyFill="1" applyBorder="1" applyAlignment="1">
      <alignment horizontal="right" vertical="center"/>
    </xf>
    <xf numFmtId="180" fontId="15" fillId="4" borderId="3" xfId="1" applyNumberFormat="1" applyFont="1" applyFill="1" applyBorder="1" applyAlignment="1">
      <alignment horizontal="right" vertical="center"/>
    </xf>
    <xf numFmtId="180" fontId="15" fillId="4" borderId="27" xfId="1" applyNumberFormat="1" applyFont="1" applyFill="1" applyBorder="1" applyAlignment="1">
      <alignment horizontal="right" vertical="center"/>
    </xf>
    <xf numFmtId="41" fontId="15" fillId="0" borderId="3" xfId="1" applyFont="1" applyFill="1" applyBorder="1" applyAlignment="1">
      <alignment horizontal="center" vertical="center"/>
    </xf>
    <xf numFmtId="41" fontId="15" fillId="0" borderId="4" xfId="1" applyFont="1" applyFill="1" applyBorder="1" applyAlignment="1">
      <alignment horizontal="center" vertical="center"/>
    </xf>
    <xf numFmtId="180" fontId="15" fillId="3" borderId="2" xfId="1" applyNumberFormat="1" applyFont="1" applyFill="1" applyBorder="1" applyAlignment="1">
      <alignment horizontal="right" vertical="center"/>
    </xf>
    <xf numFmtId="180" fontId="15" fillId="3" borderId="3" xfId="1" applyNumberFormat="1" applyFont="1" applyFill="1" applyBorder="1" applyAlignment="1">
      <alignment horizontal="right" vertical="center"/>
    </xf>
    <xf numFmtId="180" fontId="15" fillId="3" borderId="4" xfId="1" applyNumberFormat="1" applyFont="1" applyFill="1" applyBorder="1" applyAlignment="1">
      <alignment horizontal="right" vertical="center"/>
    </xf>
    <xf numFmtId="180" fontId="15" fillId="3" borderId="1" xfId="1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80" fontId="13" fillId="5" borderId="26" xfId="1" applyNumberFormat="1" applyFont="1" applyFill="1" applyBorder="1" applyAlignment="1">
      <alignment horizontal="right" vertical="center"/>
    </xf>
    <xf numFmtId="180" fontId="13" fillId="5" borderId="3" xfId="1" applyNumberFormat="1" applyFont="1" applyFill="1" applyBorder="1" applyAlignment="1">
      <alignment horizontal="right" vertical="center"/>
    </xf>
    <xf numFmtId="180" fontId="13" fillId="5" borderId="27" xfId="1" applyNumberFormat="1" applyFont="1" applyFill="1" applyBorder="1" applyAlignment="1">
      <alignment horizontal="right" vertical="center"/>
    </xf>
    <xf numFmtId="41" fontId="13" fillId="5" borderId="3" xfId="1" applyFont="1" applyFill="1" applyBorder="1" applyAlignment="1">
      <alignment horizontal="center" vertical="center"/>
    </xf>
    <xf numFmtId="41" fontId="13" fillId="5" borderId="4" xfId="1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left" vertical="center" indent="1"/>
    </xf>
    <xf numFmtId="0" fontId="13" fillId="5" borderId="9" xfId="0" applyFont="1" applyFill="1" applyBorder="1" applyAlignment="1">
      <alignment horizontal="left" vertical="center" indent="1"/>
    </xf>
    <xf numFmtId="180" fontId="13" fillId="5" borderId="2" xfId="1" applyNumberFormat="1" applyFont="1" applyFill="1" applyBorder="1" applyAlignment="1">
      <alignment horizontal="right" vertical="center"/>
    </xf>
    <xf numFmtId="180" fontId="13" fillId="5" borderId="4" xfId="1" applyNumberFormat="1" applyFont="1" applyFill="1" applyBorder="1" applyAlignment="1">
      <alignment horizontal="right" vertical="center"/>
    </xf>
    <xf numFmtId="180" fontId="13" fillId="5" borderId="1" xfId="1" applyNumberFormat="1" applyFont="1" applyFill="1" applyBorder="1" applyAlignment="1">
      <alignment horizontal="right" vertical="center"/>
    </xf>
    <xf numFmtId="180" fontId="13" fillId="5" borderId="11" xfId="1" applyNumberFormat="1" applyFont="1" applyFill="1" applyBorder="1" applyAlignment="1">
      <alignment horizontal="right" vertical="center"/>
    </xf>
    <xf numFmtId="180" fontId="13" fillId="5" borderId="5" xfId="1" applyNumberFormat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180" fontId="13" fillId="6" borderId="28" xfId="1" applyNumberFormat="1" applyFont="1" applyFill="1" applyBorder="1" applyAlignment="1">
      <alignment horizontal="right" vertical="center"/>
    </xf>
    <xf numFmtId="180" fontId="13" fillId="6" borderId="29" xfId="1" applyNumberFormat="1" applyFont="1" applyFill="1" applyBorder="1" applyAlignment="1">
      <alignment horizontal="right" vertical="center"/>
    </xf>
    <xf numFmtId="180" fontId="13" fillId="6" borderId="31" xfId="1" applyNumberFormat="1" applyFont="1" applyFill="1" applyBorder="1" applyAlignment="1">
      <alignment horizontal="right" vertical="center"/>
    </xf>
    <xf numFmtId="41" fontId="13" fillId="6" borderId="3" xfId="1" applyFont="1" applyFill="1" applyBorder="1" applyAlignment="1">
      <alignment horizontal="center" vertical="center"/>
    </xf>
    <xf numFmtId="41" fontId="13" fillId="6" borderId="4" xfId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180" fontId="13" fillId="6" borderId="2" xfId="1" applyNumberFormat="1" applyFont="1" applyFill="1" applyBorder="1" applyAlignment="1">
      <alignment horizontal="right" vertical="center"/>
    </xf>
    <xf numFmtId="180" fontId="13" fillId="6" borderId="3" xfId="1" applyNumberFormat="1" applyFont="1" applyFill="1" applyBorder="1" applyAlignment="1">
      <alignment horizontal="right" vertical="center"/>
    </xf>
    <xf numFmtId="180" fontId="13" fillId="6" borderId="4" xfId="1" applyNumberFormat="1" applyFont="1" applyFill="1" applyBorder="1" applyAlignment="1">
      <alignment horizontal="right" vertical="center"/>
    </xf>
    <xf numFmtId="180" fontId="13" fillId="6" borderId="106" xfId="1" applyNumberFormat="1" applyFont="1" applyFill="1" applyBorder="1" applyAlignment="1">
      <alignment horizontal="right" vertical="center"/>
    </xf>
    <xf numFmtId="180" fontId="13" fillId="6" borderId="8" xfId="1" applyNumberFormat="1" applyFont="1" applyFill="1" applyBorder="1" applyAlignment="1">
      <alignment horizontal="right" vertical="center"/>
    </xf>
    <xf numFmtId="0" fontId="13" fillId="9" borderId="26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223" fillId="2" borderId="22" xfId="0" applyFont="1" applyFill="1" applyBorder="1" applyAlignment="1">
      <alignment horizontal="center" vertical="center"/>
    </xf>
    <xf numFmtId="0" fontId="223" fillId="2" borderId="6" xfId="0" applyFont="1" applyFill="1" applyBorder="1" applyAlignment="1">
      <alignment horizontal="center" vertical="center"/>
    </xf>
    <xf numFmtId="0" fontId="223" fillId="2" borderId="7" xfId="0" applyFont="1" applyFill="1" applyBorder="1" applyAlignment="1">
      <alignment horizontal="center" vertical="center"/>
    </xf>
    <xf numFmtId="0" fontId="223" fillId="2" borderId="24" xfId="0" applyFont="1" applyFill="1" applyBorder="1" applyAlignment="1">
      <alignment horizontal="center" vertical="center"/>
    </xf>
    <xf numFmtId="0" fontId="223" fillId="2" borderId="9" xfId="0" applyFont="1" applyFill="1" applyBorder="1" applyAlignment="1">
      <alignment horizontal="center" vertical="center"/>
    </xf>
    <xf numFmtId="0" fontId="223" fillId="2" borderId="10" xfId="0" applyFont="1" applyFill="1" applyBorder="1" applyAlignment="1">
      <alignment horizontal="center" vertical="center"/>
    </xf>
    <xf numFmtId="0" fontId="223" fillId="2" borderId="5" xfId="0" applyFont="1" applyFill="1" applyBorder="1" applyAlignment="1">
      <alignment horizontal="center" vertical="center"/>
    </xf>
    <xf numFmtId="0" fontId="223" fillId="2" borderId="23" xfId="0" applyFont="1" applyFill="1" applyBorder="1" applyAlignment="1">
      <alignment horizontal="center" vertical="center"/>
    </xf>
    <xf numFmtId="0" fontId="223" fillId="2" borderId="8" xfId="0" applyFont="1" applyFill="1" applyBorder="1" applyAlignment="1">
      <alignment horizontal="center" vertical="center"/>
    </xf>
    <xf numFmtId="0" fontId="223" fillId="2" borderId="2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177" fontId="221" fillId="3" borderId="2" xfId="1" applyNumberFormat="1" applyFont="1" applyFill="1" applyBorder="1" applyAlignment="1">
      <alignment horizontal="center" vertical="center"/>
    </xf>
    <xf numFmtId="177" fontId="221" fillId="3" borderId="4" xfId="1" applyNumberFormat="1" applyFont="1" applyFill="1" applyBorder="1" applyAlignment="1">
      <alignment horizontal="center" vertical="center"/>
    </xf>
    <xf numFmtId="177" fontId="221" fillId="8" borderId="2" xfId="1" applyNumberFormat="1" applyFont="1" applyFill="1" applyBorder="1" applyAlignment="1">
      <alignment horizontal="center" vertical="center"/>
    </xf>
    <xf numFmtId="177" fontId="221" fillId="8" borderId="27" xfId="1" applyNumberFormat="1" applyFont="1" applyFill="1" applyBorder="1" applyAlignment="1">
      <alignment horizontal="center" vertical="center"/>
    </xf>
    <xf numFmtId="177" fontId="221" fillId="3" borderId="3" xfId="1" applyNumberFormat="1" applyFont="1" applyFill="1" applyBorder="1" applyAlignment="1">
      <alignment horizontal="center" vertical="center"/>
    </xf>
    <xf numFmtId="0" fontId="221" fillId="0" borderId="5" xfId="0" applyFont="1" applyBorder="1" applyAlignment="1">
      <alignment horizontal="center" vertical="center"/>
    </xf>
    <xf numFmtId="0" fontId="221" fillId="0" borderId="7" xfId="0" applyFont="1" applyBorder="1" applyAlignment="1">
      <alignment horizontal="center" vertical="center"/>
    </xf>
    <xf numFmtId="0" fontId="221" fillId="0" borderId="8" xfId="0" applyFont="1" applyBorder="1" applyAlignment="1">
      <alignment horizontal="center" vertical="center"/>
    </xf>
    <xf numFmtId="0" fontId="221" fillId="0" borderId="10" xfId="0" applyFont="1" applyBorder="1" applyAlignment="1">
      <alignment horizontal="center" vertical="center"/>
    </xf>
    <xf numFmtId="0" fontId="221" fillId="0" borderId="6" xfId="0" applyFont="1" applyBorder="1" applyAlignment="1">
      <alignment horizontal="center" vertical="center"/>
    </xf>
    <xf numFmtId="0" fontId="221" fillId="0" borderId="9" xfId="0" applyFont="1" applyBorder="1" applyAlignment="1">
      <alignment horizontal="center" vertical="center"/>
    </xf>
    <xf numFmtId="0" fontId="223" fillId="3" borderId="2" xfId="0" applyFont="1" applyFill="1" applyBorder="1" applyAlignment="1">
      <alignment horizontal="center" vertical="center" wrapText="1"/>
    </xf>
    <xf numFmtId="0" fontId="221" fillId="0" borderId="27" xfId="0" applyFont="1" applyBorder="1">
      <alignment vertical="center"/>
    </xf>
    <xf numFmtId="177" fontId="221" fillId="3" borderId="26" xfId="1" applyNumberFormat="1" applyFont="1" applyFill="1" applyBorder="1" applyAlignment="1">
      <alignment horizontal="center" vertical="center"/>
    </xf>
    <xf numFmtId="0" fontId="221" fillId="0" borderId="5" xfId="0" applyFont="1" applyBorder="1" applyAlignment="1">
      <alignment horizontal="left" vertical="center" indent="1"/>
    </xf>
    <xf numFmtId="0" fontId="221" fillId="0" borderId="6" xfId="0" applyFont="1" applyBorder="1" applyAlignment="1">
      <alignment horizontal="left" vertical="center" indent="1"/>
    </xf>
    <xf numFmtId="0" fontId="221" fillId="0" borderId="7" xfId="0" applyFont="1" applyBorder="1" applyAlignment="1">
      <alignment horizontal="left" vertical="center" indent="1"/>
    </xf>
    <xf numFmtId="0" fontId="221" fillId="0" borderId="8" xfId="0" applyFont="1" applyBorder="1" applyAlignment="1">
      <alignment horizontal="left" vertical="center" indent="1"/>
    </xf>
    <xf numFmtId="0" fontId="221" fillId="0" borderId="9" xfId="0" applyFont="1" applyBorder="1" applyAlignment="1">
      <alignment horizontal="left" vertical="center" indent="1"/>
    </xf>
    <xf numFmtId="0" fontId="221" fillId="0" borderId="10" xfId="0" applyFont="1" applyBorder="1" applyAlignment="1">
      <alignment horizontal="left" vertical="center" indent="1"/>
    </xf>
    <xf numFmtId="0" fontId="221" fillId="0" borderId="0" xfId="0" applyFont="1" applyFill="1" applyBorder="1" applyAlignment="1">
      <alignment horizontal="center" vertical="center"/>
    </xf>
    <xf numFmtId="0" fontId="223" fillId="4" borderId="2" xfId="0" applyFont="1" applyFill="1" applyBorder="1" applyAlignment="1">
      <alignment horizontal="center" vertical="center"/>
    </xf>
    <xf numFmtId="177" fontId="221" fillId="4" borderId="26" xfId="1" applyNumberFormat="1" applyFont="1" applyFill="1" applyBorder="1" applyAlignment="1">
      <alignment horizontal="center" vertical="center"/>
    </xf>
    <xf numFmtId="177" fontId="221" fillId="4" borderId="4" xfId="1" applyNumberFormat="1" applyFont="1" applyFill="1" applyBorder="1" applyAlignment="1">
      <alignment horizontal="center" vertical="center"/>
    </xf>
    <xf numFmtId="177" fontId="221" fillId="4" borderId="2" xfId="1" applyNumberFormat="1" applyFont="1" applyFill="1" applyBorder="1" applyAlignment="1">
      <alignment horizontal="center" vertical="center"/>
    </xf>
    <xf numFmtId="177" fontId="221" fillId="4" borderId="27" xfId="1" applyNumberFormat="1" applyFont="1" applyFill="1" applyBorder="1" applyAlignment="1">
      <alignment horizontal="center" vertical="center"/>
    </xf>
    <xf numFmtId="177" fontId="221" fillId="4" borderId="3" xfId="1" applyNumberFormat="1" applyFont="1" applyFill="1" applyBorder="1" applyAlignment="1">
      <alignment horizontal="center" vertical="center"/>
    </xf>
    <xf numFmtId="41" fontId="221" fillId="0" borderId="0" xfId="1" applyFont="1" applyFill="1" applyBorder="1" applyAlignment="1">
      <alignment horizontal="center" vertical="center"/>
    </xf>
    <xf numFmtId="180" fontId="221" fillId="3" borderId="26" xfId="1" applyNumberFormat="1" applyFont="1" applyFill="1" applyBorder="1" applyAlignment="1">
      <alignment horizontal="right" vertical="center"/>
    </xf>
    <xf numFmtId="180" fontId="221" fillId="3" borderId="3" xfId="1" applyNumberFormat="1" applyFont="1" applyFill="1" applyBorder="1" applyAlignment="1">
      <alignment horizontal="right" vertical="center"/>
    </xf>
    <xf numFmtId="180" fontId="221" fillId="3" borderId="4" xfId="1" applyNumberFormat="1" applyFont="1" applyFill="1" applyBorder="1" applyAlignment="1">
      <alignment horizontal="right" vertical="center"/>
    </xf>
    <xf numFmtId="180" fontId="221" fillId="8" borderId="2" xfId="1" applyNumberFormat="1" applyFont="1" applyFill="1" applyBorder="1" applyAlignment="1">
      <alignment horizontal="right" vertical="center"/>
    </xf>
    <xf numFmtId="180" fontId="221" fillId="8" borderId="3" xfId="1" applyNumberFormat="1" applyFont="1" applyFill="1" applyBorder="1" applyAlignment="1">
      <alignment horizontal="right" vertical="center"/>
    </xf>
    <xf numFmtId="180" fontId="221" fillId="8" borderId="27" xfId="1" applyNumberFormat="1" applyFont="1" applyFill="1" applyBorder="1" applyAlignment="1">
      <alignment horizontal="right" vertical="center"/>
    </xf>
    <xf numFmtId="177" fontId="221" fillId="0" borderId="0" xfId="1" applyNumberFormat="1" applyFont="1" applyFill="1" applyBorder="1" applyAlignment="1">
      <alignment horizontal="center" vertical="center"/>
    </xf>
    <xf numFmtId="180" fontId="221" fillId="4" borderId="26" xfId="1" applyNumberFormat="1" applyFont="1" applyFill="1" applyBorder="1" applyAlignment="1">
      <alignment horizontal="right" vertical="center"/>
    </xf>
    <xf numFmtId="180" fontId="221" fillId="4" borderId="3" xfId="1" applyNumberFormat="1" applyFont="1" applyFill="1" applyBorder="1" applyAlignment="1">
      <alignment horizontal="right" vertical="center"/>
    </xf>
    <xf numFmtId="180" fontId="221" fillId="4" borderId="4" xfId="1" applyNumberFormat="1" applyFont="1" applyFill="1" applyBorder="1" applyAlignment="1">
      <alignment horizontal="right" vertical="center"/>
    </xf>
    <xf numFmtId="180" fontId="221" fillId="4" borderId="2" xfId="1" applyNumberFormat="1" applyFont="1" applyFill="1" applyBorder="1" applyAlignment="1">
      <alignment horizontal="right" vertical="center"/>
    </xf>
    <xf numFmtId="180" fontId="221" fillId="4" borderId="27" xfId="1" applyNumberFormat="1" applyFont="1" applyFill="1" applyBorder="1" applyAlignment="1">
      <alignment horizontal="right" vertical="center"/>
    </xf>
    <xf numFmtId="179" fontId="221" fillId="0" borderId="5" xfId="1" applyNumberFormat="1" applyFont="1" applyBorder="1" applyAlignment="1">
      <alignment horizontal="right" vertical="center"/>
    </xf>
    <xf numFmtId="179" fontId="221" fillId="0" borderId="6" xfId="1" applyNumberFormat="1" applyFont="1" applyBorder="1" applyAlignment="1">
      <alignment horizontal="right" vertical="center"/>
    </xf>
    <xf numFmtId="179" fontId="221" fillId="0" borderId="23" xfId="1" applyNumberFormat="1" applyFont="1" applyBorder="1" applyAlignment="1">
      <alignment horizontal="right" vertical="center"/>
    </xf>
    <xf numFmtId="179" fontId="221" fillId="0" borderId="8" xfId="1" applyNumberFormat="1" applyFont="1" applyBorder="1" applyAlignment="1">
      <alignment horizontal="right" vertical="center"/>
    </xf>
    <xf numFmtId="179" fontId="221" fillId="0" borderId="9" xfId="1" applyNumberFormat="1" applyFont="1" applyBorder="1" applyAlignment="1">
      <alignment horizontal="right" vertical="center"/>
    </xf>
    <xf numFmtId="179" fontId="221" fillId="0" borderId="25" xfId="1" applyNumberFormat="1" applyFont="1" applyBorder="1" applyAlignment="1">
      <alignment horizontal="right" vertical="center"/>
    </xf>
    <xf numFmtId="179" fontId="221" fillId="0" borderId="7" xfId="1" applyNumberFormat="1" applyFont="1" applyBorder="1" applyAlignment="1">
      <alignment horizontal="right" vertical="center"/>
    </xf>
    <xf numFmtId="179" fontId="221" fillId="0" borderId="10" xfId="1" applyNumberFormat="1" applyFont="1" applyBorder="1" applyAlignment="1">
      <alignment horizontal="right" vertical="center"/>
    </xf>
    <xf numFmtId="0" fontId="221" fillId="0" borderId="12" xfId="0" applyFont="1" applyBorder="1" applyAlignment="1">
      <alignment horizontal="center" vertical="center"/>
    </xf>
    <xf numFmtId="0" fontId="221" fillId="0" borderId="0" xfId="0" applyFont="1" applyBorder="1" applyAlignment="1">
      <alignment horizontal="center" vertical="center"/>
    </xf>
    <xf numFmtId="0" fontId="221" fillId="0" borderId="18" xfId="0" applyFont="1" applyBorder="1" applyAlignment="1">
      <alignment horizontal="center" vertical="center"/>
    </xf>
    <xf numFmtId="0" fontId="221" fillId="0" borderId="12" xfId="0" applyFont="1" applyBorder="1" applyAlignment="1">
      <alignment horizontal="left" vertical="center" indent="1"/>
    </xf>
    <xf numFmtId="0" fontId="221" fillId="0" borderId="0" xfId="0" applyFont="1" applyBorder="1" applyAlignment="1">
      <alignment horizontal="left" vertical="center" indent="1"/>
    </xf>
    <xf numFmtId="0" fontId="221" fillId="0" borderId="18" xfId="0" applyFont="1" applyBorder="1" applyAlignment="1">
      <alignment horizontal="left" vertical="center" indent="1"/>
    </xf>
    <xf numFmtId="0" fontId="223" fillId="4" borderId="41" xfId="0" applyFont="1" applyFill="1" applyBorder="1" applyAlignment="1">
      <alignment horizontal="center" vertical="center"/>
    </xf>
    <xf numFmtId="0" fontId="221" fillId="0" borderId="31" xfId="0" applyFont="1" applyBorder="1">
      <alignment vertical="center"/>
    </xf>
    <xf numFmtId="179" fontId="221" fillId="0" borderId="12" xfId="1" applyNumberFormat="1" applyFont="1" applyBorder="1" applyAlignment="1">
      <alignment horizontal="right" vertical="center"/>
    </xf>
    <xf numFmtId="179" fontId="221" fillId="0" borderId="0" xfId="1" applyNumberFormat="1" applyFont="1" applyBorder="1" applyAlignment="1">
      <alignment horizontal="right" vertical="center"/>
    </xf>
    <xf numFmtId="179" fontId="221" fillId="0" borderId="18" xfId="1" applyNumberFormat="1" applyFont="1" applyBorder="1" applyAlignment="1">
      <alignment horizontal="right" vertical="center"/>
    </xf>
    <xf numFmtId="177" fontId="221" fillId="4" borderId="5" xfId="1" applyNumberFormat="1" applyFont="1" applyFill="1" applyBorder="1" applyAlignment="1">
      <alignment horizontal="center" vertical="center"/>
    </xf>
    <xf numFmtId="177" fontId="221" fillId="4" borderId="7" xfId="1" applyNumberFormat="1" applyFont="1" applyFill="1" applyBorder="1" applyAlignment="1">
      <alignment horizontal="center" vertical="center"/>
    </xf>
    <xf numFmtId="177" fontId="221" fillId="4" borderId="6" xfId="1" applyNumberFormat="1" applyFont="1" applyFill="1" applyBorder="1" applyAlignment="1">
      <alignment horizontal="center" vertical="center"/>
    </xf>
    <xf numFmtId="177" fontId="15" fillId="3" borderId="33" xfId="1" applyNumberFormat="1" applyFont="1" applyFill="1" applyBorder="1" applyAlignment="1">
      <alignment horizontal="center" vertical="center"/>
    </xf>
    <xf numFmtId="177" fontId="15" fillId="3" borderId="37" xfId="1" applyNumberFormat="1" applyFont="1" applyFill="1" applyBorder="1" applyAlignment="1">
      <alignment horizontal="center" vertical="center"/>
    </xf>
    <xf numFmtId="177" fontId="15" fillId="3" borderId="34" xfId="1" applyNumberFormat="1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6" borderId="32" xfId="0" applyFont="1" applyFill="1" applyBorder="1" applyAlignment="1">
      <alignment horizontal="center" vertical="center"/>
    </xf>
    <xf numFmtId="0" fontId="13" fillId="6" borderId="43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 wrapText="1"/>
    </xf>
    <xf numFmtId="0" fontId="15" fillId="0" borderId="36" xfId="0" applyFont="1" applyBorder="1">
      <alignment vertical="center"/>
    </xf>
    <xf numFmtId="177" fontId="15" fillId="3" borderId="35" xfId="1" applyNumberFormat="1" applyFont="1" applyFill="1" applyBorder="1" applyAlignment="1">
      <alignment horizontal="center" vertical="center"/>
    </xf>
    <xf numFmtId="0" fontId="15" fillId="8" borderId="33" xfId="0" applyFont="1" applyFill="1" applyBorder="1" applyAlignment="1">
      <alignment horizontal="center" vertical="center"/>
    </xf>
    <xf numFmtId="0" fontId="15" fillId="8" borderId="36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5" fillId="0" borderId="27" xfId="0" applyFont="1" applyBorder="1">
      <alignment vertical="center"/>
    </xf>
    <xf numFmtId="177" fontId="15" fillId="4" borderId="26" xfId="1" applyNumberFormat="1" applyFont="1" applyFill="1" applyBorder="1" applyAlignment="1">
      <alignment horizontal="center" vertical="center"/>
    </xf>
    <xf numFmtId="177" fontId="15" fillId="4" borderId="4" xfId="1" applyNumberFormat="1" applyFont="1" applyFill="1" applyBorder="1" applyAlignment="1">
      <alignment horizontal="center" vertical="center"/>
    </xf>
    <xf numFmtId="177" fontId="15" fillId="4" borderId="2" xfId="1" applyNumberFormat="1" applyFont="1" applyFill="1" applyBorder="1" applyAlignment="1">
      <alignment horizontal="center" vertical="center"/>
    </xf>
    <xf numFmtId="177" fontId="15" fillId="4" borderId="27" xfId="1" applyNumberFormat="1" applyFont="1" applyFill="1" applyBorder="1" applyAlignment="1">
      <alignment horizontal="center" vertical="center"/>
    </xf>
    <xf numFmtId="177" fontId="15" fillId="4" borderId="3" xfId="1" applyNumberFormat="1" applyFont="1" applyFill="1" applyBorder="1" applyAlignment="1">
      <alignment horizontal="center" vertical="center"/>
    </xf>
    <xf numFmtId="180" fontId="221" fillId="8" borderId="33" xfId="0" applyNumberFormat="1" applyFont="1" applyFill="1" applyBorder="1" applyAlignment="1">
      <alignment horizontal="right" vertical="center"/>
    </xf>
    <xf numFmtId="180" fontId="221" fillId="8" borderId="34" xfId="0" applyNumberFormat="1" applyFont="1" applyFill="1" applyBorder="1" applyAlignment="1">
      <alignment horizontal="right" vertical="center"/>
    </xf>
    <xf numFmtId="180" fontId="221" fillId="8" borderId="36" xfId="0" applyNumberFormat="1" applyFont="1" applyFill="1" applyBorder="1" applyAlignment="1">
      <alignment horizontal="right" vertical="center"/>
    </xf>
    <xf numFmtId="177" fontId="15" fillId="3" borderId="36" xfId="1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180" fontId="221" fillId="3" borderId="35" xfId="1" applyNumberFormat="1" applyFont="1" applyFill="1" applyBorder="1" applyAlignment="1">
      <alignment horizontal="right" vertical="center"/>
    </xf>
    <xf numFmtId="180" fontId="221" fillId="3" borderId="34" xfId="1" applyNumberFormat="1" applyFont="1" applyFill="1" applyBorder="1" applyAlignment="1">
      <alignment horizontal="right" vertical="center"/>
    </xf>
    <xf numFmtId="180" fontId="221" fillId="3" borderId="37" xfId="1" applyNumberFormat="1" applyFont="1" applyFill="1" applyBorder="1" applyAlignment="1">
      <alignment horizontal="right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177" fontId="15" fillId="3" borderId="26" xfId="1" applyNumberFormat="1" applyFont="1" applyFill="1" applyBorder="1" applyAlignment="1">
      <alignment horizontal="center" vertical="center"/>
    </xf>
    <xf numFmtId="177" fontId="15" fillId="3" borderId="4" xfId="1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180" fontId="221" fillId="8" borderId="2" xfId="0" applyNumberFormat="1" applyFont="1" applyFill="1" applyBorder="1" applyAlignment="1">
      <alignment horizontal="right" vertical="center"/>
    </xf>
    <xf numFmtId="180" fontId="221" fillId="8" borderId="3" xfId="0" applyNumberFormat="1" applyFont="1" applyFill="1" applyBorder="1" applyAlignment="1">
      <alignment horizontal="right" vertical="center"/>
    </xf>
    <xf numFmtId="180" fontId="221" fillId="8" borderId="27" xfId="0" applyNumberFormat="1" applyFont="1" applyFill="1" applyBorder="1" applyAlignment="1">
      <alignment horizontal="right" vertical="center"/>
    </xf>
    <xf numFmtId="177" fontId="15" fillId="3" borderId="2" xfId="1" applyNumberFormat="1" applyFont="1" applyFill="1" applyBorder="1" applyAlignment="1">
      <alignment horizontal="center" vertical="center"/>
    </xf>
    <xf numFmtId="177" fontId="15" fillId="3" borderId="27" xfId="1" applyNumberFormat="1" applyFont="1" applyFill="1" applyBorder="1" applyAlignment="1">
      <alignment horizontal="center" vertical="center"/>
    </xf>
    <xf numFmtId="177" fontId="15" fillId="4" borderId="23" xfId="1" applyNumberFormat="1" applyFont="1" applyFill="1" applyBorder="1" applyAlignment="1">
      <alignment horizontal="center" vertical="center"/>
    </xf>
    <xf numFmtId="177" fontId="15" fillId="3" borderId="3" xfId="1" applyNumberFormat="1" applyFont="1" applyFill="1" applyBorder="1" applyAlignment="1">
      <alignment horizontal="center" vertical="center"/>
    </xf>
    <xf numFmtId="177" fontId="15" fillId="3" borderId="24" xfId="1" applyNumberFormat="1" applyFont="1" applyFill="1" applyBorder="1" applyAlignment="1">
      <alignment horizontal="center" vertical="center"/>
    </xf>
    <xf numFmtId="177" fontId="15" fillId="3" borderId="9" xfId="1" applyNumberFormat="1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177" fontId="15" fillId="4" borderId="28" xfId="1" applyNumberFormat="1" applyFont="1" applyFill="1" applyBorder="1" applyAlignment="1">
      <alignment horizontal="center" vertical="center"/>
    </xf>
    <xf numFmtId="177" fontId="15" fillId="4" borderId="42" xfId="1" applyNumberFormat="1" applyFont="1" applyFill="1" applyBorder="1" applyAlignment="1">
      <alignment horizontal="center" vertical="center"/>
    </xf>
    <xf numFmtId="177" fontId="15" fillId="4" borderId="41" xfId="1" applyNumberFormat="1" applyFont="1" applyFill="1" applyBorder="1" applyAlignment="1">
      <alignment horizontal="center" vertical="center"/>
    </xf>
    <xf numFmtId="177" fontId="15" fillId="4" borderId="31" xfId="1" applyNumberFormat="1" applyFont="1" applyFill="1" applyBorder="1" applyAlignment="1">
      <alignment horizontal="center" vertical="center"/>
    </xf>
    <xf numFmtId="177" fontId="15" fillId="4" borderId="29" xfId="1" applyNumberFormat="1" applyFont="1" applyFill="1" applyBorder="1" applyAlignment="1">
      <alignment horizontal="center" vertical="center"/>
    </xf>
    <xf numFmtId="180" fontId="15" fillId="8" borderId="2" xfId="0" applyNumberFormat="1" applyFont="1" applyFill="1" applyBorder="1" applyAlignment="1">
      <alignment horizontal="right" vertical="center"/>
    </xf>
    <xf numFmtId="180" fontId="15" fillId="8" borderId="3" xfId="0" applyNumberFormat="1" applyFont="1" applyFill="1" applyBorder="1" applyAlignment="1">
      <alignment horizontal="right" vertical="center"/>
    </xf>
    <xf numFmtId="180" fontId="15" fillId="8" borderId="27" xfId="0" applyNumberFormat="1" applyFont="1" applyFill="1" applyBorder="1" applyAlignment="1">
      <alignment horizontal="right" vertical="center"/>
    </xf>
    <xf numFmtId="180" fontId="15" fillId="4" borderId="41" xfId="1" applyNumberFormat="1" applyFont="1" applyFill="1" applyBorder="1" applyAlignment="1">
      <alignment horizontal="right" vertical="center"/>
    </xf>
    <xf numFmtId="180" fontId="15" fillId="4" borderId="29" xfId="1" applyNumberFormat="1" applyFont="1" applyFill="1" applyBorder="1" applyAlignment="1">
      <alignment horizontal="right" vertical="center"/>
    </xf>
    <xf numFmtId="180" fontId="15" fillId="4" borderId="31" xfId="1" applyNumberFormat="1" applyFont="1" applyFill="1" applyBorder="1" applyAlignment="1">
      <alignment horizontal="right" vertical="center"/>
    </xf>
    <xf numFmtId="180" fontId="15" fillId="3" borderId="26" xfId="1" applyNumberFormat="1" applyFont="1" applyFill="1" applyBorder="1" applyAlignment="1">
      <alignment horizontal="right" vertical="center"/>
    </xf>
    <xf numFmtId="180" fontId="15" fillId="4" borderId="28" xfId="1" applyNumberFormat="1" applyFont="1" applyFill="1" applyBorder="1" applyAlignment="1">
      <alignment horizontal="right" vertical="center"/>
    </xf>
    <xf numFmtId="180" fontId="15" fillId="4" borderId="42" xfId="1" applyNumberFormat="1" applyFont="1" applyFill="1" applyBorder="1" applyAlignment="1">
      <alignment horizontal="right" vertical="center"/>
    </xf>
    <xf numFmtId="0" fontId="13" fillId="2" borderId="43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13" fillId="6" borderId="39" xfId="0" applyFont="1" applyFill="1" applyBorder="1" applyAlignment="1">
      <alignment horizontal="center" vertical="center"/>
    </xf>
    <xf numFmtId="0" fontId="13" fillId="6" borderId="40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181" fontId="15" fillId="3" borderId="2" xfId="0" applyNumberFormat="1" applyFont="1" applyFill="1" applyBorder="1" applyAlignment="1">
      <alignment horizontal="right" vertical="center"/>
    </xf>
    <xf numFmtId="181" fontId="15" fillId="3" borderId="3" xfId="0" applyNumberFormat="1" applyFont="1" applyFill="1" applyBorder="1" applyAlignment="1">
      <alignment horizontal="right" vertical="center"/>
    </xf>
    <xf numFmtId="181" fontId="15" fillId="3" borderId="4" xfId="0" applyNumberFormat="1" applyFont="1" applyFill="1" applyBorder="1" applyAlignment="1">
      <alignment horizontal="right" vertical="center"/>
    </xf>
    <xf numFmtId="0" fontId="15" fillId="0" borderId="5" xfId="0" applyFont="1" applyBorder="1" applyAlignment="1">
      <alignment horizontal="left" vertical="center" indent="1"/>
    </xf>
    <xf numFmtId="0" fontId="15" fillId="0" borderId="6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left" vertical="center" indent="1"/>
    </xf>
    <xf numFmtId="0" fontId="15" fillId="0" borderId="1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18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left" vertical="center" indent="1"/>
    </xf>
    <xf numFmtId="0" fontId="15" fillId="0" borderId="9" xfId="0" applyFont="1" applyBorder="1" applyAlignment="1">
      <alignment horizontal="left" vertical="center" indent="1"/>
    </xf>
    <xf numFmtId="0" fontId="15" fillId="0" borderId="10" xfId="0" applyFont="1" applyBorder="1" applyAlignment="1">
      <alignment horizontal="left" vertical="center" inden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232" fontId="13" fillId="9" borderId="5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81" fontId="15" fillId="3" borderId="26" xfId="0" applyNumberFormat="1" applyFont="1" applyFill="1" applyBorder="1" applyAlignment="1">
      <alignment horizontal="right" vertical="center"/>
    </xf>
    <xf numFmtId="181" fontId="15" fillId="3" borderId="27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181" fontId="15" fillId="4" borderId="2" xfId="0" applyNumberFormat="1" applyFont="1" applyFill="1" applyBorder="1" applyAlignment="1">
      <alignment horizontal="right" vertical="center"/>
    </xf>
    <xf numFmtId="181" fontId="15" fillId="4" borderId="3" xfId="0" applyNumberFormat="1" applyFont="1" applyFill="1" applyBorder="1" applyAlignment="1">
      <alignment horizontal="right" vertical="center"/>
    </xf>
    <xf numFmtId="181" fontId="15" fillId="4" borderId="4" xfId="0" applyNumberFormat="1" applyFont="1" applyFill="1" applyBorder="1" applyAlignment="1">
      <alignment horizontal="right" vertical="center"/>
    </xf>
    <xf numFmtId="181" fontId="15" fillId="4" borderId="26" xfId="0" applyNumberFormat="1" applyFont="1" applyFill="1" applyBorder="1" applyAlignment="1">
      <alignment horizontal="right" vertical="center"/>
    </xf>
    <xf numFmtId="181" fontId="15" fillId="4" borderId="27" xfId="0" applyNumberFormat="1" applyFont="1" applyFill="1" applyBorder="1" applyAlignment="1">
      <alignment horizontal="right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177" fontId="13" fillId="3" borderId="26" xfId="1" applyNumberFormat="1" applyFont="1" applyFill="1" applyBorder="1" applyAlignment="1">
      <alignment horizontal="center" vertical="center"/>
    </xf>
    <xf numFmtId="177" fontId="13" fillId="3" borderId="3" xfId="1" applyNumberFormat="1" applyFont="1" applyFill="1" applyBorder="1" applyAlignment="1">
      <alignment horizontal="center" vertical="center"/>
    </xf>
    <xf numFmtId="177" fontId="13" fillId="3" borderId="27" xfId="1" applyNumberFormat="1" applyFont="1" applyFill="1" applyBorder="1" applyAlignment="1">
      <alignment horizontal="center" vertical="center"/>
    </xf>
    <xf numFmtId="177" fontId="13" fillId="3" borderId="4" xfId="1" applyNumberFormat="1" applyFont="1" applyFill="1" applyBorder="1" applyAlignment="1">
      <alignment horizontal="center" vertical="center"/>
    </xf>
    <xf numFmtId="177" fontId="13" fillId="3" borderId="2" xfId="1" applyNumberFormat="1" applyFont="1" applyFill="1" applyBorder="1" applyAlignment="1">
      <alignment horizontal="center" vertical="center"/>
    </xf>
    <xf numFmtId="181" fontId="13" fillId="3" borderId="26" xfId="0" applyNumberFormat="1" applyFont="1" applyFill="1" applyBorder="1" applyAlignment="1">
      <alignment horizontal="right" vertical="center"/>
    </xf>
    <xf numFmtId="181" fontId="13" fillId="3" borderId="3" xfId="0" applyNumberFormat="1" applyFont="1" applyFill="1" applyBorder="1" applyAlignment="1">
      <alignment horizontal="right" vertical="center"/>
    </xf>
    <xf numFmtId="181" fontId="13" fillId="3" borderId="27" xfId="0" applyNumberFormat="1" applyFont="1" applyFill="1" applyBorder="1" applyAlignment="1">
      <alignment horizontal="right" vertical="center"/>
    </xf>
    <xf numFmtId="181" fontId="13" fillId="3" borderId="4" xfId="0" applyNumberFormat="1" applyFont="1" applyFill="1" applyBorder="1" applyAlignment="1">
      <alignment horizontal="right" vertical="center"/>
    </xf>
    <xf numFmtId="181" fontId="13" fillId="3" borderId="2" xfId="0" applyNumberFormat="1" applyFont="1" applyFill="1" applyBorder="1" applyAlignment="1">
      <alignment horizontal="right" vertical="center"/>
    </xf>
    <xf numFmtId="177" fontId="13" fillId="4" borderId="26" xfId="1" applyNumberFormat="1" applyFont="1" applyFill="1" applyBorder="1" applyAlignment="1">
      <alignment horizontal="center" vertical="center"/>
    </xf>
    <xf numFmtId="177" fontId="13" fillId="4" borderId="3" xfId="1" applyNumberFormat="1" applyFont="1" applyFill="1" applyBorder="1" applyAlignment="1">
      <alignment horizontal="center" vertical="center"/>
    </xf>
    <xf numFmtId="177" fontId="13" fillId="4" borderId="27" xfId="1" applyNumberFormat="1" applyFont="1" applyFill="1" applyBorder="1" applyAlignment="1">
      <alignment horizontal="center" vertical="center"/>
    </xf>
    <xf numFmtId="177" fontId="13" fillId="4" borderId="4" xfId="1" applyNumberFormat="1" applyFont="1" applyFill="1" applyBorder="1" applyAlignment="1">
      <alignment horizontal="center" vertical="center"/>
    </xf>
    <xf numFmtId="177" fontId="13" fillId="4" borderId="2" xfId="1" applyNumberFormat="1" applyFont="1" applyFill="1" applyBorder="1" applyAlignment="1">
      <alignment horizontal="center" vertical="center"/>
    </xf>
    <xf numFmtId="181" fontId="13" fillId="4" borderId="28" xfId="0" applyNumberFormat="1" applyFont="1" applyFill="1" applyBorder="1" applyAlignment="1">
      <alignment horizontal="right" vertical="center"/>
    </xf>
    <xf numFmtId="181" fontId="13" fillId="4" borderId="29" xfId="0" applyNumberFormat="1" applyFont="1" applyFill="1" applyBorder="1" applyAlignment="1">
      <alignment horizontal="right" vertical="center"/>
    </xf>
    <xf numFmtId="181" fontId="13" fillId="4" borderId="31" xfId="0" applyNumberFormat="1" applyFont="1" applyFill="1" applyBorder="1" applyAlignment="1">
      <alignment horizontal="right" vertical="center"/>
    </xf>
    <xf numFmtId="181" fontId="13" fillId="4" borderId="3" xfId="0" applyNumberFormat="1" applyFont="1" applyFill="1" applyBorder="1" applyAlignment="1">
      <alignment horizontal="right" vertical="center"/>
    </xf>
    <xf numFmtId="181" fontId="13" fillId="4" borderId="4" xfId="0" applyNumberFormat="1" applyFont="1" applyFill="1" applyBorder="1" applyAlignment="1">
      <alignment horizontal="right" vertical="center"/>
    </xf>
    <xf numFmtId="181" fontId="13" fillId="4" borderId="2" xfId="0" applyNumberFormat="1" applyFont="1" applyFill="1" applyBorder="1" applyAlignment="1">
      <alignment horizontal="right" vertical="center"/>
    </xf>
    <xf numFmtId="0" fontId="13" fillId="2" borderId="107" xfId="0" applyFont="1" applyFill="1" applyBorder="1" applyAlignment="1">
      <alignment horizontal="center" vertical="center" wrapText="1"/>
    </xf>
    <xf numFmtId="0" fontId="13" fillId="2" borderId="108" xfId="0" applyFont="1" applyFill="1" applyBorder="1" applyAlignment="1">
      <alignment horizontal="center" vertical="center"/>
    </xf>
    <xf numFmtId="0" fontId="13" fillId="2" borderId="101" xfId="0" applyFont="1" applyFill="1" applyBorder="1" applyAlignment="1">
      <alignment horizontal="center" vertical="center"/>
    </xf>
    <xf numFmtId="0" fontId="13" fillId="2" borderId="102" xfId="0" applyFont="1" applyFill="1" applyBorder="1" applyAlignment="1">
      <alignment horizontal="center" vertical="center"/>
    </xf>
    <xf numFmtId="0" fontId="13" fillId="2" borderId="110" xfId="0" applyFont="1" applyFill="1" applyBorder="1" applyAlignment="1">
      <alignment horizontal="center" vertical="center"/>
    </xf>
    <xf numFmtId="0" fontId="13" fillId="72" borderId="0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181" fontId="13" fillId="5" borderId="5" xfId="0" applyNumberFormat="1" applyFont="1" applyFill="1" applyBorder="1" applyAlignment="1">
      <alignment horizontal="center" vertical="center"/>
    </xf>
    <xf numFmtId="181" fontId="13" fillId="5" borderId="6" xfId="0" applyNumberFormat="1" applyFont="1" applyFill="1" applyBorder="1" applyAlignment="1">
      <alignment horizontal="center" vertical="center"/>
    </xf>
    <xf numFmtId="181" fontId="13" fillId="5" borderId="7" xfId="0" applyNumberFormat="1" applyFont="1" applyFill="1" applyBorder="1" applyAlignment="1">
      <alignment horizontal="center" vertical="center"/>
    </xf>
    <xf numFmtId="181" fontId="13" fillId="5" borderId="12" xfId="0" applyNumberFormat="1" applyFont="1" applyFill="1" applyBorder="1" applyAlignment="1">
      <alignment horizontal="center" vertical="center"/>
    </xf>
    <xf numFmtId="181" fontId="13" fillId="5" borderId="0" xfId="0" applyNumberFormat="1" applyFont="1" applyFill="1" applyBorder="1" applyAlignment="1">
      <alignment horizontal="center" vertical="center"/>
    </xf>
    <xf numFmtId="181" fontId="13" fillId="5" borderId="18" xfId="0" applyNumberFormat="1" applyFont="1" applyFill="1" applyBorder="1" applyAlignment="1">
      <alignment horizontal="center" vertical="center"/>
    </xf>
    <xf numFmtId="181" fontId="15" fillId="3" borderId="104" xfId="1" applyNumberFormat="1" applyFont="1" applyFill="1" applyBorder="1" applyAlignment="1">
      <alignment horizontal="right" vertical="center"/>
    </xf>
    <xf numFmtId="181" fontId="15" fillId="3" borderId="11" xfId="1" applyNumberFormat="1" applyFont="1" applyFill="1" applyBorder="1" applyAlignment="1">
      <alignment horizontal="right" vertical="center"/>
    </xf>
    <xf numFmtId="181" fontId="15" fillId="3" borderId="105" xfId="1" applyNumberFormat="1" applyFont="1" applyFill="1" applyBorder="1" applyAlignment="1">
      <alignment horizontal="right" vertical="center"/>
    </xf>
    <xf numFmtId="181" fontId="15" fillId="4" borderId="26" xfId="1" applyNumberFormat="1" applyFont="1" applyFill="1" applyBorder="1" applyAlignment="1">
      <alignment horizontal="right" vertical="center"/>
    </xf>
    <xf numFmtId="181" fontId="15" fillId="4" borderId="3" xfId="1" applyNumberFormat="1" applyFont="1" applyFill="1" applyBorder="1" applyAlignment="1">
      <alignment horizontal="right" vertical="center"/>
    </xf>
    <xf numFmtId="181" fontId="15" fillId="4" borderId="27" xfId="1" applyNumberFormat="1" applyFont="1" applyFill="1" applyBorder="1" applyAlignment="1">
      <alignment horizontal="right" vertical="center"/>
    </xf>
    <xf numFmtId="181" fontId="15" fillId="4" borderId="2" xfId="1" applyNumberFormat="1" applyFont="1" applyFill="1" applyBorder="1" applyAlignment="1">
      <alignment horizontal="right" vertical="center"/>
    </xf>
    <xf numFmtId="181" fontId="15" fillId="4" borderId="4" xfId="1" applyNumberFormat="1" applyFont="1" applyFill="1" applyBorder="1" applyAlignment="1">
      <alignment horizontal="right" vertical="center"/>
    </xf>
    <xf numFmtId="181" fontId="15" fillId="72" borderId="0" xfId="1" applyNumberFormat="1" applyFont="1" applyFill="1" applyBorder="1" applyAlignment="1">
      <alignment horizontal="right" vertical="center"/>
    </xf>
    <xf numFmtId="181" fontId="221" fillId="4" borderId="2" xfId="1" applyNumberFormat="1" applyFont="1" applyFill="1" applyBorder="1" applyAlignment="1">
      <alignment horizontal="right" vertical="center"/>
    </xf>
    <xf numFmtId="181" fontId="221" fillId="4" borderId="3" xfId="1" applyNumberFormat="1" applyFont="1" applyFill="1" applyBorder="1" applyAlignment="1">
      <alignment horizontal="right" vertical="center"/>
    </xf>
    <xf numFmtId="181" fontId="221" fillId="4" borderId="4" xfId="1" applyNumberFormat="1" applyFont="1" applyFill="1" applyBorder="1" applyAlignment="1">
      <alignment horizontal="right" vertical="center"/>
    </xf>
    <xf numFmtId="182" fontId="13" fillId="5" borderId="2" xfId="0" applyNumberFormat="1" applyFont="1" applyFill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5" borderId="4" xfId="0" applyNumberFormat="1" applyFont="1" applyFill="1" applyBorder="1" applyAlignment="1">
      <alignment horizontal="right" vertical="center"/>
    </xf>
    <xf numFmtId="182" fontId="13" fillId="72" borderId="0" xfId="0" applyNumberFormat="1" applyFont="1" applyFill="1" applyBorder="1" applyAlignment="1">
      <alignment horizontal="right" vertical="center"/>
    </xf>
    <xf numFmtId="182" fontId="13" fillId="5" borderId="112" xfId="0" applyNumberFormat="1" applyFont="1" applyFill="1" applyBorder="1" applyAlignment="1">
      <alignment horizontal="right" vertical="center"/>
    </xf>
    <xf numFmtId="182" fontId="13" fillId="5" borderId="30" xfId="0" applyNumberFormat="1" applyFont="1" applyFill="1" applyBorder="1" applyAlignment="1">
      <alignment horizontal="right" vertical="center"/>
    </xf>
    <xf numFmtId="182" fontId="13" fillId="5" borderId="113" xfId="0" applyNumberFormat="1" applyFont="1" applyFill="1" applyBorder="1" applyAlignment="1">
      <alignment horizontal="right" vertical="center"/>
    </xf>
    <xf numFmtId="182" fontId="13" fillId="5" borderId="29" xfId="0" applyNumberFormat="1" applyFont="1" applyFill="1" applyBorder="1" applyAlignment="1">
      <alignment horizontal="right" vertical="center"/>
    </xf>
    <xf numFmtId="182" fontId="13" fillId="5" borderId="31" xfId="0" applyNumberFormat="1" applyFont="1" applyFill="1" applyBorder="1" applyAlignment="1">
      <alignment horizontal="right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181" fontId="15" fillId="3" borderId="5" xfId="1" applyNumberFormat="1" applyFont="1" applyFill="1" applyBorder="1" applyAlignment="1">
      <alignment horizontal="right" vertical="center"/>
    </xf>
    <xf numFmtId="181" fontId="15" fillId="3" borderId="6" xfId="1" applyNumberFormat="1" applyFont="1" applyFill="1" applyBorder="1" applyAlignment="1">
      <alignment horizontal="right" vertical="center"/>
    </xf>
    <xf numFmtId="181" fontId="15" fillId="3" borderId="7" xfId="1" applyNumberFormat="1" applyFont="1" applyFill="1" applyBorder="1" applyAlignment="1">
      <alignment horizontal="right" vertical="center"/>
    </xf>
    <xf numFmtId="181" fontId="15" fillId="4" borderId="1" xfId="1" applyNumberFormat="1" applyFont="1" applyFill="1" applyBorder="1" applyAlignment="1">
      <alignment horizontal="right" vertical="center"/>
    </xf>
    <xf numFmtId="182" fontId="13" fillId="5" borderId="28" xfId="0" applyNumberFormat="1" applyFont="1" applyFill="1" applyBorder="1" applyAlignment="1">
      <alignment horizontal="right" vertical="center"/>
    </xf>
    <xf numFmtId="0" fontId="13" fillId="2" borderId="108" xfId="0" applyFont="1" applyFill="1" applyBorder="1" applyAlignment="1">
      <alignment horizontal="center" vertical="center" wrapText="1"/>
    </xf>
    <xf numFmtId="0" fontId="13" fillId="2" borderId="109" xfId="0" applyFont="1" applyFill="1" applyBorder="1" applyAlignment="1">
      <alignment horizontal="center" vertical="center"/>
    </xf>
    <xf numFmtId="0" fontId="13" fillId="2" borderId="103" xfId="0" applyFont="1" applyFill="1" applyBorder="1" applyAlignment="1">
      <alignment horizontal="center" vertical="center"/>
    </xf>
    <xf numFmtId="0" fontId="13" fillId="2" borderId="111" xfId="0" applyFont="1" applyFill="1" applyBorder="1" applyAlignment="1">
      <alignment horizontal="center" vertical="center"/>
    </xf>
    <xf numFmtId="0" fontId="13" fillId="2" borderId="107" xfId="0" applyFont="1" applyFill="1" applyBorder="1" applyAlignment="1">
      <alignment horizontal="center" vertical="center"/>
    </xf>
    <xf numFmtId="0" fontId="223" fillId="2" borderId="35" xfId="0" applyFont="1" applyFill="1" applyBorder="1" applyAlignment="1">
      <alignment horizontal="center" vertical="center"/>
    </xf>
    <xf numFmtId="0" fontId="223" fillId="2" borderId="34" xfId="0" applyFont="1" applyFill="1" applyBorder="1" applyAlignment="1">
      <alignment horizontal="center" vertical="center"/>
    </xf>
    <xf numFmtId="0" fontId="223" fillId="2" borderId="36" xfId="0" applyFont="1" applyFill="1" applyBorder="1" applyAlignment="1">
      <alignment horizontal="center" vertical="center"/>
    </xf>
    <xf numFmtId="0" fontId="5" fillId="9" borderId="44" xfId="10" applyFont="1" applyFill="1" applyBorder="1" applyAlignment="1">
      <alignment horizontal="center" vertical="center"/>
    </xf>
    <xf numFmtId="178" fontId="5" fillId="9" borderId="44" xfId="10" applyNumberFormat="1" applyFont="1" applyFill="1" applyBorder="1" applyAlignment="1">
      <alignment horizontal="center" vertical="center"/>
    </xf>
    <xf numFmtId="0" fontId="5" fillId="9" borderId="44" xfId="3" applyFont="1" applyFill="1" applyBorder="1" applyAlignment="1">
      <alignment horizontal="center" vertical="center"/>
    </xf>
    <xf numFmtId="178" fontId="5" fillId="9" borderId="45" xfId="10" applyNumberFormat="1" applyFont="1" applyFill="1" applyBorder="1" applyAlignment="1">
      <alignment horizontal="center" vertical="center"/>
    </xf>
    <xf numFmtId="0" fontId="13" fillId="2" borderId="119" xfId="0" applyFont="1" applyFill="1" applyBorder="1" applyAlignment="1">
      <alignment horizontal="center" vertical="center"/>
    </xf>
    <xf numFmtId="180" fontId="15" fillId="3" borderId="119" xfId="0" applyNumberFormat="1" applyFont="1" applyFill="1" applyBorder="1" applyAlignment="1">
      <alignment horizontal="right" vertical="center"/>
    </xf>
    <xf numFmtId="177" fontId="15" fillId="3" borderId="119" xfId="1" applyNumberFormat="1" applyFont="1" applyFill="1" applyBorder="1" applyAlignment="1">
      <alignment horizontal="right" vertical="center"/>
    </xf>
    <xf numFmtId="180" fontId="15" fillId="3" borderId="120" xfId="0" applyNumberFormat="1" applyFont="1" applyFill="1" applyBorder="1" applyAlignment="1">
      <alignment horizontal="right" vertical="center"/>
    </xf>
    <xf numFmtId="180" fontId="15" fillId="3" borderId="121" xfId="0" applyNumberFormat="1" applyFont="1" applyFill="1" applyBorder="1" applyAlignment="1">
      <alignment horizontal="right" vertical="center"/>
    </xf>
    <xf numFmtId="183" fontId="15" fillId="3" borderId="119" xfId="2" applyNumberFormat="1" applyFont="1" applyFill="1" applyBorder="1" applyAlignment="1">
      <alignment horizontal="center" vertical="center"/>
    </xf>
    <xf numFmtId="183" fontId="15" fillId="3" borderId="122" xfId="2" applyNumberFormat="1" applyFont="1" applyFill="1" applyBorder="1" applyAlignment="1">
      <alignment horizontal="center" vertical="center"/>
    </xf>
    <xf numFmtId="0" fontId="13" fillId="2" borderId="123" xfId="0" applyFont="1" applyFill="1" applyBorder="1" applyAlignment="1">
      <alignment horizontal="center" vertical="center"/>
    </xf>
    <xf numFmtId="0" fontId="13" fillId="2" borderId="124" xfId="0" applyFont="1" applyFill="1" applyBorder="1" applyAlignment="1">
      <alignment horizontal="center" vertical="center"/>
    </xf>
    <xf numFmtId="0" fontId="13" fillId="2" borderId="125" xfId="0" applyFont="1" applyFill="1" applyBorder="1" applyAlignment="1">
      <alignment horizontal="center" vertical="center"/>
    </xf>
    <xf numFmtId="0" fontId="13" fillId="2" borderId="126" xfId="0" applyFont="1" applyFill="1" applyBorder="1" applyAlignment="1">
      <alignment horizontal="center" vertical="center"/>
    </xf>
    <xf numFmtId="180" fontId="15" fillId="4" borderId="126" xfId="0" applyNumberFormat="1" applyFont="1" applyFill="1" applyBorder="1" applyAlignment="1">
      <alignment horizontal="right" vertical="center"/>
    </xf>
    <xf numFmtId="177" fontId="15" fillId="4" borderId="126" xfId="1" applyNumberFormat="1" applyFont="1" applyFill="1" applyBorder="1" applyAlignment="1">
      <alignment horizontal="right" vertical="center"/>
    </xf>
    <xf numFmtId="180" fontId="15" fillId="4" borderId="127" xfId="0" applyNumberFormat="1" applyFont="1" applyFill="1" applyBorder="1" applyAlignment="1">
      <alignment horizontal="right" vertical="center"/>
    </xf>
    <xf numFmtId="180" fontId="15" fillId="4" borderId="128" xfId="0" applyNumberFormat="1" applyFont="1" applyFill="1" applyBorder="1" applyAlignment="1">
      <alignment horizontal="right" vertical="center"/>
    </xf>
    <xf numFmtId="183" fontId="15" fillId="4" borderId="126" xfId="2" applyNumberFormat="1" applyFont="1" applyFill="1" applyBorder="1" applyAlignment="1">
      <alignment horizontal="center" vertical="center"/>
    </xf>
    <xf numFmtId="183" fontId="15" fillId="4" borderId="129" xfId="2" applyNumberFormat="1" applyFont="1" applyFill="1" applyBorder="1" applyAlignment="1">
      <alignment horizontal="center" vertical="center"/>
    </xf>
    <xf numFmtId="0" fontId="13" fillId="2" borderId="130" xfId="0" applyFont="1" applyFill="1" applyBorder="1" applyAlignment="1">
      <alignment horizontal="center" vertical="center"/>
    </xf>
    <xf numFmtId="0" fontId="13" fillId="2" borderId="131" xfId="0" applyFont="1" applyFill="1" applyBorder="1" applyAlignment="1">
      <alignment horizontal="center" vertical="center"/>
    </xf>
    <xf numFmtId="0" fontId="13" fillId="2" borderId="132" xfId="0" applyFont="1" applyFill="1" applyBorder="1" applyAlignment="1">
      <alignment horizontal="center" vertical="center"/>
    </xf>
    <xf numFmtId="0" fontId="13" fillId="2" borderId="133" xfId="0" applyFont="1" applyFill="1" applyBorder="1" applyAlignment="1">
      <alignment horizontal="center" vertical="center"/>
    </xf>
    <xf numFmtId="180" fontId="15" fillId="4" borderId="133" xfId="0" applyNumberFormat="1" applyFont="1" applyFill="1" applyBorder="1" applyAlignment="1">
      <alignment horizontal="right" vertical="center"/>
    </xf>
    <xf numFmtId="177" fontId="15" fillId="4" borderId="133" xfId="1" applyNumberFormat="1" applyFont="1" applyFill="1" applyBorder="1" applyAlignment="1">
      <alignment horizontal="right" vertical="center"/>
    </xf>
    <xf numFmtId="180" fontId="15" fillId="4" borderId="134" xfId="0" applyNumberFormat="1" applyFont="1" applyFill="1" applyBorder="1" applyAlignment="1">
      <alignment horizontal="right" vertical="center"/>
    </xf>
    <xf numFmtId="180" fontId="15" fillId="4" borderId="135" xfId="0" applyNumberFormat="1" applyFont="1" applyFill="1" applyBorder="1" applyAlignment="1">
      <alignment horizontal="right" vertical="center"/>
    </xf>
    <xf numFmtId="183" fontId="15" fillId="4" borderId="133" xfId="2" applyNumberFormat="1" applyFont="1" applyFill="1" applyBorder="1" applyAlignment="1">
      <alignment horizontal="center" vertical="center"/>
    </xf>
    <xf numFmtId="183" fontId="15" fillId="4" borderId="136" xfId="2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vertical="center"/>
    </xf>
  </cellXfs>
  <cellStyles count="4896">
    <cellStyle name=" FY96" xfId="2720"/>
    <cellStyle name="_x000a_386grabber=M" xfId="2721"/>
    <cellStyle name="%4_x0003_?투자계획 조정내역" xfId="2722"/>
    <cellStyle name="&amp;A" xfId="2723"/>
    <cellStyle name=")" xfId="2724"/>
    <cellStyle name="??_x000c_長_x0017__x000d_筬U_x0001_??_x0007__x0001__x0001_" xfId="32"/>
    <cellStyle name="??&amp;O?&amp;H?_x0008__x000f__x0007_?_x0007__x0001__x0001_" xfId="2725"/>
    <cellStyle name="??&amp;O?&amp;H?_x0008_??_x0007__x0001__x0001_" xfId="2726"/>
    <cellStyle name="??&amp;O?&amp;H?_x0008_??_x0007__x0001__x0001_ 2" xfId="2727"/>
    <cellStyle name="??&amp;O?&amp;H?_x0008_??_x0007__x0001__x0001_ 3" xfId="2728"/>
    <cellStyle name="???? [0.00]_PRODUCT DETAIL Q1can " xfId="2729"/>
    <cellStyle name="????_PRODUCT DETAIL Q3 (2) Q3 " xfId="2730"/>
    <cellStyle name="_   급  여  " xfId="2731"/>
    <cellStyle name="_  COSS 집계  " xfId="2732"/>
    <cellStyle name="_(9월~12월) 하반기 접대비 예산배포_프로젝트팀" xfId="2733"/>
    <cellStyle name="_(ver-0110) 2007_12월결산_BTN" xfId="2734"/>
    <cellStyle name="_(ver-0212) 월 ASP매출분석(0712월 vs. 0801월)_BTN" xfId="2735"/>
    <cellStyle name="_(ver-0324) 2008년 뱅크타운+이니텍 인원계획" xfId="2736"/>
    <cellStyle name="_(ver-0805) 2008년 통합예산" xfId="2737"/>
    <cellStyle name="_(ver-0806) 6월(누적) 예실분석(제조부서)" xfId="2738"/>
    <cellStyle name="_(ver-0806) 6월(누적) 예실분석_판관비" xfId="2739"/>
    <cellStyle name="_(ver-0807-2) 이니텍 6월누적 손익보고" xfId="2740"/>
    <cellStyle name="_(ver-0811) 06월 예실적분석_이니텍" xfId="2741"/>
    <cellStyle name="_(ver-0811) 06월(누적) 사업본부별 예실적보고" xfId="2742"/>
    <cellStyle name="_(ver-0821-1) 이니텍 7월누적 손익보고 - 솔루션COSS,IT직접비" xfId="2743"/>
    <cellStyle name="_(ver-0827-3)이니텍(주) 사업본부별 통합손익" xfId="2744"/>
    <cellStyle name="_(Ver-1214,기존재추정) 0711월_손익보고_더존DB" xfId="2745"/>
    <cellStyle name="_(ver2-0211,최종) 2008년 사업계획(세부)_뱅크타운" xfId="2746"/>
    <cellStyle name="_(ver2-0922) 08월 예실적분석_이니텍" xfId="2747"/>
    <cellStyle name="_■ 2006년사업계획(자재운영)-051013" xfId="2748"/>
    <cellStyle name="_■ 2006년사업계획(자재운영)-051020" xfId="2749"/>
    <cellStyle name="_05년10월결산보고(본사)" xfId="2750"/>
    <cellStyle name="_05년10월결산보고(본사)-20051116" xfId="2751"/>
    <cellStyle name="_05사업계획총괄-04.11.29" xfId="2752"/>
    <cellStyle name="_061126_매출원가심의(총괄표_1차)" xfId="2753"/>
    <cellStyle name="_06사업계획(전산운영)rev1 " xfId="2754"/>
    <cellStyle name="_11월결산(본사)" xfId="2755"/>
    <cellStyle name="_19 통신료(전용회선)" xfId="2756"/>
    <cellStyle name="_2003광주공장LAY-OUT" xfId="2757"/>
    <cellStyle name="_2006년 사업계획(투자)_20051114-20051114" xfId="2758"/>
    <cellStyle name="_2006년 포장자재비볼륨(사업계획)_최종_20051020" xfId="2759"/>
    <cellStyle name="_2006년도 CKD운영팀 투자계획" xfId="2760"/>
    <cellStyle name="_2006투자예산(경주A)" xfId="2761"/>
    <cellStyle name="_2006투자예산(경주A)-20051019" xfId="2762"/>
    <cellStyle name="_2008년 1월 EXCO Meeting자료" xfId="2763"/>
    <cellStyle name="_2008년 3월 EXCO첨부자료" xfId="2764"/>
    <cellStyle name="_2008년 6월 이니통홥 손익(텍스트)" xfId="2765"/>
    <cellStyle name="_2008년 통합예산 - 손익포함 final" xfId="2766"/>
    <cellStyle name="_2008년_이니텍_뱅크타운_통합통합 매출목표_20080313v01(수정)" xfId="2767"/>
    <cellStyle name="_2262 WTB2003_이채널의 워크시트" xfId="2768"/>
    <cellStyle name="_2262 WTB2003-sck의 워크시트" xfId="2769"/>
    <cellStyle name="_2월분 부품 출하(매출반영분) - CKD 운영팀 050308-20050314" xfId="2770"/>
    <cellStyle name="_2차-2006년 사업계획 추정" xfId="2771"/>
    <cellStyle name="_7-15" xfId="33"/>
    <cellStyle name="_Ⅱ-2. 매출계획(영업) (2)" xfId="2772"/>
    <cellStyle name="_BS-04.12.06" xfId="2773"/>
    <cellStyle name="_CFS_200510" xfId="2774"/>
    <cellStyle name="_CKD추진상세일정-20031217-20031218" xfId="2775"/>
    <cellStyle name="_EXCO엑셀자료(2008 01)" xfId="2776"/>
    <cellStyle name="_EXCO엑셀자료(2008 01,조대리자료)" xfId="2777"/>
    <cellStyle name="_GOF2005-092" xfId="2778"/>
    <cellStyle name="_HMMA LDC분석(030512)" xfId="2779"/>
    <cellStyle name="_IS" xfId="2780"/>
    <cellStyle name="_JCI 물류비 40FT 4차 산출(박종석,1100대분)-051011" xfId="2781"/>
    <cellStyle name="_KM부품고검토안2차_030902의장" xfId="2782"/>
    <cellStyle name="_KM부품고검토안3차_030908" xfId="2783"/>
    <cellStyle name="_KM부품고최종보고_030916" xfId="2784"/>
    <cellStyle name="_KM업무추진일정(TFT-04월4차)-04.4.23." xfId="2785"/>
    <cellStyle name="_LDC산출(NF2.4_GL_MT)Rev2(HMMA회신기준)" xfId="2786"/>
    <cellStyle name="_LDC산출(NF3.3_GLS_AT)Rev2(HMMA회신기준)" xfId="2787"/>
    <cellStyle name="_LGH_2004년재무제표_잉여금처분계산서" xfId="2788"/>
    <cellStyle name="_NF MASTER(040202기준) 040217_YWG BJ송부 대외문첨부" xfId="2789"/>
    <cellStyle name="_NF_삼립산업_서열비_분석양식" xfId="2790"/>
    <cellStyle name="_NF_삼립산업_서열비_분석양식 20040816" xfId="2791"/>
    <cellStyle name="_Sheet1" xfId="2792"/>
    <cellStyle name="_Sheet2" xfId="2793"/>
    <cellStyle name="_SI개발Project_매출원가조정" xfId="2794"/>
    <cellStyle name="_경비산출현황(JIS)_040830-20040830" xfId="2795"/>
    <cellStyle name="_경비산출현황(JIS)_수정1-20040614" xfId="2796"/>
    <cellStyle name="_경비산출현황(JIS적용)-04.06.08-20040612" xfId="2797"/>
    <cellStyle name="_경비산출현황(JIT)" xfId="2798"/>
    <cellStyle name="_경비산출현황(JIT)_040825-20040825" xfId="2799"/>
    <cellStyle name="_경비산출현황(카렌스JIS)_040825-20040825" xfId="2800"/>
    <cellStyle name="_국내03안전규제대응집행예산편성표02_07_4" xfId="2801"/>
    <cellStyle name="_국내03안전규제대응집행예산품의" xfId="2802"/>
    <cellStyle name="_금융사업본부-매출정리" xfId="2803"/>
    <cellStyle name="_기존이니텍관련매출(솔루션,유지보수,ITO)" xfId="2804"/>
    <cellStyle name="_매출계획" xfId="2805"/>
    <cellStyle name="_매출집계(2008)" xfId="2806"/>
    <cellStyle name="_매출프로젝트-개발서비스명 정리" xfId="2807"/>
    <cellStyle name="_복리후생비(기타)" xfId="2808"/>
    <cellStyle name="_부국산업 4000대 포장비 재검토-050823" xfId="2809"/>
    <cellStyle name="_부품고전후비교_030619" xfId="2810"/>
    <cellStyle name="_실행사손익분석" xfId="2811"/>
    <cellStyle name="_원광대3월수술재료" xfId="34"/>
    <cellStyle name="_원광대3월수술재료(1)" xfId="35"/>
    <cellStyle name="_원광대8월마감데이터" xfId="36"/>
    <cellStyle name="_유성기업 LDC-041215" xfId="2812"/>
    <cellStyle name="_은행별 손익보고자료" xfId="2813"/>
    <cellStyle name="_이니그룹인원계획수정" xfId="2814"/>
    <cellStyle name="_재무계획" xfId="2815"/>
    <cellStyle name="_지급수수료(기타)" xfId="2816"/>
    <cellStyle name="_첨부자료" xfId="2817"/>
    <cellStyle name="_출장비 산출내역(기획)1-20041011" xfId="2818"/>
    <cellStyle name="_크레인 작업의뢰서" xfId="2819"/>
    <cellStyle name="_퇴충명세서-20050712" xfId="2820"/>
    <cellStyle name="_투자방안 및 수익성 검토(감가비 제외041112)" xfId="2821"/>
    <cellStyle name="_투자방안 및 수익성 검토(감가비 제외041112)-20041129" xfId="2822"/>
    <cellStyle name="_투자품의서 (트럭케노피)" xfId="2823"/>
    <cellStyle name="¤@?e_TEST-1 " xfId="2824"/>
    <cellStyle name="=C:\WINDOWS\SYSTEM32\COMMAND.COM" xfId="2825"/>
    <cellStyle name="▬Ƃښb◄Ƃڪb◤Ƃںb☌Ƃۊb⤼Ƃۚb⥨Ƃ۪b⦈Ƃۺb⦨Ƃ܊b⧌Ƃܚb☰Ƃܪb♈Ƃܺb♬Ƃ݊b⚜Ƃݚb⛘Ƃݪb⧨Ƃݺb⨤Ƃފb⩔Ƃޚb⩸Ƃުb⪤Ƃ޺b ƂߊbÀƂߚbàƂߪbĄƂߺbĠƂࠊbļƂ" xfId="2826"/>
    <cellStyle name="┄Ƃيb┰Ƃٚb═Ƃ٪b╼Ƃٺb▔Ƃڊb▬Ƃښb◄Ƃڪb◤Ƃںb☌Ƃۊb⤼Ƃۚb⥨Ƃ۪b⦈Ƃۺb⦨Ƃ܊b⧌Ƃܚb☰Ƃܪb♈Ƃܺb♬Ƃ݊b⚜Ƃݚb⛘Ƃݪb⧨Ƃݺb⨤Ƃފb⩔Ƃޚb⩸Ƃުb⪤Ƃ޺b Ƃ" xfId="2827"/>
    <cellStyle name="°iA¤Aa·A2_10¿u2WA¸ºI " xfId="2828"/>
    <cellStyle name="∬Ƃ؊b≈Ƃؚb≰ƂتbⓨƂغb┄Ƃيb┰Ƃٚb═Ƃ٪b╼Ƃٺb▔Ƃڊb▬Ƃښb◄Ƃڪb◤Ƃںb☌Ƃۊb⤼Ƃۚb⥨Ƃ۪b⦈Ƃۺb⦨Ƃ܊b⧌Ƃܚb☰Ƃܪb♈Ƃܺb♬Ƃ݊b⚜Ƃݚb⛘Ƃݪb⧨Ƃݺb⨤Ƃ" xfId="2829"/>
    <cellStyle name="æØè [0.00]_PRODUCT DETAIL Q1" xfId="2830"/>
    <cellStyle name="æØè_PRODUCT DETAIL Q1" xfId="2831"/>
    <cellStyle name="ÊÝ [0.00]_PRODUCT DETAIL Q1" xfId="2832"/>
    <cellStyle name="ÊÝ_PRODUCT DETAIL Q1" xfId="2833"/>
    <cellStyle name="W?_BOOKSHIP_½ÇÀûÇöÈ² " xfId="2834"/>
    <cellStyle name="W_BOOKSHIP" xfId="2835"/>
    <cellStyle name="0" xfId="2836"/>
    <cellStyle name="0_~MF0001" xfId="2837"/>
    <cellStyle name="0_~MF0004" xfId="2838"/>
    <cellStyle name="0_~MF0562" xfId="2839"/>
    <cellStyle name="0_~MF0B5B" xfId="2840"/>
    <cellStyle name="0_~MF0F3F" xfId="2841"/>
    <cellStyle name="0_~MF1943" xfId="2842"/>
    <cellStyle name="0_~MF2839" xfId="2843"/>
    <cellStyle name="0_~MF3317" xfId="2844"/>
    <cellStyle name="0_~MF381F" xfId="2845"/>
    <cellStyle name="0_10월 근태" xfId="2846"/>
    <cellStyle name="0_10월근태" xfId="2847"/>
    <cellStyle name="0_11월 근태" xfId="2848"/>
    <cellStyle name="0_12월 근태" xfId="2849"/>
    <cellStyle name="0_1월근태" xfId="2850"/>
    <cellStyle name="0_2월근태" xfId="2851"/>
    <cellStyle name="0_3월근태" xfId="2852"/>
    <cellStyle name="0_4월근태" xfId="2853"/>
    <cellStyle name="0_5월근태" xfId="2854"/>
    <cellStyle name="0_6월근태" xfId="2855"/>
    <cellStyle name="0_6월근태1" xfId="2856"/>
    <cellStyle name="0_7월근태" xfId="2857"/>
    <cellStyle name="0_8월 근태" xfId="2858"/>
    <cellStyle name="0_8월근태" xfId="2859"/>
    <cellStyle name="0_9월 근태" xfId="2860"/>
    <cellStyle name="0_중합" xfId="2861"/>
    <cellStyle name="0_직원근태(최신)" xfId="2862"/>
    <cellStyle name="0뾍R_x0005_?뾍b_x0005_" xfId="2863"/>
    <cellStyle name="1 000 K?_RESULTS" xfId="2864"/>
    <cellStyle name="¹eºÐA²_±aA¸" xfId="2865"/>
    <cellStyle name="20% - Accent1" xfId="4889"/>
    <cellStyle name="20% - Accent2" xfId="4888"/>
    <cellStyle name="20% - Accent3" xfId="4891"/>
    <cellStyle name="20% - Accent4" xfId="4887"/>
    <cellStyle name="20% - Accent5" xfId="4886"/>
    <cellStyle name="20% - Accent6" xfId="4885"/>
    <cellStyle name="20% - 강조색1 2" xfId="37"/>
    <cellStyle name="20% - 강조색1 2 2" xfId="38"/>
    <cellStyle name="20% - 강조색1 2 3" xfId="2866"/>
    <cellStyle name="20% - 강조색1 3" xfId="39"/>
    <cellStyle name="20% - 강조색1 4" xfId="40"/>
    <cellStyle name="20% - 강조색1 5" xfId="41"/>
    <cellStyle name="20% - 강조색1 6" xfId="42"/>
    <cellStyle name="20% - 강조색2 2" xfId="43"/>
    <cellStyle name="20% - 강조색2 2 2" xfId="44"/>
    <cellStyle name="20% - 강조색2 2 3" xfId="2867"/>
    <cellStyle name="20% - 강조색2 3" xfId="45"/>
    <cellStyle name="20% - 강조색2 4" xfId="46"/>
    <cellStyle name="20% - 강조색2 5" xfId="47"/>
    <cellStyle name="20% - 강조색2 6" xfId="48"/>
    <cellStyle name="20% - 강조색3 2" xfId="49"/>
    <cellStyle name="20% - 강조색3 2 2" xfId="50"/>
    <cellStyle name="20% - 강조색3 2 3" xfId="2868"/>
    <cellStyle name="20% - 강조색3 3" xfId="51"/>
    <cellStyle name="20% - 강조색3 4" xfId="52"/>
    <cellStyle name="20% - 강조색3 5" xfId="53"/>
    <cellStyle name="20% - 강조색3 6" xfId="54"/>
    <cellStyle name="20% - 강조색4 2" xfId="55"/>
    <cellStyle name="20% - 강조색4 2 2" xfId="56"/>
    <cellStyle name="20% - 강조색4 2 3" xfId="2869"/>
    <cellStyle name="20% - 강조색4 3" xfId="57"/>
    <cellStyle name="20% - 강조색4 4" xfId="58"/>
    <cellStyle name="20% - 강조색4 5" xfId="59"/>
    <cellStyle name="20% - 강조색4 6" xfId="60"/>
    <cellStyle name="20% - 강조색5 2" xfId="61"/>
    <cellStyle name="20% - 강조색5 2 2" xfId="62"/>
    <cellStyle name="20% - 강조색5 2 3" xfId="2870"/>
    <cellStyle name="20% - 강조색5 3" xfId="63"/>
    <cellStyle name="20% - 강조색5 4" xfId="64"/>
    <cellStyle name="20% - 강조색5 5" xfId="65"/>
    <cellStyle name="20% - 강조색5 6" xfId="66"/>
    <cellStyle name="20% - 강조색6 2" xfId="67"/>
    <cellStyle name="20% - 강조색6 2 2" xfId="68"/>
    <cellStyle name="20% - 강조색6 2 3" xfId="2871"/>
    <cellStyle name="20% - 강조색6 3" xfId="69"/>
    <cellStyle name="20% - 강조색6 4" xfId="70"/>
    <cellStyle name="20% - 강조색6 5" xfId="71"/>
    <cellStyle name="20% - 강조색6 6" xfId="72"/>
    <cellStyle name="200" xfId="2872"/>
    <cellStyle name="40% - Accent1" xfId="4884"/>
    <cellStyle name="40% - Accent2" xfId="4883"/>
    <cellStyle name="40% - Accent3" xfId="4842"/>
    <cellStyle name="40% - Accent4" xfId="4843"/>
    <cellStyle name="40% - Accent5" xfId="4844"/>
    <cellStyle name="40% - Accent6" xfId="4845"/>
    <cellStyle name="40% - 강조색1 2" xfId="73"/>
    <cellStyle name="40% - 강조색1 2 2" xfId="74"/>
    <cellStyle name="40% - 강조색1 2 3" xfId="2873"/>
    <cellStyle name="40% - 강조색1 3" xfId="75"/>
    <cellStyle name="40% - 강조색1 4" xfId="76"/>
    <cellStyle name="40% - 강조색1 5" xfId="77"/>
    <cellStyle name="40% - 강조색1 6" xfId="78"/>
    <cellStyle name="40% - 강조색2 2" xfId="79"/>
    <cellStyle name="40% - 강조색2 2 2" xfId="80"/>
    <cellStyle name="40% - 강조색2 2 3" xfId="2874"/>
    <cellStyle name="40% - 강조색2 3" xfId="81"/>
    <cellStyle name="40% - 강조색2 4" xfId="82"/>
    <cellStyle name="40% - 강조색2 5" xfId="83"/>
    <cellStyle name="40% - 강조색2 6" xfId="84"/>
    <cellStyle name="40% - 강조색3 2" xfId="85"/>
    <cellStyle name="40% - 강조색3 2 2" xfId="86"/>
    <cellStyle name="40% - 강조색3 2 3" xfId="2875"/>
    <cellStyle name="40% - 강조색3 3" xfId="87"/>
    <cellStyle name="40% - 강조색3 4" xfId="88"/>
    <cellStyle name="40% - 강조색3 5" xfId="89"/>
    <cellStyle name="40% - 강조색3 6" xfId="90"/>
    <cellStyle name="40% - 강조색4 2" xfId="91"/>
    <cellStyle name="40% - 강조색4 2 2" xfId="92"/>
    <cellStyle name="40% - 강조색4 2 3" xfId="2876"/>
    <cellStyle name="40% - 강조색4 3" xfId="93"/>
    <cellStyle name="40% - 강조색4 4" xfId="94"/>
    <cellStyle name="40% - 강조색4 5" xfId="95"/>
    <cellStyle name="40% - 강조색4 6" xfId="96"/>
    <cellStyle name="40% - 강조색5 2" xfId="97"/>
    <cellStyle name="40% - 강조색5 2 2" xfId="98"/>
    <cellStyle name="40% - 강조색5 2 3" xfId="2877"/>
    <cellStyle name="40% - 강조색5 3" xfId="99"/>
    <cellStyle name="40% - 강조색5 4" xfId="100"/>
    <cellStyle name="40% - 강조색5 5" xfId="101"/>
    <cellStyle name="40% - 강조색5 6" xfId="102"/>
    <cellStyle name="40% - 강조색6 2" xfId="103"/>
    <cellStyle name="40% - 강조색6 2 2" xfId="104"/>
    <cellStyle name="40% - 강조색6 2 3" xfId="2878"/>
    <cellStyle name="40% - 강조색6 3" xfId="105"/>
    <cellStyle name="40% - 강조색6 4" xfId="106"/>
    <cellStyle name="40% - 강조색6 5" xfId="107"/>
    <cellStyle name="40% - 강조색6 6" xfId="108"/>
    <cellStyle name="60% - Accent1" xfId="4880"/>
    <cellStyle name="60% - Accent2" xfId="4846"/>
    <cellStyle name="60% - Accent3" xfId="4847"/>
    <cellStyle name="60% - Accent4" xfId="4879"/>
    <cellStyle name="60% - Accent5" xfId="4848"/>
    <cellStyle name="60% - Accent6" xfId="4849"/>
    <cellStyle name="60% - 강조색1 2" xfId="109"/>
    <cellStyle name="60% - 강조색1 2 2" xfId="110"/>
    <cellStyle name="60% - 강조색1 2 3" xfId="2879"/>
    <cellStyle name="60% - 강조색1 3" xfId="111"/>
    <cellStyle name="60% - 강조색1 4" xfId="112"/>
    <cellStyle name="60% - 강조색1 5" xfId="113"/>
    <cellStyle name="60% - 강조색1 6" xfId="114"/>
    <cellStyle name="60% - 강조색2 2" xfId="115"/>
    <cellStyle name="60% - 강조색2 2 2" xfId="116"/>
    <cellStyle name="60% - 강조색2 2 3" xfId="2880"/>
    <cellStyle name="60% - 강조색2 3" xfId="117"/>
    <cellStyle name="60% - 강조색2 4" xfId="118"/>
    <cellStyle name="60% - 강조색2 5" xfId="119"/>
    <cellStyle name="60% - 강조색2 6" xfId="120"/>
    <cellStyle name="60% - 강조색3 2" xfId="121"/>
    <cellStyle name="60% - 강조색3 2 2" xfId="122"/>
    <cellStyle name="60% - 강조색3 2 3" xfId="2881"/>
    <cellStyle name="60% - 강조색3 3" xfId="123"/>
    <cellStyle name="60% - 강조색3 4" xfId="124"/>
    <cellStyle name="60% - 강조색3 5" xfId="125"/>
    <cellStyle name="60% - 강조색3 6" xfId="126"/>
    <cellStyle name="60% - 강조색4 2" xfId="127"/>
    <cellStyle name="60% - 강조색4 2 2" xfId="128"/>
    <cellStyle name="60% - 강조색4 2 3" xfId="2882"/>
    <cellStyle name="60% - 강조색4 3" xfId="129"/>
    <cellStyle name="60% - 강조색4 4" xfId="130"/>
    <cellStyle name="60% - 강조색4 5" xfId="131"/>
    <cellStyle name="60% - 강조색4 6" xfId="132"/>
    <cellStyle name="60% - 강조색5 2" xfId="133"/>
    <cellStyle name="60% - 강조색5 2 2" xfId="134"/>
    <cellStyle name="60% - 강조색5 2 3" xfId="2883"/>
    <cellStyle name="60% - 강조색5 3" xfId="135"/>
    <cellStyle name="60% - 강조색5 4" xfId="136"/>
    <cellStyle name="60% - 강조색5 5" xfId="137"/>
    <cellStyle name="60% - 강조색5 6" xfId="138"/>
    <cellStyle name="60% - 강조색6 2" xfId="139"/>
    <cellStyle name="60% - 강조색6 2 2" xfId="140"/>
    <cellStyle name="60% - 강조색6 2 3" xfId="2884"/>
    <cellStyle name="60% - 강조색6 3" xfId="141"/>
    <cellStyle name="60% - 강조색6 4" xfId="142"/>
    <cellStyle name="60% - 강조색6 5" xfId="143"/>
    <cellStyle name="60% - 강조색6 6" xfId="144"/>
    <cellStyle name="7" xfId="2885"/>
    <cellStyle name="7_(사업계획수정) 월별매출조정_발생기준" xfId="2886"/>
    <cellStyle name="7_NCsoft정산표_2002 v.9.0" xfId="2887"/>
    <cellStyle name="7_NCsoft정산표_2002 v.9.0_(사업계획수정) 월별매출조정_발생기준" xfId="2888"/>
    <cellStyle name="7_NCsoft정산표_2002 v.9.0_2003_NCsoft정산표(0201)V3.0" xfId="2889"/>
    <cellStyle name="7_NCsoft정산표_2002 v.9.0_2003_NCsoft정산표(0201)V3.0_(사업계획수정) 월별매출조정_발생기준" xfId="2890"/>
    <cellStyle name="7_NCsoft정산표_2002 v.9.0_2003_NCsoft정산표(0201)V3.0_최종_2007년사업계획(추가비용반영분)2007.04.11" xfId="2891"/>
    <cellStyle name="7_NCsoft정산표_2002 v.9.0_최종_2007년사업계획(추가비용반영분)2007.04.11" xfId="2892"/>
    <cellStyle name="7_최종_2007년사업계획(추가비용반영분)2007.04.11" xfId="2893"/>
    <cellStyle name="95262" xfId="2894"/>
    <cellStyle name="A????E???EO_96?쬾??R?쬸OBD " xfId="2895"/>
    <cellStyle name="Ä?¸¶ [0]_¸í¿¹È¸Àå°ËÅä " xfId="2896"/>
    <cellStyle name="Ä?¸¶_¸í¿¹È¸Àå°ËÅä " xfId="2897"/>
    <cellStyle name="A?R??R쭵?RE?R??REO [0]_?ER??R?쬕?ERAi?ERicAc?ER??Ri " xfId="2898"/>
    <cellStyle name="A?R??R쭵?RE?R??REO_?ER??R?쬕?ERAi?ERicAc?ER??Ri " xfId="2899"/>
    <cellStyle name="A?마 [0]_96???OBD " xfId="2900"/>
    <cellStyle name="A?마_96???OBD " xfId="2901"/>
    <cellStyle name="A¡§¡ⓒ¡E¡þ¡EO [0]_¡§¡þ¡§¡EAO" xfId="2902"/>
    <cellStyle name="A¡§¡ⓒ¡E¡þ¡EO_¡§¡þ¡§¡EAO" xfId="2903"/>
    <cellStyle name="A¨­???? [0]_2000¨?OER " xfId="2904"/>
    <cellStyle name="A¨­????_2000¨?OER " xfId="2905"/>
    <cellStyle name="A¨­￠￢￠O [0]_¡¾ⓒøA¡ÆAIA￠´ " xfId="2906"/>
    <cellStyle name="A¨­¢¬¢Ò [0]_2000¨ùOER " xfId="2907"/>
    <cellStyle name="A¨­￠￢￠O [0]_M107CDT " xfId="2908"/>
    <cellStyle name="A¨­¢¬¢Ò [0]_M107CDT " xfId="2909"/>
    <cellStyle name="A¨­￠￢￠O_¡¾ⓒøA¡ÆAIA￠´ " xfId="2910"/>
    <cellStyle name="A¨­¢¬¢Ò_2000¨ùOER " xfId="2911"/>
    <cellStyle name="A¨­￠￢￠O_M107CDT " xfId="2912"/>
    <cellStyle name="A¨­¢¬¢Ò_M107CDT " xfId="2913"/>
    <cellStyle name="A￠R¡×￠R¨I￠RE￠Rⓒ­￠REO [0]_¡ER¡§￠R¡§I¡ERAi¡ERicAc¡ER¡§￠Ri " xfId="2914"/>
    <cellStyle name="A￠R¡×￠R¨I￠RE￠Rⓒ­￠REO_¡ER¡§￠R¡§I¡ERAi¡ERicAc¡ER¡§￠Ri " xfId="2915"/>
    <cellStyle name="Accent1" xfId="4850"/>
    <cellStyle name="Accent2" xfId="4851"/>
    <cellStyle name="Accent3" xfId="4882"/>
    <cellStyle name="Accent4" xfId="4852"/>
    <cellStyle name="Accent5" xfId="4853"/>
    <cellStyle name="Accent6" xfId="4854"/>
    <cellStyle name="Actual Date" xfId="2916"/>
    <cellStyle name="AeE­ [0]_¡U¾EU￢ A¾COºn±³ " xfId="2917"/>
    <cellStyle name="ÅëÈ­ [0]_¡Ú¾ÈÜ¬ Á¾ÇÕºñ±³ " xfId="2918"/>
    <cellStyle name="AeE­ [0]_´eA÷´eA¶" xfId="2919"/>
    <cellStyle name="ÅëÈ­ [0]_±³À°ÀÏÁ¤ " xfId="2920"/>
    <cellStyle name="AeE­ [0]_±³A°AIA¤ _베네주엘라비정규" xfId="2921"/>
    <cellStyle name="ÅëÈ­ [0]_±â¾È " xfId="2922"/>
    <cellStyle name="AeE­ [0]_≫c±aÆC¸A¹æAo" xfId="2923"/>
    <cellStyle name="ÅëÈ­ [0]_°í°´½Å¿ëÆò°¡" xfId="2924"/>
    <cellStyle name="AeE­ [0]_°u¸RC×¸n_¾÷A¾º° " xfId="2925"/>
    <cellStyle name="ÅëÈ­ [0]_¼­½ÄÃ¼01_ÅõÀÔ°èÈ¹ " xfId="2926"/>
    <cellStyle name="AeE­ [0]_¼­½AAI¶÷_AoAO°eE¹ " xfId="2927"/>
    <cellStyle name="ÅëÈ­ [0]_¼­½ÄÀÏ¶÷_ÅõÀÔ°èÈ¹ " xfId="2928"/>
    <cellStyle name="AeE­ [0]_¼o¼o·a¿a¾aC￥" xfId="2929"/>
    <cellStyle name="ÅëÈ­ [0]_¼ö¼ö·á¿ä¾àÇ¥" xfId="2930"/>
    <cellStyle name="AeE­ [0]_¼oAI¼º " xfId="145"/>
    <cellStyle name="ÅëÈ­ [0]_½Ä´çÀÌÀü°èÈ¹" xfId="2931"/>
    <cellStyle name="AeE­ [0]_½A¿eμi±ÞC￥" xfId="2932"/>
    <cellStyle name="ÅëÈ­ [0]_1.ÆÇ¸Å½ÇÀû " xfId="2933"/>
    <cellStyle name="AeE­ [0]_1.ÆC¸A½CAu _~0014723" xfId="2934"/>
    <cellStyle name="ÅëÈ­ [0]_1.SUMMARY " xfId="2935"/>
    <cellStyle name="AeE­ [0]_1.SUMMARY _~0014723" xfId="2936"/>
    <cellStyle name="ÅëÈ­ [0]_1.SUMMARY _2월분 부품 출하(매출반영분) - CKD 운영팀 050308-20050314" xfId="2937"/>
    <cellStyle name="AeE­ [0]_¹æ¾E2" xfId="2938"/>
    <cellStyle name="ÅëÈ­ [0]_¹æ¾È2" xfId="2939"/>
    <cellStyle name="AeE­ [0]_¹yAIº°AoAU°eE¹" xfId="2940"/>
    <cellStyle name="ÅëÈ­ [0]_2.CONCEPT " xfId="2941"/>
    <cellStyle name="AeE­ [0]_2.CONCEPT _~0014723" xfId="2942"/>
    <cellStyle name="ÅëÈ­ [0]_2.CONCEPT _2월분 부품 출하(매출반영분) - CKD 운영팀 050308-20050314" xfId="2943"/>
    <cellStyle name="AeE­ [0]_2000³a GRACE KDQR" xfId="2944"/>
    <cellStyle name="ÅëÈ­ [0]_3.MSCHEDULE¿µ¹® " xfId="2945"/>
    <cellStyle name="AeE­ [0]_3.MSCHEDULE¿μ¹R " xfId="2946"/>
    <cellStyle name="ÅëÈ­ [0]_3PJTR°èÈ¹ " xfId="2947"/>
    <cellStyle name="AeE­ [0]_4 " xfId="2948"/>
    <cellStyle name="ÅëÈ­ [0]_4 " xfId="2949"/>
    <cellStyle name="AeE­ [0]_4 _~0014723" xfId="2950"/>
    <cellStyle name="ÅëÈ­ [0]_4 _2월분 부품 출하(매출반영분) - CKD 운영팀 050308-20050314" xfId="2951"/>
    <cellStyle name="AeE­ [0]_5-3-3-1-1.≫y≫e±¸A¶ºÐ¼R-MAT'L¡­ " xfId="2952"/>
    <cellStyle name="ÅëÈ­ [0]_6-3°æÀï·Â " xfId="2953"/>
    <cellStyle name="AeE­ [0]_7.MASTER SCHEDULE " xfId="2954"/>
    <cellStyle name="ÅëÈ­ [0]_7.MASTER SCHEDULE " xfId="2955"/>
    <cellStyle name="AeE­ [0]_7.MASTER SCHEDULE _~0014723" xfId="2956"/>
    <cellStyle name="ÅëÈ­ [0]_7.MASTER SCHEDULE _2월분 부품 출하(매출반영분) - CKD 운영팀 050308-20050314" xfId="2957"/>
    <cellStyle name="AeE­ [0]_96¾Æ½OBD " xfId="2958"/>
    <cellStyle name="ÅëÈ­ [0]_Ã¤±Ç¼­·ù" xfId="2959"/>
    <cellStyle name="AeE­ [0]_A·ºI1" xfId="2960"/>
    <cellStyle name="ÅëÈ­ [0]_ÀÎ¿ø°èÈ¹ " xfId="2961"/>
    <cellStyle name="AeE­ [0]_AI¿ø°eE¹ _1¿￢±¸¼O (°￠ÆAº°) " xfId="2962"/>
    <cellStyle name="ÅëÈ­ [0]_ÀÎ¿ø°èÈ¹ _1¿¬±¸¼Ò (°¢ÆÀº°) " xfId="2963"/>
    <cellStyle name="AeE­ [0]_AI¿ø°eE¹ _1¿￢±¸¼O (°￠ÆAº°) _베네주엘라비정규" xfId="2964"/>
    <cellStyle name="ÅëÈ­ [0]_ÀÎ¿ø°èÈ¹ _2월분 부품 출하(매출반영분) - CKD 운영팀 050308-20050314" xfId="2965"/>
    <cellStyle name="AeE­ [0]_AI¿ø°eE¹ _C￥Ao _베네주엘라비정규" xfId="2966"/>
    <cellStyle name="ÅëÈ­ [0]_ÀÎ¿ø¹× Á¶Á÷(96.5.2.) " xfId="2967"/>
    <cellStyle name="AeE­ [0]_AN°yº¸°i-Aß°¡Ay°¨ " xfId="2968"/>
    <cellStyle name="ÅëÈ­ [0]_ÃÖÁ¾ÀÏÁ¤ " xfId="2969"/>
    <cellStyle name="AeE­ [0]_AOA¾AIA¤ _~0014723" xfId="2970"/>
    <cellStyle name="ÅëÈ­ [0]_Ç° " xfId="2971"/>
    <cellStyle name="AeE­ [0]_CN°eAIAI96³a" xfId="2972"/>
    <cellStyle name="ÅëÈ­ [0]_EF PAD " xfId="2973"/>
    <cellStyle name="AeE­ [0]_F006-1A÷ " xfId="2974"/>
    <cellStyle name="ÅëÈ­ [0]_FLOW_CELSIOR " xfId="2975"/>
    <cellStyle name="AeE­ [0]_INQUIRY ¿μ¾÷AßAø " xfId="2976"/>
    <cellStyle name="ÅëÈ­ [0]_laroux" xfId="2977"/>
    <cellStyle name="AeE­ [0]_LZ BODY ¹RA|A¡" xfId="2978"/>
    <cellStyle name="ÅëÈ­ [0]_MKN-M1.1 " xfId="2979"/>
    <cellStyle name="AeE­ [0]_º?°æ³≫¿ª" xfId="2980"/>
    <cellStyle name="ÅëÈ­ [0]_º¸°í¾ç½Ä" xfId="2981"/>
    <cellStyle name="AeE­ [0]_º≫≫c½AAøAI¹Y" xfId="2982"/>
    <cellStyle name="ÅëÈ­ [0]_ºÐ·ù±â01_ÅõÀÔ°èÈ¹ " xfId="2983"/>
    <cellStyle name="AeE­ [0]_ºÐ·u±a02_AoAO°eE¹ " xfId="2984"/>
    <cellStyle name="ÅëÈ­ [0]_ºÐ·ù±â02_ÅõÀÔ°èÈ¹ " xfId="2985"/>
    <cellStyle name="AeE­ [0]_ºÐ·u±a03_AoAO°eE¹ " xfId="2986"/>
    <cellStyle name="ÅëÈ­ [0]_ºÐ·ù±â03_ÅõÀÔ°èÈ¹ " xfId="2987"/>
    <cellStyle name="AeE­ [0]_ºÐ·u±aAØ_AoAO°eE¹ " xfId="2988"/>
    <cellStyle name="ÅëÈ­ [0]_ºÐ·ù±âÁØ_ÅõÀÔ°èÈ¹ " xfId="2989"/>
    <cellStyle name="AeE­ [0]_ºÐ·u±aE￡_AoAO°eE¹ " xfId="2990"/>
    <cellStyle name="ÅëÈ­ [0]_ºÐ·ù±âÈ£_ÅõÀÔ°èÈ¹ " xfId="2991"/>
    <cellStyle name="AeE­ [0]_ºn¿e¿¹≫e" xfId="2992"/>
    <cellStyle name="ÅëÈ­ [0]_SAMPLE " xfId="2993"/>
    <cellStyle name="AeE­ [0]_SAMPLE _~0014723" xfId="2994"/>
    <cellStyle name="ÅëÈ­ [0]_SAMPLE _2월분 부품 출하(매출반영분) - CKD 운영팀 050308-20050314" xfId="2995"/>
    <cellStyle name="AeE­ [0]_Sheet1" xfId="2996"/>
    <cellStyle name="ÅëÈ­ [0]_Sheet1" xfId="2997"/>
    <cellStyle name="AeE­ [0]_Sheet1 (2)_1.SUMMARY _~0014723" xfId="2998"/>
    <cellStyle name="ÅëÈ­ [0]_Sheet1_±¸¸Å¿äÃ» PRESSX)P)TS)2)be " xfId="2999"/>
    <cellStyle name="AeE­ [0]_Sheet1_1.SUMMARY " xfId="3000"/>
    <cellStyle name="ÅëÈ­ [0]_Sheet1_1.SUMMARY " xfId="3001"/>
    <cellStyle name="AeE­ [0]_Sheet1_1.SUMMARY _2월분 부품 출하(매출반영분) - CKD 운영팀 050308-20050314" xfId="3002"/>
    <cellStyle name="ÅëÈ­ [0]_Sheet1_1.SUMMARY _2월분 부품 출하(매출반영분) - CKD 운영팀 050308-20050314" xfId="3003"/>
    <cellStyle name="AeE­ [0]_Sheet1_3.MSCHEDULE¿μ¹R " xfId="3004"/>
    <cellStyle name="ÅëÈ­ [0]_Sheet1_ÃÖÁ¾ÀÏÁ¤ " xfId="3005"/>
    <cellStyle name="AeE­ [0]_Sheet1_XD AOA¾AIA¤ " xfId="3006"/>
    <cellStyle name="ÅëÈ­ [0]_Sheet1_XD ÃÖÁ¾ÀÏÁ¤ " xfId="3007"/>
    <cellStyle name="AeE­ [0]_SMG-CKD-d1.1 " xfId="3008"/>
    <cellStyle name="ÅëÈ­ [0]_SMG-CKD-d1.1 " xfId="3009"/>
    <cellStyle name="AeE­ [0]_SMG-CKD-d1.1 _2월분 부품 출하(매출반영분) - CKD 운영팀 050308-20050314" xfId="3010"/>
    <cellStyle name="ÅëÈ­ [0]_SMG-CKD-d1.1 _2월분 부품 출하(매출반영분) - CKD 운영팀 050308-20050314" xfId="3011"/>
    <cellStyle name="AeE­ [0]_XD±aAØ " xfId="3012"/>
    <cellStyle name="AeE?[0]_´eA÷´eA¶C?(HYPA)?s####" xfId="3013"/>
    <cellStyle name="AeE?´eA÷´eA¶C?(HYPA))PA) (" xfId="3014"/>
    <cellStyle name="AeE?´U°¡´eA " xfId="3015"/>
    <cellStyle name="AeE?¸¸±aµµ·¡C?(HYPA)" xfId="3016"/>
    <cellStyle name="AeE?¸nA÷µµ·" xfId="3017"/>
    <cellStyle name="AeE?±Y¾×µµ·¡" xfId="3018"/>
    <cellStyle name="AeE?»o¹Y±a(HYPA) (2))PA)" xfId="3019"/>
    <cellStyle name="AeE?»o¹Y±a(HYPA) (2)_»o¹Y±a(HYPA) (2)_¼OAI1¿u (ÆC¸A) (3)_x0016_" xfId="3020"/>
    <cellStyle name="AeE?»y»e½CAuYPA)" xfId="3021"/>
    <cellStyle name="AeE?°¡µ¿A²AuYPA)" xfId="3022"/>
    <cellStyle name="AeE?°æºn7¿uÐ¸R))" xfId="3023"/>
    <cellStyle name="AeE?°æºnA?¤¸R)) (" xfId="3024"/>
    <cellStyle name="AeE?°ø¹R (3)YPA)" xfId="3025"/>
    <cellStyle name="AeE?°ø¹R (ºÐ¸R)) (2)_P" xfId="3026"/>
    <cellStyle name="AeE?°ø¹R ²AuY" xfId="3027"/>
    <cellStyle name="AeE?01.06 " xfId="3028"/>
    <cellStyle name="AeE?04.01 " xfId="3029"/>
    <cellStyle name="AeE?05.01 " xfId="3030"/>
    <cellStyle name="AeE?05.30 " xfId="3031"/>
    <cellStyle name="AeE?06.27 " xfId="3032"/>
    <cellStyle name="AeE?¼OAI(»y»e1-3)(2)_" xfId="3033"/>
    <cellStyle name="AeE?¼OAI(ÆC¸A1-3) 2)_P" xfId="3034"/>
    <cellStyle name="AeE?¼OAI(FEB»y»e) 2)_" xfId="3035"/>
    <cellStyle name="AeE?¼OAI(FEBÆC¸A) 2)_P" xfId="3036"/>
    <cellStyle name="AeE?¼OAI(MAR»y»e) 2)_" xfId="3037"/>
    <cellStyle name="AeE?¼OAI(MARÆC¸A) 2)_" xfId="3038"/>
    <cellStyle name="AeE?¼OAI1¿u (2)A) " xfId="3039"/>
    <cellStyle name="AeE?¼OAI1¿u (ÆC¸A)2)_PR" xfId="3040"/>
    <cellStyle name="AeE?¼OAI1¿uRÆC" xfId="3041"/>
    <cellStyle name="AeE?¼OAIA?¤»cC " xfId="3042"/>
    <cellStyle name="AeE?¼OAIA?I.95¸A)" xfId="3043"/>
    <cellStyle name="AeE?¼OAIA?I.9972)2)" xfId="3044"/>
    <cellStyle name="AeE?¼OAIAO¿a»cC?)2)_" xfId="3045"/>
    <cellStyle name="AeE?¼OAIJAN(»y»e?°æAu)OD.SEPT" xfId="3046"/>
    <cellStyle name="AeE?¼OAIJAN(»y»e?°æEA) D.SEPTI" xfId="3047"/>
    <cellStyle name="AeE?¼OAIJAN(ÆC¸A)?°æE" xfId="3048"/>
    <cellStyle name="AeE?1¿u_1AN" xfId="3049"/>
    <cellStyle name="AeE?1¿uIJ" xfId="3050"/>
    <cellStyle name="AeE?10¿u1A" xfId="3051"/>
    <cellStyle name="AeE?11.41" xfId="3052"/>
    <cellStyle name="AeE?11¿u1A" xfId="3053"/>
    <cellStyle name="AeE?12¿u1A" xfId="3054"/>
    <cellStyle name="AeE?2.3u" xfId="3055"/>
    <cellStyle name="AeE?2¿u_1AN" xfId="3056"/>
    <cellStyle name="AeE?2¿uu1" xfId="3057"/>
    <cellStyle name="AeE?3.3_" xfId="3058"/>
    <cellStyle name="AeE?3¿u 1A" xfId="3059"/>
    <cellStyle name="AeE?³a?A?¤ÆC¸A)?" xfId="3060"/>
    <cellStyle name="AeE?4¿u  ?" xfId="3061"/>
    <cellStyle name="AeE?5¿u  ?" xfId="3062"/>
    <cellStyle name="AeE?9¿u  " xfId="3063"/>
    <cellStyle name="AeE?95³aAc°iÆC¸A)?°æE" xfId="3064"/>
    <cellStyle name="AeE?96 Factory Overhead " xfId="3065"/>
    <cellStyle name="AeE?96(ÆC°uºn) (2)rhea" xfId="3066"/>
    <cellStyle name="AeE?96(ÆC°uºn) (3)rhea" xfId="3067"/>
    <cellStyle name="AeE?96???OBD " xfId="3068"/>
    <cellStyle name="AeE?96³a¹IÆC¸A¼OAI»o¼¼d D.SEPTI" xfId="3069"/>
    <cellStyle name="AeE?97 " xfId="3070"/>
    <cellStyle name="AeE?97PORTIONA" xfId="3071"/>
    <cellStyle name="AeE?Ac°i?°¡°¨¼OAI»o " xfId="3072"/>
    <cellStyle name="AeE?Ac°iº¸A?¹RA|AI»o " xfId="3073"/>
    <cellStyle name="AeE?ALLOCATIONA" xfId="3074"/>
    <cellStyle name="AeE?Ao±ÞAIAU¹eºI±aA?(4¿u)SEPTINGA" xfId="3075"/>
    <cellStyle name="AeE?Ao±ÞAIAU¹eºI±aA?(5¿u)SEPTINGA" xfId="3076"/>
    <cellStyle name="AeE?Ao±ÞAIAUONA" xfId="3077"/>
    <cellStyle name="AeE?AoAUA" xfId="3078"/>
    <cellStyle name="AeE?AprilI" xfId="3079"/>
    <cellStyle name="AeE?APRU" xfId="3080"/>
    <cellStyle name="AeE?AS400 A" xfId="3081"/>
    <cellStyle name="AeE?AU±Y¼oAo (2)±aA" xfId="3082"/>
    <cellStyle name="AeE?AU¾÷AI¼o (2)" xfId="3083"/>
    <cellStyle name="AeE?Book2I" xfId="3084"/>
    <cellStyle name="AeE?BOXk" xfId="3085"/>
    <cellStyle name="AeE?C?Ao (2) (" xfId="3086"/>
    <cellStyle name="AeE?CI¹Y±a(HYPA) (3) (5" xfId="3087"/>
    <cellStyle name="AeE?CI¹Y±a2) " xfId="3088"/>
    <cellStyle name="AeE?CIAU¿øAIYPA" xfId="3089"/>
    <cellStyle name="AeE?CIAU±Y¾×A??(3) (" xfId="3090"/>
    <cellStyle name="AeE?CoE?(2)A " xfId="3091"/>
    <cellStyle name="AeE?CoE²±Y" xfId="3092"/>
    <cellStyle name="AeE?COGS " xfId="3093"/>
    <cellStyle name="AeE?CONSOL(CLOSING))" xfId="3094"/>
    <cellStyle name="AeE?cover (2)O" xfId="3095"/>
    <cellStyle name="AeE?cover_¸¸±aµµ·¡)) (5¿u)" xfId="3096"/>
    <cellStyle name="AeE?COVERL" xfId="3097"/>
    <cellStyle name="AeE?DOMe" xfId="3098"/>
    <cellStyle name="AeE?ER?쬕 [0]_?ER??R?쬕?ERAi?ERicAc?ER??Ri " xfId="3099"/>
    <cellStyle name="AeE?ER?쬕_?ER??R?쬕?ERAi?ERicAc?ER??Ri " xfId="3100"/>
    <cellStyle name="AeE?FAC.OVERHEAD(" xfId="3101"/>
    <cellStyle name="AeE?Factory O.H.(°a»eeA)u)S" xfId="3102"/>
    <cellStyle name="AeE?Factory O.H.(allo)(DEC)E" xfId="3103"/>
    <cellStyle name="AeE?Factory O.H.Vr.Fix.AnalysisN" xfId="3104"/>
    <cellStyle name="AeE?FACTORY OH. &amp; MISC. INC.EXPN" xfId="3105"/>
    <cellStyle name="AeE?FACTORY OH.&amp; MISC.EXP.(JAN)N" xfId="3106"/>
    <cellStyle name="AeE?FACTORY OVERHEAD &amp; MISC INC.EXP_¸¸±aµµ·¡EPTINGA)" xfId="3107"/>
    <cellStyle name="AeE?FACTORY OVERHEAD &amp; MISC INC.EXP2" xfId="3108"/>
    <cellStyle name="AeE?FACTORY OVERHEAD FOR DEC.N" xfId="3109"/>
    <cellStyle name="AeE?FACTORY OVERHEAD FOR NOV." xfId="3110"/>
    <cellStyle name="AeE?FACTORY OVERHEAD(june)_¸¸±aµµ·¡_cover (" xfId="3111"/>
    <cellStyle name="AeE?FACTORY OVERHEAD(june)O" xfId="3112"/>
    <cellStyle name="AeE?FACTORY OVERHEAD.EXPe" xfId="3113"/>
    <cellStyle name="AeE?FACTORY OVERHEADC" xfId="3114"/>
    <cellStyle name="AeE?FebruaryO" xfId="3115"/>
    <cellStyle name="AeE?FEBT" xfId="3116"/>
    <cellStyle name="AeE?GEN(1-5)O" xfId="3117"/>
    <cellStyle name="AeE?Gen.Exp.Analysis(DEC))" xfId="3118"/>
    <cellStyle name="AeE?GEN12  ." xfId="3119"/>
    <cellStyle name="AeE?GEN12  _1n" xfId="3120"/>
    <cellStyle name="AeE?GEN4  " xfId="3121"/>
    <cellStyle name="AeE?GEN4 _¸¸±aµµ·¡is(DEC))" xfId="3122"/>
    <cellStyle name="AeE?General Exp.Vr.Fix Analysis_1(" xfId="3123"/>
    <cellStyle name="AeE?General Exp.Vr.Fix Analysisr" xfId="3124"/>
    <cellStyle name="AeE?GRPe" xfId="3125"/>
    <cellStyle name="AeE?HPA1298 " xfId="3126"/>
    <cellStyle name="AeE?HPA9812 " xfId="3127"/>
    <cellStyle name="AeE?INV. QTY.x" xfId="3128"/>
    <cellStyle name="AeE?inv.finishedV" xfId="3129"/>
    <cellStyle name="AeE?itemº°nis" xfId="3130"/>
    <cellStyle name="AeE?JAN98 " xfId="3131"/>
    <cellStyle name="AeE?JANm" xfId="3132"/>
    <cellStyle name="AeE?Januaryi" xfId="3133"/>
    <cellStyle name="AeE?Julya" xfId="3134"/>
    <cellStyle name="AeE?Junea" xfId="3135"/>
    <cellStyle name="AeE?LABOR.FAC.EXPr" xfId="3136"/>
    <cellStyle name="AeE?LEADR" xfId="3137"/>
    <cellStyle name="AeE?LINE¿i¿µ (2)Pr.F" xfId="3138"/>
    <cellStyle name="AeE?LINE¿i¿µC.EX" xfId="3139"/>
    <cellStyle name="AeE?MANUF. COSTSP" xfId="3140"/>
    <cellStyle name="AeE?March." xfId="3141"/>
    <cellStyle name="AeE?MARU" xfId="3142"/>
    <cellStyle name="AeE?MATERIALO" xfId="3143"/>
    <cellStyle name="AeE?MAYE" xfId="3144"/>
    <cellStyle name="AeE?MEX.PRL_¸¸±aµµ·¡ix Analy" xfId="3145"/>
    <cellStyle name="AeE?MEX.PRLL" xfId="3146"/>
    <cellStyle name="AeE?MEX1P" xfId="3147"/>
    <cellStyle name="AeE?mex3P" xfId="3148"/>
    <cellStyle name="AeE?MEXICAN PAYROLL(JAN) " xfId="3149"/>
    <cellStyle name="AeE?MHX" xfId="3150"/>
    <cellStyle name="AeE?MONTHLY PRODO" xfId="3151"/>
    <cellStyle name="AeE?ºI¼­º° (2)ODOLL(" xfId="3152"/>
    <cellStyle name="AeE?ºI¼­º°Y PROD" xfId="3153"/>
    <cellStyle name="AeE?P&amp;L~ADV. PRODL" xfId="3154"/>
    <cellStyle name="AeE?PLAN`98(6.15)L" xfId="3155"/>
    <cellStyle name="AeE?PRD(12)(" xfId="3156"/>
    <cellStyle name="AeE?PRD_¸¸±aµµ·¡)LL(JAN)" xfId="3157"/>
    <cellStyle name="AeE?PRDN" xfId="3158"/>
    <cellStyle name="AeE?PROD REPORT2" xfId="3159"/>
    <cellStyle name="AeE?PROD REPORT3)" xfId="3160"/>
    <cellStyle name="AeE?PROD(FEB)R" xfId="3161"/>
    <cellStyle name="AeE?PROD(JAN)R" xfId="3162"/>
    <cellStyle name="AeE?PROD.COSTING)" xfId="3163"/>
    <cellStyle name="AeE?PROD.MAYT" xfId="3164"/>
    <cellStyle name="AeE?REEFERA" xfId="3165"/>
    <cellStyle name="AeE?R쭵 [0]_96?쬾??R?쬸OBD " xfId="3166"/>
    <cellStyle name="AeE?R쭵_96?쬾??R?쬸OBD " xfId="3167"/>
    <cellStyle name="AeE?Sheet1 (2)_¸¸±aµµ·¡) (3)sis" xfId="3168"/>
    <cellStyle name="AeE?Sheet1 (2)N" xfId="3169"/>
    <cellStyle name="AeE?Sheet1_12" xfId="3170"/>
    <cellStyle name="AeE?Sheet1A" xfId="3171"/>
    <cellStyle name="AeE?Sheet3_" xfId="3172"/>
    <cellStyle name="AeE?Sheet4_" xfId="3173"/>
    <cellStyle name="AeE?SUBCONTRACTOR COSTS " xfId="3174"/>
    <cellStyle name="AeE?SUBCONTRACTOR COSTS_¸¸±aµµ·¡1(2)PA) " xfId="3175"/>
    <cellStyle name="AeE?SUMMARYR" xfId="3176"/>
    <cellStyle name="AeE?TCM" xfId="3177"/>
    <cellStyle name="AeE?US PAYROLL(JAN)O" xfId="3178"/>
    <cellStyle name="AeE?US.PRL_¸¸±aµµ·¡OSTS_cov" xfId="3179"/>
    <cellStyle name="AeE?US.PRLR" xfId="3180"/>
    <cellStyle name="AeE?V.8.(2)¿µ¾÷¿UAU±YA) (3)e" xfId="3181"/>
    <cellStyle name="AeE?V.8.(3)ºIA·AU±YA¶´Þ¹æ¾Eer (2)PA) " xfId="3182"/>
    <cellStyle name="AeE?V.8.(4)¿µ¾÷¿Uºn¿eA?¤¾Eer (2)PA" xfId="3183"/>
    <cellStyle name="AeE?V.8.AU±Y¿i¿e(1.¿µ¾÷»o)Eer (2)PA" xfId="3184"/>
    <cellStyle name="AeE?VT8" xfId="3185"/>
    <cellStyle name="AeE?VT95³aAc°iÆC¸A»o¼¼÷»o)Eer " xfId="3186"/>
    <cellStyle name="AeE?WARRANTY " xfId="3187"/>
    <cellStyle name="AeE?WARRANTY_¸¸±aµµ·¡¼÷»o)Eer" xfId="3188"/>
    <cellStyle name="AeE?warrantyA?¤A?I (2)) (3" xfId="3189"/>
    <cellStyle name="AeE?warrantyA?¤A?I2)PA" xfId="3190"/>
    <cellStyle name="AeE?WK1_¸¸±aµµ·¡A?I (2)" xfId="3191"/>
    <cellStyle name="AeE?WK1r" xfId="3192"/>
    <cellStyle name="AeE?WK2_" xfId="3193"/>
    <cellStyle name="AeE?WK3_" xfId="3194"/>
    <cellStyle name="AeE?WK4_" xfId="3195"/>
    <cellStyle name="AeE­_¡U¾EU￢ A¾COºn±³ " xfId="3196"/>
    <cellStyle name="ÅëÈ­_¡Ú¾ÈÜ¬ Á¾ÇÕºñ±³ " xfId="3197"/>
    <cellStyle name="AeE­_´eA÷´eA¶" xfId="3198"/>
    <cellStyle name="ÅëÈ­_±³À°ÀÏÁ¤ " xfId="3199"/>
    <cellStyle name="AeE­_±³A°AIA¤ _베네주엘라비정규" xfId="3200"/>
    <cellStyle name="ÅëÈ­_±â¾È " xfId="3201"/>
    <cellStyle name="AeE­_≫c±aÆC¸A¹æAo" xfId="3202"/>
    <cellStyle name="ÅëÈ­_°í°´½Å¿ëÆò°¡" xfId="3203"/>
    <cellStyle name="AeE­_°u¸RC×¸n_¾÷A¾º° " xfId="3204"/>
    <cellStyle name="ÅëÈ­_¼­½ÄÃ¼01_ÅõÀÔ°èÈ¹ " xfId="3205"/>
    <cellStyle name="AeE­_¼­½AAI¶÷_AoAO°eE¹ " xfId="3206"/>
    <cellStyle name="ÅëÈ­_¼­½ÄÀÏ¶÷_ÅõÀÔ°èÈ¹ " xfId="3207"/>
    <cellStyle name="AeE­_¼o¼o·a¿a¾aC￥" xfId="3208"/>
    <cellStyle name="ÅëÈ­_¼ö¼ö·á¿ä¾àÇ¥" xfId="3209"/>
    <cellStyle name="AeE­_¼oAI¼º " xfId="146"/>
    <cellStyle name="ÅëÈ­_½Ä´çÀÌÀü°èÈ¹" xfId="3210"/>
    <cellStyle name="AeE­_½A¿eμi±ÞC￥" xfId="3211"/>
    <cellStyle name="ÅëÈ­_1.ÆÇ¸Å½ÇÀû " xfId="3212"/>
    <cellStyle name="AeE­_1.SUMMARY " xfId="3213"/>
    <cellStyle name="ÅëÈ­_1.SUMMARY " xfId="3214"/>
    <cellStyle name="AeE­_1.SUMMARY _2월분 부품 출하(매출반영분) - CKD 운영팀 050308-20050314" xfId="3215"/>
    <cellStyle name="ÅëÈ­_1.SUMMARY _2월분 부품 출하(매출반영분) - CKD 운영팀 050308-20050314" xfId="3216"/>
    <cellStyle name="AeE­_¹æ¾E2" xfId="3217"/>
    <cellStyle name="ÅëÈ­_¹æ¾È2" xfId="3218"/>
    <cellStyle name="AeE­_¹yAIº°AoAU°eE¹" xfId="3219"/>
    <cellStyle name="ÅëÈ­_2.CONCEPT " xfId="3220"/>
    <cellStyle name="AeE­_2.CONCEPT _2월분 부품 출하(매출반영분) - CKD 운영팀 050308-20050314" xfId="3221"/>
    <cellStyle name="ÅëÈ­_2.CONCEPT _2월분 부품 출하(매출반영분) - CKD 운영팀 050308-20050314" xfId="3222"/>
    <cellStyle name="AeE­_2000³a GRACE KDQR" xfId="3223"/>
    <cellStyle name="ÅëÈ­_3.MSCHEDULE¿µ¹® " xfId="3224"/>
    <cellStyle name="AeE­_3.MSCHEDULE¿μ¹R " xfId="3225"/>
    <cellStyle name="ÅëÈ­_³»ÀÚÀÔ°íFLOW_IPGOFLOW(LP)X)P)TS)2)be " xfId="3226"/>
    <cellStyle name="AeE­_3PJTR°eE¹ " xfId="3227"/>
    <cellStyle name="ÅëÈ­_3PJTR°èÈ¹ " xfId="3228"/>
    <cellStyle name="AeE­_4 " xfId="3229"/>
    <cellStyle name="ÅëÈ­_4 " xfId="3230"/>
    <cellStyle name="AeE­_4 _2월분 부품 출하(매출반영분) - CKD 운영팀 050308-20050314" xfId="3231"/>
    <cellStyle name="ÅëÈ­_4 _2월분 부품 출하(매출반영분) - CKD 운영팀 050308-20050314" xfId="3232"/>
    <cellStyle name="AeE­_5-3-3-1-1.≫y≫e±¸A¶ºÐ¼R-MAT'L¡­ " xfId="3233"/>
    <cellStyle name="ÅëÈ­_6-3°æÀï·Â " xfId="3234"/>
    <cellStyle name="AeE­_7.MASTER SCHEDULE " xfId="3235"/>
    <cellStyle name="ÅëÈ­_7.MASTER SCHEDULE " xfId="3236"/>
    <cellStyle name="AeE­_7.MASTER SCHEDULE _2월분 부품 출하(매출반영분) - CKD 운영팀 050308-20050314" xfId="3237"/>
    <cellStyle name="ÅëÈ­_7.MASTER SCHEDULE _2월분 부품 출하(매출반영분) - CKD 운영팀 050308-20050314" xfId="3238"/>
    <cellStyle name="AeE­_96°eE¹ " xfId="3239"/>
    <cellStyle name="ÅëÈ­_Ã¤±Ç¼­·ù" xfId="3240"/>
    <cellStyle name="AeE­_A·ºI1" xfId="3241"/>
    <cellStyle name="ÅëÈ­_ÀÎ¿ø°èÈ¹ " xfId="3242"/>
    <cellStyle name="AeE­_AI¿ø°eE¹ _1¿￢±¸¼O (°￠ÆAº°) " xfId="3243"/>
    <cellStyle name="ÅëÈ­_ÀÎ¿ø°èÈ¹ _1¿¬±¸¼Ò (°¢ÆÀº°) " xfId="3244"/>
    <cellStyle name="AeE­_AI¿ø°eE¹ _1¿￢±¸¼O (°￠ÆAº°) _베네주엘라비정규" xfId="3245"/>
    <cellStyle name="ÅëÈ­_ÀÎ¿ø°èÈ¹ _2월분 부품 출하(매출반영분) - CKD 운영팀 050308-20050314" xfId="3246"/>
    <cellStyle name="AeE­_AI¿ø°eE¹ _C￥Ao _베네주엘라비정규" xfId="3247"/>
    <cellStyle name="ÅëÈ­_ÀÎ¿ø¹× Á¶Á÷(96.5.2.) " xfId="3248"/>
    <cellStyle name="AeE­_AN°yº¸°i-Aß°¡Ay°¨ " xfId="3249"/>
    <cellStyle name="ÅëÈ­_ÃÖÁ¾ÀÏÁ¤ " xfId="3250"/>
    <cellStyle name="AeE­_C￥Ao " xfId="3251"/>
    <cellStyle name="ÅëÈ­_Ç° " xfId="3252"/>
    <cellStyle name="AeE­_CN°eAIAI96³a" xfId="3253"/>
    <cellStyle name="ÅëÈ­_EF PAD " xfId="3254"/>
    <cellStyle name="AeE­_F006-1A÷ " xfId="3255"/>
    <cellStyle name="ÅëÈ­_FLOW_CELSIOR " xfId="3256"/>
    <cellStyle name="AeE­_INQUIRY ¿μ¾÷AßAø " xfId="3257"/>
    <cellStyle name="ÅëÈ­_laroux" xfId="3258"/>
    <cellStyle name="AeE­_LZ BODY ¹RA|A¡" xfId="3259"/>
    <cellStyle name="ÅëÈ­_MKN-M1.1 " xfId="3260"/>
    <cellStyle name="AeE­_º?°æ³≫¿ª" xfId="3261"/>
    <cellStyle name="ÅëÈ­_º¸°í¾ç½Ä" xfId="3262"/>
    <cellStyle name="AeE­_º≫≫c½AAøAI¹Y" xfId="3263"/>
    <cellStyle name="ÅëÈ­_ºÐ·ù±â01_ÅõÀÔ°èÈ¹ " xfId="3264"/>
    <cellStyle name="AeE­_ºÐ·u±a02_AoAO°eE¹ " xfId="3265"/>
    <cellStyle name="ÅëÈ­_ºÐ·ù±â02_ÅõÀÔ°èÈ¹ " xfId="3266"/>
    <cellStyle name="AeE­_ºÐ·u±a03_AoAO°eE¹ " xfId="3267"/>
    <cellStyle name="ÅëÈ­_ºÐ·ù±â03_ÅõÀÔ°èÈ¹ " xfId="3268"/>
    <cellStyle name="AeE­_ºÐ·u±aAØ_AoAO°eE¹ " xfId="3269"/>
    <cellStyle name="ÅëÈ­_ºÐ·ù±âÁØ_ÅõÀÔ°èÈ¹ " xfId="3270"/>
    <cellStyle name="AeE­_ºÐ·u±aE￡_AoAO°eE¹ " xfId="3271"/>
    <cellStyle name="ÅëÈ­_ºÐ·ù±âÈ£_ÅõÀÔ°èÈ¹ " xfId="3272"/>
    <cellStyle name="AeE­_ºn¿e¿¹≫e" xfId="3273"/>
    <cellStyle name="ÅëÈ­_SAMPLE " xfId="3274"/>
    <cellStyle name="AeE­_SAMPLE _2월분 부품 출하(매출반영분) - CKD 운영팀 050308-20050314" xfId="3275"/>
    <cellStyle name="ÅëÈ­_SAMPLE _2월분 부품 출하(매출반영분) - CKD 운영팀 050308-20050314" xfId="3276"/>
    <cellStyle name="AeE­_Sheet1" xfId="3277"/>
    <cellStyle name="ÅëÈ­_Sheet1" xfId="3278"/>
    <cellStyle name="AeE­_Sheet1 (2)_3.MSCHEDULE¿μ¹R " xfId="3279"/>
    <cellStyle name="ÅëÈ­_Sheet1_1.SUMMARY " xfId="3280"/>
    <cellStyle name="AeE­_Sheet1_3.MSCHEDULE¿μ¹R " xfId="3281"/>
    <cellStyle name="ÅëÈ­_Sheet1_ÃÖÁ¾ÀÏÁ¤ " xfId="3282"/>
    <cellStyle name="AeE­_Sheet1_XD AOA¾AIA¤ " xfId="3283"/>
    <cellStyle name="ÅëÈ­_Sheet1_XD ÃÖÁ¾ÀÏÁ¤ " xfId="3284"/>
    <cellStyle name="AeE­_SMG-CKD-d1.1 " xfId="3285"/>
    <cellStyle name="ÅëÈ­_SMG-CKD-d1.1 " xfId="3286"/>
    <cellStyle name="AeE­_SMG-CKD-d1.1 _2월분 부품 출하(매출반영분) - CKD 운영팀 050308-20050314" xfId="3287"/>
    <cellStyle name="ÅëÈ­_SMG-CKD-d1.1 _2월분 부품 출하(매출반영분) - CKD 운영팀 050308-20050314" xfId="3288"/>
    <cellStyle name="AeE­_XD±aAØ " xfId="3289"/>
    <cellStyle name="AeE¡? [0]_2000¨?OER " xfId="3290"/>
    <cellStyle name="AeE¡?_2000¨?OER " xfId="3291"/>
    <cellStyle name="AeE¡© [0]_2000¨ùOER " xfId="3292"/>
    <cellStyle name="AeE¡©_2000¨ùOER " xfId="3293"/>
    <cellStyle name="AeE¡ⓒ [0]_¡¾ⓒøA¡ÆAIA￠´ " xfId="3294"/>
    <cellStyle name="AeE¡ⓒ_¡¾ⓒøA¡ÆAIA￠´ " xfId="3295"/>
    <cellStyle name="AeE¡ER¡§I [0]_¡ER¡§￠R¡§I¡ERAi¡ERicAc¡ER¡§￠Ri " xfId="3296"/>
    <cellStyle name="AeE¡ER¡§I_¡ER¡§￠R¡§I¡ERAi¡ERicAc¡ER¡§￠Ri " xfId="3297"/>
    <cellStyle name="AeE￠R¨I [0]_¡§¡þ¡§¡EAO" xfId="3298"/>
    <cellStyle name="AeE￠R¨I_¡§¡þ¡§¡EAO" xfId="3299"/>
    <cellStyle name="ALIGNMENT" xfId="3300"/>
    <cellStyle name="AÞ¸?[0]_´eA÷´eA¶C?(HYPA)) (3) (2" xfId="3301"/>
    <cellStyle name="AÞ¸?´eA÷´eA¶C?(HYPA))PA) (3)" xfId="3302"/>
    <cellStyle name="AÞ¸?´U°¡´eA¶C?" xfId="3303"/>
    <cellStyle name="AÞ¸?¸¸±aµµ·¡C?(HYPA))P" xfId="3304"/>
    <cellStyle name="AÞ¸?¸nA÷µµ·¡C" xfId="3305"/>
    <cellStyle name="AÞ¸?±Y¾×µµ·¡C?" xfId="3306"/>
    <cellStyle name="AÞ¸?»o¹Y±a(HYPA) (2))PA) (" xfId="3307"/>
    <cellStyle name="AÞ¸?»o¹Y±a(HYPA) (2)_»o¹Y±a(HYPA) (2)_¼OAI1¿u (ÆC¸A) (3)_x0016_" xfId="3308"/>
    <cellStyle name="AÞ¸?»y»e½CAuYPA) (" xfId="3309"/>
    <cellStyle name="AÞ¸?°¡µ¿A²AuYPA) (" xfId="3310"/>
    <cellStyle name="AÞ¸?°æºn7¿uÐ¸R)) (" xfId="3311"/>
    <cellStyle name="AÞ¸?°æºnA?¤¸R)) (2)" xfId="3312"/>
    <cellStyle name="AÞ¸?°ø¹R (3)YPA) (" xfId="3313"/>
    <cellStyle name="AÞ¸?°ø¹R (ºÐ¸R)) (2)_PRO" xfId="3314"/>
    <cellStyle name="AÞ¸?°ø¹R ²AuYPA" xfId="3315"/>
    <cellStyle name="AÞ¸?01.06? " xfId="3316"/>
    <cellStyle name="AÞ¸?04.01? " xfId="3317"/>
    <cellStyle name="AÞ¸?05.01? " xfId="3318"/>
    <cellStyle name="AÞ¸?05.30? " xfId="3319"/>
    <cellStyle name="AÞ¸?06.27? " xfId="3320"/>
    <cellStyle name="AÞ¸?¼OAI(»y»e1-3)(2)_PR" xfId="3321"/>
    <cellStyle name="AÞ¸?¼OAI(ÆC¸A1-3) 2)_PRO" xfId="3322"/>
    <cellStyle name="AÞ¸?¼OAI(FEB»y»e) 2)_PR" xfId="3323"/>
    <cellStyle name="AÞ¸?¼OAI(FEBÆC¸A) 2)_PRO" xfId="3324"/>
    <cellStyle name="AÞ¸?¼OAI(MAR»y»e) 2)_PR" xfId="3325"/>
    <cellStyle name="AÞ¸?¼OAI(MARÆC¸A) 2)_PR" xfId="3326"/>
    <cellStyle name="AÞ¸?¼OAI1¿u (2)A) 2)" xfId="3327"/>
    <cellStyle name="AÞ¸?¼OAI1¿u (ÆC¸A)2)_PROD" xfId="3328"/>
    <cellStyle name="AÞ¸?¼OAI1¿uRÆC¸A" xfId="3329"/>
    <cellStyle name="AÞ¸?¼OAIA?¤»cC?)" xfId="3330"/>
    <cellStyle name="AÞ¸?¼OAIA?I.95¸A)2)" xfId="3331"/>
    <cellStyle name="AÞ¸?¼OAIA?I.9972)2)_P" xfId="3332"/>
    <cellStyle name="AÞ¸?¼OAIAO¿a»cC?)2)_PR" xfId="3333"/>
    <cellStyle name="AÞ¸?¼OAIJAN(»y»e?°æAu)OD.SEPTIN" xfId="3334"/>
    <cellStyle name="AÞ¸?¼OAIJAN(»y»e?°æEA) D.SEPTING" xfId="3335"/>
    <cellStyle name="AÞ¸?¼OAIJAN(ÆC¸A)?°æEA)" xfId="3336"/>
    <cellStyle name="AÞ¸?1¿u_1AN( " xfId="3337"/>
    <cellStyle name="AÞ¸?1¿uIJAN" xfId="3338"/>
    <cellStyle name="AÞ¸?10¿u1AN(" xfId="3339"/>
    <cellStyle name="AÞ¸?11.41AN" xfId="3340"/>
    <cellStyle name="AÞ¸?11¿u1AN(" xfId="3341"/>
    <cellStyle name="AÞ¸?12¿u1AN(" xfId="3342"/>
    <cellStyle name="AÞ¸?2.3u1A" xfId="3343"/>
    <cellStyle name="AÞ¸?2¿u_1AN( " xfId="3344"/>
    <cellStyle name="AÞ¸?2¿uu1AN" xfId="3345"/>
    <cellStyle name="AÞ¸?3.3_1A" xfId="3346"/>
    <cellStyle name="AÞ¸?3¿u 1AN(" xfId="3347"/>
    <cellStyle name="AÞ¸?³a?A?¤ÆC¸A)?°æ" xfId="3348"/>
    <cellStyle name="AÞ¸?4¿u  ?¤Æ" xfId="3349"/>
    <cellStyle name="AÞ¸?5¿u  ?¤Æ" xfId="3350"/>
    <cellStyle name="AÞ¸?9¿u  ?" xfId="3351"/>
    <cellStyle name="AÞ¸?95³aAc°iÆC¸A)?°æEA)" xfId="3352"/>
    <cellStyle name="AÞ¸?96 Factory Overhead D." xfId="3353"/>
    <cellStyle name="AÞ¸?96(ÆC°uºn) (2)rhead " xfId="3354"/>
    <cellStyle name="AÞ¸?96(ÆC°uºn) (3)rhead " xfId="3355"/>
    <cellStyle name="AÞ¸?96³a¹IÆC¸A¼OAI»o¼¼d D.SEPTING" xfId="3356"/>
    <cellStyle name="AÞ¸?97³a " xfId="3357"/>
    <cellStyle name="AÞ¸?97PORTIONA¼O" xfId="3358"/>
    <cellStyle name="AÞ¸?Ac°i?°¡°¨¼OAI»o¼¼d" xfId="3359"/>
    <cellStyle name="AÞ¸?Ac°iº¸A?¹RA|AI»o¼¼d" xfId="3360"/>
    <cellStyle name="AÞ¸?ALLOCATIONA|A" xfId="3361"/>
    <cellStyle name="AÞ¸?Ao±ÞAIAU¹eºI±aA?(4¿u)SEPTINGNG2" xfId="3362"/>
    <cellStyle name="AÞ¸?Ao±ÞAIAU¹eºI±aA?(5¿u)SEPTINGNG2" xfId="3363"/>
    <cellStyle name="AÞ¸?Ao±ÞAIAUONA|A" xfId="3364"/>
    <cellStyle name="AÞ¸?AoAUAIA" xfId="3365"/>
    <cellStyle name="AÞ¸?AprilIAU" xfId="3366"/>
    <cellStyle name="AÞ¸?APRUAI" xfId="3367"/>
    <cellStyle name="AÞ¸?AS400 AU " xfId="3368"/>
    <cellStyle name="AÞ¸?AU±Y¼oAo (2)±aA?" xfId="3369"/>
    <cellStyle name="AÞ¸?AU¾÷AI¼o (2)±a" xfId="3370"/>
    <cellStyle name="AÞ¸?Book2I¼o" xfId="3371"/>
    <cellStyle name="AÞ¸?BOXk2I" xfId="3372"/>
    <cellStyle name="AÞ¸?C?Ao (2) (2)" xfId="3373"/>
    <cellStyle name="AÞ¸?CI¹Y±a(HYPA) (3) (5¿u" xfId="3374"/>
    <cellStyle name="AÞ¸?CI¹Y±a2) (2" xfId="3375"/>
    <cellStyle name="AÞ¸?CIAU¿øAIYPA) " xfId="3376"/>
    <cellStyle name="AÞ¸?CIAU±Y¾×A??(3) (5 " xfId="3377"/>
    <cellStyle name="AÞ¸?CoE?(2)A? " xfId="3378"/>
    <cellStyle name="AÞ¸?CoE²±Y¾×" xfId="3379"/>
    <cellStyle name="AÞ¸?COGS (2" xfId="3380"/>
    <cellStyle name="AÞ¸?CONSOL(CLOSING)) (" xfId="3381"/>
    <cellStyle name="AÞ¸?cover (2)_ALLOCATIONu)S" xfId="3382"/>
    <cellStyle name="AÞ¸?cover (2)OSI" xfId="3383"/>
    <cellStyle name="AÞ¸?cover_¸¸±aµµ·¡.SEPTINGSE" xfId="3384"/>
    <cellStyle name="AÞ¸?COVERL(C" xfId="3385"/>
    <cellStyle name="AÞ¸?DOMer_" xfId="3386"/>
    <cellStyle name="AÞ¸?FAC.OVERHEAD(2)" xfId="3387"/>
    <cellStyle name="AÞ¸?Factory O.H.(°a»eeA)NGSEP" xfId="3388"/>
    <cellStyle name="AÞ¸?Factory O.H.(allo)(DEC)EPT" xfId="3389"/>
    <cellStyle name="AÞ¸?Factory O.H.Vr.Fix.AnalysisNGN" xfId="3390"/>
    <cellStyle name="AÞ¸?FACTORY OH. &amp; MISC. INC.EXPNGN" xfId="3391"/>
    <cellStyle name="AÞ¸?FACTORY OH.&amp; MISC.EXP.(JAN)NGN" xfId="3392"/>
    <cellStyle name="AÞ¸?FACTORY OVERHEAD &amp; MISC INC.EXP_¸¸±aµµ·¡EPTINGA) (" xfId="3393"/>
    <cellStyle name="AÞ¸?FACTORY OVERHEAD &amp; MISC INC.EXP2)_" xfId="3394"/>
    <cellStyle name="AÞ¸?FACTORY OVERHEAD FOR DEC.NC." xfId="3395"/>
    <cellStyle name="AÞ¸?FACTORY OVERHEAD FOR NOV.NC" xfId="3396"/>
    <cellStyle name="AÞ¸?FACTORY OVERHEAD(june)_¸¸±aµµ·¡_cover (2)" xfId="3397"/>
    <cellStyle name="AÞ¸?FACTORY OVERHEAD(june)OV." xfId="3398"/>
    <cellStyle name="AÞ¸?FACTORY OVERHEAD.EXPe)_" xfId="3399"/>
    <cellStyle name="AÞ¸?FACTORY OVERHEADC.E" xfId="3400"/>
    <cellStyle name="AÞ¸?FebruaryOVE" xfId="3401"/>
    <cellStyle name="AÞ¸?FEBTOR" xfId="3402"/>
    <cellStyle name="AÞ¸?GEN(1-5)OVE" xfId="3403"/>
    <cellStyle name="AÞ¸?Gen.Exp.Analysis(DEC))_c" xfId="3404"/>
    <cellStyle name="AÞ¸?GEN12  .An" xfId="3405"/>
    <cellStyle name="AÞ¸?GEN12  _1nal" xfId="3406"/>
    <cellStyle name="AÞ¸?GEN4   _" xfId="3407"/>
    <cellStyle name="AÞ¸?GEN4 _¸¸±aµµ·¡is(DEC))_c" xfId="3408"/>
    <cellStyle name="AÞ¸?General Exp.Vr.Fix Analysis_1EPT" xfId="3409"/>
    <cellStyle name="AÞ¸?General Exp.Vr.Fix AnalysisGSE" xfId="3410"/>
    <cellStyle name="AÞ¸?GRPera" xfId="3411"/>
    <cellStyle name="AÞ¸?HPA1298 Ex" xfId="3412"/>
    <cellStyle name="AÞ¸?HPA1298_HPAFINAL0699(final)_Hy" xfId="3413"/>
    <cellStyle name="AÞ¸?HPA9812_Hy" xfId="3414"/>
    <cellStyle name="AÞ¸?INV. QTY.ypa" xfId="3415"/>
    <cellStyle name="AÞ¸?inv.finished049" xfId="3416"/>
    <cellStyle name="AÞ¸?itemº°nishe" xfId="3417"/>
    <cellStyle name="AÞ¸?JAN98°ni" xfId="3418"/>
    <cellStyle name="AÞ¸?JANmº°" xfId="3419"/>
    <cellStyle name="AÞ¸?Januaryish" xfId="3420"/>
    <cellStyle name="AÞ¸?Julyary" xfId="3421"/>
    <cellStyle name="AÞ¸?Juneary" xfId="3422"/>
    <cellStyle name="AÞ¸?LABOR.FAC.EXP499" xfId="3423"/>
    <cellStyle name="AÞ¸?LEADR.F" xfId="3424"/>
    <cellStyle name="AÞ¸?LINE¿i¿µ (2)P49906" xfId="3425"/>
    <cellStyle name="AÞ¸?LINE¿i¿µC.EXP4" xfId="3426"/>
    <cellStyle name="AÞ¸?MANUF. COSTSP49" xfId="3427"/>
    <cellStyle name="AÞ¸?March. C" xfId="3428"/>
    <cellStyle name="AÞ¸?MARUF." xfId="3429"/>
    <cellStyle name="AÞ¸?MATERIALOST" xfId="3430"/>
    <cellStyle name="AÞ¸?MAYERI" xfId="3431"/>
    <cellStyle name="AÞ¸?MEX.PRL_¸¸±aµµ·¡0699(final" xfId="3432"/>
    <cellStyle name="AÞ¸?MEX.PRLLOS" xfId="3433"/>
    <cellStyle name="AÞ¸?MEX1PRL" xfId="3434"/>
    <cellStyle name="AÞ¸?mex3PRL" xfId="3435"/>
    <cellStyle name="AÞ¸?MEXICAN PAYROLL(JAN)OD." xfId="3436"/>
    <cellStyle name="AÞ¸?MHXIC" xfId="3437"/>
    <cellStyle name="AÞ¸?MONTHLY PRODOLL" xfId="3438"/>
    <cellStyle name="AÞ¸?ºI¼­º° (2)ODOLL(JA" xfId="3439"/>
    <cellStyle name="AÞ¸?ºI¼­º°Y PRODOL" xfId="3440"/>
    <cellStyle name="AÞ¸?P&amp;L~ADV. PRODLL(" xfId="3441"/>
    <cellStyle name="AÞ¸?PLAN`98(6.15)LL(" xfId="3442"/>
    <cellStyle name="AÞ¸?PRD(12)(6." xfId="3443"/>
    <cellStyle name="AÞ¸?PRD_¸¸±aµµ·¡)LL(JAN)OD" xfId="3444"/>
    <cellStyle name="AÞ¸?PRDN`9" xfId="3445"/>
    <cellStyle name="AÞ¸?PROD REPORT2)_" xfId="3446"/>
    <cellStyle name="AÞ¸?PROD REPORT3)_P" xfId="3447"/>
    <cellStyle name="AÞ¸?PROD(FEB)RT3" xfId="3448"/>
    <cellStyle name="AÞ¸?PROD(JAN)RT3" xfId="3449"/>
    <cellStyle name="AÞ¸?PROD.COSTING)_P" xfId="3450"/>
    <cellStyle name="AÞ¸?PROD.MAYTIN" xfId="3451"/>
    <cellStyle name="AÞ¸?REEFERAYT" xfId="3452"/>
    <cellStyle name="AÞ¸?Sheet1 (2)_¸¸±aµµ·¡SEPTINGSEP" xfId="3453"/>
    <cellStyle name="AÞ¸?Sheet1 (2)NG)" xfId="3454"/>
    <cellStyle name="AÞ¸?Sheet1_12)_" xfId="3455"/>
    <cellStyle name="AÞ¸?Sheet1AYT" xfId="3456"/>
    <cellStyle name="AÞ¸?Sheet3_12" xfId="3457"/>
    <cellStyle name="AÞ¸?Sheet4_12" xfId="3458"/>
    <cellStyle name="AÞ¸?SUBCONTRACTOR COSTS (2" xfId="3459"/>
    <cellStyle name="AÞ¸?SUBCONTRACTOR COSTS_¸¸±aµµ·¡PTINGTING." xfId="3460"/>
    <cellStyle name="AÞ¸?SUMMARYRAC" xfId="3461"/>
    <cellStyle name="AÞ¸?TCMMA" xfId="3462"/>
    <cellStyle name="AÞ¸?US PAYROLL(JAN)OST" xfId="3463"/>
    <cellStyle name="AÞ¸?US.PRL_¸¸±aµµ·¡OSTS_cover" xfId="3464"/>
    <cellStyle name="AÞ¸?US.PRLROL" xfId="3465"/>
    <cellStyle name="AÞ¸?V.8.(2)¿µ¾÷¿UAU±YPROD.SEPT" xfId="3466"/>
    <cellStyle name="AÞ¸?V.8.(3)ºIA·AU±YA¶´Þ¹æ¾EEPTINGSEPTIN" xfId="3467"/>
    <cellStyle name="AÞ¸?V.8.(4)¿µ¾÷¿Uºn¿eA?¤¾EEPTINGSEPT" xfId="3468"/>
    <cellStyle name="AÞ¸?V.8.AU±Y¿i¿e(1.¿µ¾÷»o)EEPTINGSEPT" xfId="3469"/>
    <cellStyle name="AÞ¸?VT8.A" xfId="3470"/>
    <cellStyle name="AÞ¸?VT95³aAc°iÆC¸A»o¼¼÷»o)EEPTIN" xfId="3471"/>
    <cellStyle name="AÞ¸?WARRANTY_¸¸±aµµ·¡¼÷»o)EEPTI" xfId="3472"/>
    <cellStyle name="AÞ¸?WARRANTY°i " xfId="3473"/>
    <cellStyle name="AÞ¸?warrantyA?¤A?I (2)ROD.SE" xfId="3474"/>
    <cellStyle name="AÞ¸?warrantyA?¤A?I2)_PRO" xfId="3475"/>
    <cellStyle name="AÞ¸?WK1_¸¸±aµµ·¡A?I (2)RO" xfId="3476"/>
    <cellStyle name="AÞ¸?WK1ran" xfId="3477"/>
    <cellStyle name="AÞ¸?WK2_¸¸±aµµ·¡)_PROD.SEP" xfId="3478"/>
    <cellStyle name="AÞ¸?WK3_¸¸±aµµ·¡)_PROD.SEP" xfId="3479"/>
    <cellStyle name="AÞ¸?WK4_¸¸±aµµ·¡)_PROD.SEP" xfId="3480"/>
    <cellStyle name="AÞ¸¶ [0]_¡U¾EU￢ A¾COºn±³ " xfId="3481"/>
    <cellStyle name="ÄÞ¸¶ [0]_¡Ú¾ÈÜ¬ Á¾ÇÕºñ±³ " xfId="3482"/>
    <cellStyle name="AÞ¸¶ [0]_´eA÷´eA¶" xfId="3483"/>
    <cellStyle name="ÄÞ¸¶ [0]_±â¾È " xfId="3484"/>
    <cellStyle name="AÞ¸¶ [0]_≫c±aÆC¸A¹æAo" xfId="3485"/>
    <cellStyle name="ÄÞ¸¶ [0]_°í°´½Å¿ëÆò°¡" xfId="3486"/>
    <cellStyle name="AÞ¸¶ [0]_°u¸RC×¸n_¾÷A¾º° " xfId="3487"/>
    <cellStyle name="ÄÞ¸¶ [0]_¼ö¼ö·á¿ä¾àÇ¥" xfId="3488"/>
    <cellStyle name="AÞ¸¶ [0]_¼oAI¼º " xfId="147"/>
    <cellStyle name="ÄÞ¸¶ [0]_½Å¿ëµî±ÞÇ¥" xfId="3489"/>
    <cellStyle name="AÞ¸¶ [0]_½A¿eμi±ÞC￥" xfId="3490"/>
    <cellStyle name="ÄÞ¸¶ [0]_½ÇÀûÇöÈ² " xfId="3491"/>
    <cellStyle name="AÞ¸¶ [0]_1.SUMMARY " xfId="3492"/>
    <cellStyle name="ÄÞ¸¶ [0]_1.SUMMARY " xfId="3493"/>
    <cellStyle name="AÞ¸¶ [0]_1-3¿u " xfId="3494"/>
    <cellStyle name="ÄÞ¸¶ [0]_¹æ¾È" xfId="3495"/>
    <cellStyle name="AÞ¸¶ [0]_¹æ¾E2" xfId="3496"/>
    <cellStyle name="ÄÞ¸¶ [0]_¹æ¾È2" xfId="3497"/>
    <cellStyle name="AÞ¸¶ [0]_¹yAIº°AoAU°eE¹" xfId="3498"/>
    <cellStyle name="ÄÞ¸¶ [0]_2.CONCEPT " xfId="3499"/>
    <cellStyle name="AÞ¸¶ [0]_3.MSCHEDULE¿μ¹R " xfId="3500"/>
    <cellStyle name="ÄÞ¸¶ [0]_3PJTR°èÈ¹ " xfId="3501"/>
    <cellStyle name="AÞ¸¶ [0]_4 " xfId="3502"/>
    <cellStyle name="ÄÞ¸¶ [0]_4 " xfId="3503"/>
    <cellStyle name="AÞ¸¶ [0]_6-3°æAi·A " xfId="3504"/>
    <cellStyle name="ÄÞ¸¶ [0]_6-3°æÀï·Â " xfId="3505"/>
    <cellStyle name="AÞ¸¶ [0]_7.MASTER SCHEDULE " xfId="3506"/>
    <cellStyle name="ÄÞ¸¶ [0]_7.MASTER SCHEDULE " xfId="3507"/>
    <cellStyle name="AÞ¸¶ [0]_96°eE¹ " xfId="3508"/>
    <cellStyle name="ÄÞ¸¶ [0]_Ã¤±Ç¼­·ù" xfId="3509"/>
    <cellStyle name="AÞ¸¶ [0]_A¹Aa" xfId="3510"/>
    <cellStyle name="ÄÞ¸¶ [0]_ÀÎ¿ø°èÈ¹ " xfId="3511"/>
    <cellStyle name="AÞ¸¶ [0]_AI¿ø¹× A¶A÷(96.5.2.) " xfId="3512"/>
    <cellStyle name="ÄÞ¸¶ [0]_ÃÖÁ¾ÀÏÁ¤ " xfId="3513"/>
    <cellStyle name="AÞ¸¶ [0]_C￥Ao " xfId="3514"/>
    <cellStyle name="ÄÞ¸¶ [0]_Ç° " xfId="3515"/>
    <cellStyle name="AÞ¸¶ [0]_CN°eAIAI96³a" xfId="3516"/>
    <cellStyle name="ÄÞ¸¶ [0]_INQUIRY ¿µ¾÷ÃßÁø " xfId="3517"/>
    <cellStyle name="AÞ¸¶ [0]_INQUIRY ¿μ¾÷AßAø " xfId="3518"/>
    <cellStyle name="ÄÞ¸¶ [0]_laroux" xfId="3519"/>
    <cellStyle name="AÞ¸¶ [0]_M105CDT " xfId="3520"/>
    <cellStyle name="ÄÞ¸¶ [0]_MKN-M1.1 " xfId="3521"/>
    <cellStyle name="AÞ¸¶ [0]_º¸°i¾c½A" xfId="3522"/>
    <cellStyle name="ÄÞ¸¶ [0]_º¸°í¾ç½Ä" xfId="3523"/>
    <cellStyle name="AÞ¸¶ [0]_º≫ºIA¶A÷ " xfId="3524"/>
    <cellStyle name="ÄÞ¸¶ [0]_SAMPLE " xfId="3525"/>
    <cellStyle name="AÞ¸¶ [0]_Sheet1 (2)_1.SUMMARY " xfId="3526"/>
    <cellStyle name="ÄÞ¸¶ [0]_Sheet1 (2)_1.SUMMARY " xfId="3527"/>
    <cellStyle name="AÞ¸¶ [0]_Sheet1 (2)_3.MSCHEDULE¿μ¹R " xfId="3528"/>
    <cellStyle name="ÄÞ¸¶ [0]_Sheet1_1.SUMMARY " xfId="3529"/>
    <cellStyle name="AÞ¸¶ [0]_Sheet1_3.MSCHEDULE¿μ¹R " xfId="3530"/>
    <cellStyle name="ÄÞ¸¶ [0]_Sheet1_ÃÖÁ¾ÀÏÁ¤ " xfId="3531"/>
    <cellStyle name="AÞ¸¶ [0]_Sheet1_XD AOA¾AIA¤ " xfId="3532"/>
    <cellStyle name="ÄÞ¸¶ [0]_Sheet1_XD ÃÖÁ¾ÀÏÁ¤ " xfId="3533"/>
    <cellStyle name="AÞ¸¶ [0]_SMG-CKD-d1.1 " xfId="3534"/>
    <cellStyle name="ÄÞ¸¶ [0]_SMG-CKD-d1.1 " xfId="3535"/>
    <cellStyle name="AÞ¸¶ [0]_XD±aAØ " xfId="3536"/>
    <cellStyle name="AÞ¸¶_¡U¾EU￢ A¾COºn±³ " xfId="3537"/>
    <cellStyle name="ÄÞ¸¶_¡Ú¾ÈÜ¬ Á¾ÇÕºñ±³ " xfId="3538"/>
    <cellStyle name="AÞ¸¶_´eA÷´eA¶" xfId="3539"/>
    <cellStyle name="ÄÞ¸¶_±â¾È " xfId="3540"/>
    <cellStyle name="AÞ¸¶_≫c±aÆC¸A¹æAo" xfId="3541"/>
    <cellStyle name="ÄÞ¸¶_°í°´½Å¿ëÆò°¡" xfId="3542"/>
    <cellStyle name="AÞ¸¶_°u¸RC×¸n_¾÷A¾º° " xfId="3543"/>
    <cellStyle name="ÄÞ¸¶_¼ö¼ö·á¿ä¾àÇ¥" xfId="3544"/>
    <cellStyle name="AÞ¸¶_¼oAI¼º " xfId="148"/>
    <cellStyle name="ÄÞ¸¶_½Å¿ëµî±ÞÇ¥" xfId="3545"/>
    <cellStyle name="AÞ¸¶_½A¿eμi±ÞC￥" xfId="3546"/>
    <cellStyle name="ÄÞ¸¶_½ÇÀûÇöÈ² " xfId="3547"/>
    <cellStyle name="AÞ¸¶_1.SUMMARY " xfId="3548"/>
    <cellStyle name="ÄÞ¸¶_1.SUMMARY " xfId="3549"/>
    <cellStyle name="AÞ¸¶_1.SUMMARY _~0014723" xfId="3550"/>
    <cellStyle name="ÄÞ¸¶_¹æ¾È" xfId="3551"/>
    <cellStyle name="AÞ¸¶_¹æ¾E2" xfId="3552"/>
    <cellStyle name="ÄÞ¸¶_¹æ¾È2" xfId="3553"/>
    <cellStyle name="AÞ¸¶_¹yAIº°AoAU°eE¹" xfId="3554"/>
    <cellStyle name="ÄÞ¸¶_2.CONCEPT " xfId="3555"/>
    <cellStyle name="AÞ¸¶_2.CONCEPT _~0014723" xfId="3556"/>
    <cellStyle name="ÄÞ¸¶_3PJTR°èÈ¹ " xfId="3557"/>
    <cellStyle name="AÞ¸¶_4 " xfId="3558"/>
    <cellStyle name="ÄÞ¸¶_4 " xfId="3559"/>
    <cellStyle name="AÞ¸¶_4 _~0014723" xfId="3560"/>
    <cellStyle name="ÄÞ¸¶_6-3°æÀï·Â " xfId="3561"/>
    <cellStyle name="AÞ¸¶_7.MASTER SCHEDULE " xfId="3562"/>
    <cellStyle name="ÄÞ¸¶_7.MASTER SCHEDULE " xfId="3563"/>
    <cellStyle name="AÞ¸¶_7.MASTER SCHEDULE _~0014723" xfId="3564"/>
    <cellStyle name="ÄÞ¸¶_Ã¤±Ç¼­·ù" xfId="3565"/>
    <cellStyle name="AÞ¸¶_A¹Aa" xfId="3566"/>
    <cellStyle name="ÄÞ¸¶_ÀÎ¿ø°èÈ¹ " xfId="3567"/>
    <cellStyle name="AÞ¸¶_AI¿ø°eE¹ _~0014723" xfId="3568"/>
    <cellStyle name="ÄÞ¸¶_ÃÖÁ¾ÀÏÁ¤ " xfId="3569"/>
    <cellStyle name="AÞ¸¶_AOA¾AIA¤ _~0014723" xfId="3570"/>
    <cellStyle name="ÄÞ¸¶_Ç° " xfId="3571"/>
    <cellStyle name="AÞ¸¶_CN°eAIAI96³a" xfId="3572"/>
    <cellStyle name="ÄÞ¸¶_INQUIRY ¿µ¾÷ÃßÁø " xfId="3573"/>
    <cellStyle name="AÞ¸¶_INQUIRY ¿μ¾÷AßAø " xfId="3574"/>
    <cellStyle name="ÄÞ¸¶_laroux" xfId="3575"/>
    <cellStyle name="AÞ¸¶_M105CDT " xfId="3576"/>
    <cellStyle name="ÄÞ¸¶_MKN-M1.1 " xfId="3577"/>
    <cellStyle name="AÞ¸¶_º¸°i¾c½A" xfId="3578"/>
    <cellStyle name="ÄÞ¸¶_º¸°í¾ç½Ä" xfId="3579"/>
    <cellStyle name="AÞ¸¶_º≫ºIA¶A÷ " xfId="3580"/>
    <cellStyle name="ÄÞ¸¶_SAMPLE " xfId="3581"/>
    <cellStyle name="AÞ¸¶_SAMPLE _~0014723" xfId="3582"/>
    <cellStyle name="ÄÞ¸¶_Sheet1" xfId="3583"/>
    <cellStyle name="AÞ¸¶_Sheet1 (2)_1.SUMMARY _~0014723" xfId="3584"/>
    <cellStyle name="ÄÞ¸¶_Sheet1_1.SUMMARY " xfId="3585"/>
    <cellStyle name="AÞ¸¶_Sheet1_3.MSCHEDULE¿μ¹R " xfId="3586"/>
    <cellStyle name="ÄÞ¸¶_Sheet1_ÃÖÁ¾ÀÏÁ¤ " xfId="3587"/>
    <cellStyle name="AÞ¸¶_Sheet1_XD AOA¾AIA¤ " xfId="3588"/>
    <cellStyle name="ÄÞ¸¶_Sheet1_XD ÃÖÁ¾ÀÏÁ¤ " xfId="3589"/>
    <cellStyle name="AÞ¸¶_SMG-CKD-d1.1 " xfId="3590"/>
    <cellStyle name="ÄÞ¸¶_SMG-CKD-d1.1 " xfId="3591"/>
    <cellStyle name="AÞ¸¶_XD±aAØ " xfId="3592"/>
    <cellStyle name="_x0001_b" xfId="3593"/>
    <cellStyle name="Bad" xfId="4855"/>
    <cellStyle name="Body" xfId="3594"/>
    <cellStyle name="BuiltOpt_Content" xfId="3595"/>
    <cellStyle name="C?A??½ACNµµ (7¿u)PROD.SEP" xfId="3596"/>
    <cellStyle name="C?A?_96???OBD " xfId="3597"/>
    <cellStyle name="C?A?´U°¡cover" xfId="3598"/>
    <cellStyle name="C?A?¸¸±aµµ·¡ (2))_PROD.SE" xfId="3599"/>
    <cellStyle name="C?A?¸¸±aµµ·¡r (2)_PRO" xfId="3600"/>
    <cellStyle name="C?A?¸nA÷µµ· " xfId="3601"/>
    <cellStyle name="C?A?¿uº° (4) (7¿u" xfId="3602"/>
    <cellStyle name="C?A?±Y¾× (4) " xfId="3603"/>
    <cellStyle name="C?A?»o¹Y±a(HYPA) (2)OD.SE" xfId="3604"/>
    <cellStyle name="C?A?»y»e½CAuYPA) " xfId="3605"/>
    <cellStyle name="C?A?°¡µ¿A²AuYPA) " xfId="3606"/>
    <cellStyle name="C?A?°æºn7¿uÐ¸R)) " xfId="3607"/>
    <cellStyle name="C?A?°ø¹R (ºÐ¸R)) (2)OD." xfId="3608"/>
    <cellStyle name="C?A?°ø¹R ²AuYP" xfId="3609"/>
    <cellStyle name="C?A?¼OAI(»y»e1-3)(2)OD" xfId="3610"/>
    <cellStyle name="C?A?¼OAI(ÆC¸A1-3) 2)OD." xfId="3611"/>
    <cellStyle name="C?A?¼OAI(FEB»y»e) 2)OD" xfId="3612"/>
    <cellStyle name="C?A?¼OAI(FEBÆC¸A) 2)OD." xfId="3613"/>
    <cellStyle name="C?A?¼OAI(MAR»y»e) 2)OD" xfId="3614"/>
    <cellStyle name="C?A?¼OAI(MARÆC¸A) 2)OD" xfId="3615"/>
    <cellStyle name="C?A?¼OAI(RIO)C¸A" xfId="3616"/>
    <cellStyle name="C?A?¼OAI°e»e(¿uº°)2)OD.SEP" xfId="3617"/>
    <cellStyle name="C?A?¼OAI°e»e¼­uº°)2)O" xfId="3618"/>
    <cellStyle name="C?A?¼OAI1¿u (2)º°)2" xfId="3619"/>
    <cellStyle name="C?A?¼OAI1¿u (ÆC¸A)2)OD.S" xfId="3620"/>
    <cellStyle name="C?A?¼OAI1¿ue¼­u" xfId="3621"/>
    <cellStyle name="C?A?¼OAI1-12¿u  (»y)  (3)PTING" xfId="3622"/>
    <cellStyle name="C?A?¼OAI1-12¿u  (ÆC)  (4)PTING" xfId="3623"/>
    <cellStyle name="C?A?¼OAI1-5¿u  (»y)  (2))PTIN" xfId="3624"/>
    <cellStyle name="C?A?¼OAI1-6¿u  (ÆC¸A±aA?PTINGSEP" xfId="3625"/>
    <cellStyle name="C?A?¼OAIA?¤»cC?" xfId="3626"/>
    <cellStyle name="C?A?¼OAIA?I.95 (2)A±aA" xfId="3627"/>
    <cellStyle name="C?A?¼OAIA?I.95(ÆC " xfId="3628"/>
    <cellStyle name="C?A?¼OAIA?I.9972_¼OAI(AUG»y»e) (2)NGPTING" xfId="3629"/>
    <cellStyle name="C?A?¼OAIA?I.99722)A " xfId="3630"/>
    <cellStyle name="C?A?¼OAIAO¿a»cC?_PROD" xfId="3631"/>
    <cellStyle name="C?A?¼OAIAO¿a»cC?¼OAI(AUG»y»e) (2)(JUN) (2)" xfId="3632"/>
    <cellStyle name="C?A?¼OAIAO¿a»cC?¼OAI(JUL»y»e) (2)(JUN) (2)" xfId="3633"/>
    <cellStyle name="C?A?¼OAIAO¿a»cC?BOOK25UL»y»e" xfId="3634"/>
    <cellStyle name="C?A?¼OAIAO¿a»cC?BOOK26UL»y»e" xfId="3635"/>
    <cellStyle name="C?A?¼OAIAO¿a»cC?BOOK2JUL»y " xfId="3636"/>
    <cellStyle name="C?A?¼OAIAO¿a»cC?Gen.Exp.Analysis(AUG) (2))INGSE" xfId="3637"/>
    <cellStyle name="C?A?¼OAIAO¿a»cC?Gen.Exp.Analysis(JUL) (2))INGSE" xfId="3638"/>
    <cellStyle name="C?A?¼OAIAO¿a»cC?Gen.Exp.Analysis(JUN) (2))INGSE" xfId="3639"/>
    <cellStyle name="C?A?¼OAIAO¿a»cC?HYPA9810Analys" xfId="3640"/>
    <cellStyle name="C?A?¼OAIAO¿a»cC?HYPA9870Analy" xfId="3641"/>
    <cellStyle name="C?A?¼OAIAO¿a»cC?HYPA9880Analy" xfId="3642"/>
    <cellStyle name="C?A?¼OAIAO¿a»cC?HYPA9890Analy" xfId="3643"/>
    <cellStyle name="C?A?¼OAIAO¿a»cC?MEX19890An" xfId="3644"/>
    <cellStyle name="C?A?¼OAIAO¿a»cC?PROD REPORT3ysis(J" xfId="3645"/>
    <cellStyle name="C?A?¼OAIAO¿a»cC?PROD REPORTlysis(" xfId="3646"/>
    <cellStyle name="C?A?¼OAIJAN(»y»e?°æAu)EPORT3ys" xfId="3647"/>
    <cellStyle name="C?A?¼OAIJAN(»y»e?°æEA) PORT3ysi" xfId="3648"/>
    <cellStyle name="C?A?¼OAIJAN(ÆC¸A)?°æEA" xfId="3649"/>
    <cellStyle name="C?A?1¿u_1AN(" xfId="3650"/>
    <cellStyle name="C?A?1¿uIJA" xfId="3651"/>
    <cellStyle name="C?A?10¿u1AN" xfId="3652"/>
    <cellStyle name="C?A?11¿u1AN" xfId="3653"/>
    <cellStyle name="C?A?12¿u1AN" xfId="3654"/>
    <cellStyle name="C?A?2¿u_1AN(" xfId="3655"/>
    <cellStyle name="C?A?2¿uu1A" xfId="3656"/>
    <cellStyle name="C?A?3¿u 1AN" xfId="3657"/>
    <cellStyle name="C?A?4¿u  AN(" xfId="3658"/>
    <cellStyle name="C?A?5¿u  AN(" xfId="3659"/>
    <cellStyle name="C?A?9¿u  A" xfId="3660"/>
    <cellStyle name="C?A?96 Factory Overhead P" xfId="3661"/>
    <cellStyle name="C?A?96 Profit Projection (RC)ys" xfId="3662"/>
    <cellStyle name="C?A?96 Profit Projection (TC)ys" xfId="3663"/>
    <cellStyle name="C?A?96 Profit Projection (VT)ys" xfId="3664"/>
    <cellStyle name="C?A?96 Profit ProjectionPO" xfId="3665"/>
    <cellStyle name="C?A?97 INVENTORY COSTio" xfId="3666"/>
    <cellStyle name="C?A?97 P" xfId="3667"/>
    <cellStyle name="C?A?97 UNIT COST C" xfId="3668"/>
    <cellStyle name="C?A?97(ÆC°uºn) (2)OSTio" xfId="3669"/>
    <cellStyle name="C?A?97(ÆC°uºn) (3)OSTio" xfId="3670"/>
    <cellStyle name="C?A?97PORTION) " xfId="3671"/>
    <cellStyle name="C?A?A7P" xfId="3672"/>
    <cellStyle name="C?A?Ac°i?°¡°¨ (3)OSTi" xfId="3673"/>
    <cellStyle name="C?A?Ac°i?°¡°¨_¼OAI(AUG»y»e) (2)s(JUN) (2))" xfId="3674"/>
    <cellStyle name="C?A?Ac°iº¸A?¹RA|_¼OAI(AUG»y»e) (2)N) (2)2))" xfId="3675"/>
    <cellStyle name="C?A?Ac°iº¸A?¹RA|ROD RE" xfId="3676"/>
    <cellStyle name="C?A?ADJUSTA?" xfId="3677"/>
    <cellStyle name="C?A?ADJUSTED TOTALRO" xfId="3678"/>
    <cellStyle name="C?A?ALLOCATION_1AL" xfId="3679"/>
    <cellStyle name="C?A?ALLOCATIONOT" xfId="3680"/>
    <cellStyle name="C?A?Ao±ÞAIAU¹eºI±aA?(4¿u)3T3ysis(J" xfId="3681"/>
    <cellStyle name="C?A?Ao±ÞAIAU¹eºI±aA?(5¿u)3T3ysis(J" xfId="3682"/>
    <cellStyle name="C?A?APR?" xfId="3683"/>
    <cellStyle name="C?A?AprilIA" xfId="3684"/>
    <cellStyle name="C?A?AS400 AU" xfId="3685"/>
    <cellStyle name="C?A?AU±Yµ¿Ca (3)±aA?" xfId="3686"/>
    <cellStyle name="C?A?AU±Y¼oAo (2)±aA " xfId="3687"/>
    <cellStyle name="C?A?BOOK2_PROD REPORT35 " xfId="3688"/>
    <cellStyle name="C?A?Book2¿C" xfId="3689"/>
    <cellStyle name="C?A?BOOK25PR" xfId="3690"/>
    <cellStyle name="C?A?BOOK26PR" xfId="3691"/>
    <cellStyle name="C?A?BOXK2" xfId="3692"/>
    <cellStyle name="C?A?BREAK6P" xfId="3693"/>
    <cellStyle name="C?A?C?AoK6P" xfId="3694"/>
    <cellStyle name="C?A?CI¹Y±a(HYPA) (3)T35 " xfId="3695"/>
    <cellStyle name="C?A?CIAU¿øAI_¼OAI(AUG»y»e) (2)sis(JUN" xfId="3696"/>
    <cellStyle name="C?A?CIAU¿øAIYPA)" xfId="3697"/>
    <cellStyle name="C?A?CIAU±Y¾×A??¼OAI(AUG»y»e) (2) (2) (2))I" xfId="3698"/>
    <cellStyle name="C?A?CIAU±Y¾×A??¼OAI(JUL»y»e) (2) (2) (2))I" xfId="3699"/>
    <cellStyle name="C?A?CIAU±Y¾×A??BOOK25UL»y»e)" xfId="3700"/>
    <cellStyle name="C?A?CIAU±Y¾×A??BOOK26UL»y»e)" xfId="3701"/>
    <cellStyle name="C?A?CIAU±Y¾×A??BOOK2JUL»y»e" xfId="3702"/>
    <cellStyle name="C?A?CIAU±Y¾×A??Gen.Exp.Analysis(AUG) (2))INGSEP" xfId="3703"/>
    <cellStyle name="C?A?CIAU±Y¾×A??Gen.Exp.Analysis(JUL) (2))INGSEP" xfId="3704"/>
    <cellStyle name="C?A?CIAU±Y¾×A??Gen.Exp.Analysis(JUN) (2))INGSEP" xfId="3705"/>
    <cellStyle name="C?A?CIAU±Y¾×A??HYPA9810Analysi" xfId="3706"/>
    <cellStyle name="C?A?CIAU±Y¾×A??HYPA9870Analys" xfId="3707"/>
    <cellStyle name="C?A?CIAU±Y¾×A??HYPA9880Analys" xfId="3708"/>
    <cellStyle name="C?A?CIAU±Y¾×A??HYPA9890Analys" xfId="3709"/>
    <cellStyle name="C?A?CIAU±Y¾×A??MEX19890Ana" xfId="3710"/>
    <cellStyle name="C?A?CIAU±Y¾×A??PROD REPORT3ysis(JU" xfId="3711"/>
    <cellStyle name="C?A?CIAU±Y¾×A??PROD REPORTlysis(J" xfId="3712"/>
    <cellStyle name="C?A?CIAU±Y¾×A?¤D REPOR" xfId="3713"/>
    <cellStyle name="C?A?CoE?(2)_¸¸±aµµ·¡ REPORT3ys" xfId="3714"/>
    <cellStyle name="C?A?CoE?(2)A?" xfId="3715"/>
    <cellStyle name="C?A?CoE²±Y " xfId="3716"/>
    <cellStyle name="C?A?COGS (" xfId="3717"/>
    <cellStyle name="C?A?CONSOL(CLOSING)Ao" xfId="3718"/>
    <cellStyle name="C?A?cover (2)OS" xfId="3719"/>
    <cellStyle name="C?A?cover_¸¸±aµµ·¡)Ao (2)A)" xfId="3720"/>
    <cellStyle name="C?A?COVERL(" xfId="3721"/>
    <cellStyle name="C?A?DEDUCT.PLANoA" xfId="3722"/>
    <cellStyle name="C?A?Domcn&amp;ReeferAo" xfId="3723"/>
    <cellStyle name="C?A?DOMUC" xfId="3724"/>
    <cellStyle name="C?A?FAC.EXP.ALLO_¼OAI(AUG»y»e) (2)JUN) " xfId="3725"/>
    <cellStyle name="C?A?FAC.EXP.ALLOAo" xfId="3726"/>
    <cellStyle name="C?A?FAC.OVERHEAD_P" xfId="3727"/>
    <cellStyle name="C?A?Factory O.H.(°a»eeA)_¼OAI(AUG»y»e) (2))INGSEP" xfId="3728"/>
    <cellStyle name="C?A?Factory O.H.(°a»eeA)PORT" xfId="3729"/>
    <cellStyle name="C?A?Factory O.H.(allo)(DEC)OD" xfId="3730"/>
    <cellStyle name="C?A?Factory O.H.Vr.Fix.AnalysisEP" xfId="3731"/>
    <cellStyle name="C?A?FACTORY OH. &amp; MISC. INC.EXPEP" xfId="3732"/>
    <cellStyle name="C?A?FACTORY OH.&amp; MISC.EXP.(JAN)EP" xfId="3733"/>
    <cellStyle name="C?A?FACTORY OVERHEAD &amp; MISC INC.EXP_1ys" xfId="3734"/>
    <cellStyle name="C?A?FACTORY OVERHEAD &amp; MISC INC.EXPT3" xfId="3735"/>
    <cellStyle name="C?A?FACTORY OVERHEAD FOR DEC.NC" xfId="3736"/>
    <cellStyle name="C?A?FACTORY OVERHEAD FOR NOV.N" xfId="3737"/>
    <cellStyle name="C?A?FACTORY OVERHEAD(june)OV" xfId="3738"/>
    <cellStyle name="C?A?FACTORY OVERHEAD.EXPe)" xfId="3739"/>
    <cellStyle name="C?A?FACTORY OVERHEADC." xfId="3740"/>
    <cellStyle name="C?A?FebruaryOV" xfId="3741"/>
    <cellStyle name="C?A?FEBTO" xfId="3742"/>
    <cellStyle name="C?A?GEN(1-5)OV" xfId="3743"/>
    <cellStyle name="C?A?Gen.Exp.Analysis(DEC))O" xfId="3744"/>
    <cellStyle name="C?A?GEN12  .A" xfId="3745"/>
    <cellStyle name="C?A?GEN12  _1na" xfId="3746"/>
    <cellStyle name="C?A?GEN4   " xfId="3747"/>
    <cellStyle name="C?A?GEN4 _Hypa0499is" xfId="3748"/>
    <cellStyle name="C?A?General Exp.Vr.Fix Analysis.E" xfId="3749"/>
    <cellStyle name="C?A?General Exp.Vr.Fix Analysis_1_¼OAI(AUG»y»e) (2)NGING" xfId="3750"/>
    <cellStyle name="C?A?GRPer" xfId="3751"/>
    <cellStyle name="C?A?HPA1298 E" xfId="3752"/>
    <cellStyle name="C?A?HPA9812 E" xfId="3753"/>
    <cellStyle name="C?A?HYPA Jan - JuneFi" xfId="3754"/>
    <cellStyle name="C?A?Hypa81" xfId="3755"/>
    <cellStyle name="C?A?INV. QTY.- " xfId="3756"/>
    <cellStyle name="C?A?inv.finishedun" xfId="3757"/>
    <cellStyle name="C?A?ISSUE.SUMhe" xfId="3758"/>
    <cellStyle name="C?A?itemº°SUMh" xfId="3759"/>
    <cellStyle name="C?A?JAN98°S" xfId="3760"/>
    <cellStyle name="C?A?JANm " xfId="3761"/>
    <cellStyle name="C?A?JanuaryUM" xfId="3762"/>
    <cellStyle name="C?A?Julyar" xfId="3763"/>
    <cellStyle name="C?A?june (2)Mh" xfId="3764"/>
    <cellStyle name="C?A?Junear" xfId="3765"/>
    <cellStyle name="C?A?LABOR COST ALLOCATIONal" xfId="3766"/>
    <cellStyle name="C?A?LABOR.ALLO A" xfId="3767"/>
    <cellStyle name="C?A?LABOR.ALLO_¼OAI(AUG»y»e) (2)1_PRO" xfId="3768"/>
    <cellStyle name="C?A?LABOR.FAC.EXPOD" xfId="3769"/>
    <cellStyle name="C?A?LEADR." xfId="3770"/>
    <cellStyle name="C?A?LOANR." xfId="3771"/>
    <cellStyle name="C?A?MANUF. COSTS_MEX1EP" xfId="3772"/>
    <cellStyle name="C?A?MANUF. COSTSPO" xfId="3773"/>
    <cellStyle name="C?A?March. " xfId="3774"/>
    <cellStyle name="C?A?march_1CO" xfId="3775"/>
    <cellStyle name="C?A?MARUF" xfId="3776"/>
    <cellStyle name="C?A?MATERIALOS" xfId="3777"/>
    <cellStyle name="C?A?may (2)LO" xfId="3778"/>
    <cellStyle name="C?A?MAYER" xfId="3779"/>
    <cellStyle name="C?A?MEX.PRLLO" xfId="3780"/>
    <cellStyle name="C?A?MEX1PR" xfId="3781"/>
    <cellStyle name="C?A?mex3PR" xfId="3782"/>
    <cellStyle name="C?A?MEXICAN PAYROLL(JAN)PO" xfId="3783"/>
    <cellStyle name="C?A?MHXI" xfId="3784"/>
    <cellStyle name="C?A?MONTHLY PRODOL" xfId="3785"/>
    <cellStyle name="C?A?OCT98LY" xfId="3786"/>
    <cellStyle name="C?A?OVERHEAD. MISCL(" xfId="3787"/>
    <cellStyle name="C?A?P&amp;L~ADV. PRODCL" xfId="3788"/>
    <cellStyle name="C?A?PLAN`98(6.15)CL" xfId="3789"/>
    <cellStyle name="C?A?PRD(12)(6" xfId="3790"/>
    <cellStyle name="C?A?PRDN`" xfId="3791"/>
    <cellStyle name="C?A?PRO.SALE.INV._1(J" xfId="3792"/>
    <cellStyle name="C?A?PRO.SALE.INV.CL" xfId="3793"/>
    <cellStyle name="C?A?PROD REPORT3._" xfId="3794"/>
    <cellStyle name="C?A?PROD REPORTV." xfId="3795"/>
    <cellStyle name="C?A?PROD(FEB)RT" xfId="3796"/>
    <cellStyle name="C?A?PROD(JAN)RT" xfId="3797"/>
    <cellStyle name="C?A?PROD.COSTING._" xfId="3798"/>
    <cellStyle name="C?A?PROD.COSTRT" xfId="3799"/>
    <cellStyle name="C?A?PROD.JA" xfId="3800"/>
    <cellStyle name="C?A?PROD.MAYTI" xfId="3801"/>
    <cellStyle name="C?A?PROD.SALEIN" xfId="3802"/>
    <cellStyle name="C?A?REEFERAL" xfId="3803"/>
    <cellStyle name="C?A?Sheet1 (2)_1._" xfId="3804"/>
    <cellStyle name="C?A?Sheet1 (2)NG" xfId="3805"/>
    <cellStyle name="C?A?Sheet1_¸¸±aµµ·¡ONTHLY PR" xfId="3806"/>
    <cellStyle name="C?A?Sheet1AL" xfId="3807"/>
    <cellStyle name="C?A?Sheet3_w" xfId="3808"/>
    <cellStyle name="C?A?Sheet4_w" xfId="3809"/>
    <cellStyle name="C?A?Sheet5 (2)ra" xfId="3810"/>
    <cellStyle name="C?A?Sheet5_w" xfId="3811"/>
    <cellStyle name="C?A?SUBCONTRACTOR COSTS1-" xfId="3812"/>
    <cellStyle name="C?A?SUMMARYRA" xfId="3813"/>
    <cellStyle name="C?A?TCMM" xfId="3814"/>
    <cellStyle name="C?A?Tgt97-Chassis C" xfId="3815"/>
    <cellStyle name="C?A?TRANSACTION (2)OS" xfId="3816"/>
    <cellStyle name="C?A?TRANSACTIONis" xfId="3817"/>
    <cellStyle name="C?A?US PAYROLL(JAN)OS" xfId="3818"/>
    <cellStyle name="C?A?US.PRLRO" xfId="3819"/>
    <cellStyle name="C?A?VT.P" xfId="3820"/>
    <cellStyle name="C?A?warrantyA?¤A?I (2)_¼OAI(AUG»y»e) (2)3ysis(JU" xfId="3821"/>
    <cellStyle name="C?A?warrantyA?¤A?I (2)-3))O" xfId="3822"/>
    <cellStyle name="C?A?warrantyA?¤A?I_¼OAI(AUG»y»e) (2)sis(JUN)" xfId="3823"/>
    <cellStyle name="C?A?warrantyA?¤A?ISTS1-" xfId="3824"/>
    <cellStyle name="C?A?WARRANTYLL" xfId="3825"/>
    <cellStyle name="C?A?WIP.DETAIL_¼OAI(AUG»y»e) (2)3ysis" xfId="3826"/>
    <cellStyle name="C?A?WIP.DETAILA " xfId="3827"/>
    <cellStyle name="C?A?wipra" xfId="3828"/>
    <cellStyle name="C?A?WK1.D" xfId="3829"/>
    <cellStyle name="C?A?WK2.D" xfId="3830"/>
    <cellStyle name="C?A?WK3.D" xfId="3831"/>
    <cellStyle name="C?A?WK4.D" xfId="3832"/>
    <cellStyle name="C?ERIA?R???I_?ER??R?쬕?ERAi?ERicAc?ER??Ri " xfId="3833"/>
    <cellStyle name="C?RIA?㎤?_96?쬾??R?쬸OBD " xfId="3834"/>
    <cellStyle name="C¡?A¨ª_2000¨?OER " xfId="3835"/>
    <cellStyle name="C¡ERIA￠R¡×¡§¡I_¡ER¡§￠R¡§I¡ERAi¡ERicAc¡ER¡§￠Ri " xfId="3836"/>
    <cellStyle name="C¡IA¨ª_¡¾a¨uE " xfId="3837"/>
    <cellStyle name="C¡ÍA¨ª_¨ùOAI(RIO)" xfId="3838"/>
    <cellStyle name="C¡IA¨ª_¨uoAOCaA￠´¨oA¡io " xfId="3839"/>
    <cellStyle name="C¡ÍA¨ª_2000¨ùOER " xfId="3840"/>
    <cellStyle name="C¡IA¨ª_2000¨uOER _1월채권" xfId="3841"/>
    <cellStyle name="C¡ÍA¨ª_C¡¿¢¬n¢¯u¨¬n¢¯e " xfId="3842"/>
    <cellStyle name="C¡IA¨ª_M105CDT " xfId="3843"/>
    <cellStyle name="C¡ÍA¨ª_M105CDT " xfId="3844"/>
    <cellStyle name="C¡IA¨ª_M107CDT " xfId="3845"/>
    <cellStyle name="C¡ÍA¨ª_M107CDT " xfId="3846"/>
    <cellStyle name="C￠RIA¡§¨￡_¡§￠Ro￠R¨¡¡ERC￠RI" xfId="3847"/>
    <cellStyle name="C￥AØ_ 10AE " xfId="3848"/>
    <cellStyle name="Ç¥ÁØ_(Á¤º¸ºÎ¹®)¿ùº°ÀÎ¿ø°èÈ¹" xfId="3849"/>
    <cellStyle name="C￥AØ_¡ßFO AoAUºnºn±³ " xfId="3850"/>
    <cellStyle name="Ç¥ÁØ_¡ßFO ÅõÀÚºñºñ±³ " xfId="3851"/>
    <cellStyle name="C￥AØ_¸i´U" xfId="3852"/>
    <cellStyle name="Ç¥ÁØ_¸ñÂ÷ " xfId="3853"/>
    <cellStyle name="C￥AØ_¸nA÷ _XD FL 팀별 계정별 기획예산 (1023)" xfId="3854"/>
    <cellStyle name="Ç¥ÁØ_¿¬±¸¼Ò °ø»çÇöÈ² " xfId="3855"/>
    <cellStyle name="C￥AØ_¿￢±¸¼O °ø≫cCoE² " xfId="3856"/>
    <cellStyle name="Ç¥ÁØ_¿µ¾÷ÇöÈ² " xfId="3857"/>
    <cellStyle name="C￥AØ_¿i¿μ¾E " xfId="3858"/>
    <cellStyle name="Ç¥ÁØ_±³À°ÀÏÁ¤ " xfId="3859"/>
    <cellStyle name="C￥AØ_±a¾E " xfId="3860"/>
    <cellStyle name="Ç¥ÁØ_±â¾È " xfId="3861"/>
    <cellStyle name="C￥AØ_±a¾E¿eAo_KDº?μ¿ " xfId="3862"/>
    <cellStyle name="Ç¥ÁØ_±âÁØÇ¥" xfId="3863"/>
    <cellStyle name="C￥AØ_±YºnAy°¨" xfId="3864"/>
    <cellStyle name="Ç¥ÁØ_»ç¾÷ºÎº° ÃÑ°è " xfId="3865"/>
    <cellStyle name="C￥AØ_≫c¾÷ºIº° AN°e " xfId="3866"/>
    <cellStyle name="Ç¥ÁØ_°¡¼Ö¸°ÀÏÁ¤_µ?Á©ÀÏÁ¤ " xfId="3867"/>
    <cellStyle name="C￥AØ_°¡¼O¸°AIA¤_μðAⓒAIA¤ " xfId="3868"/>
    <cellStyle name="Ç¥ÁØ_°³¹ßÀÏÁ¤ " xfId="3869"/>
    <cellStyle name="C￥AØ_°³¹ßAIA¤  (2)_°³¹ßAIA¤ " xfId="3870"/>
    <cellStyle name="Ç¥ÁØ_°³¹ßÀÏÁ¤  (2)_°³¹ßÀÏÁ¤ " xfId="3871"/>
    <cellStyle name="C￥AØ_°³¹ßAIA¤  (2)_°³¹ßAIA¤ _■ 2006년사업계획(자재운영)-051013" xfId="3872"/>
    <cellStyle name="Ç¥ÁØ_°³¹ßÀÏÁ¤  (2)_°³¹ßÀÏÁ¤ _■ 2006년사업계획(자재운영)-051013" xfId="3873"/>
    <cellStyle name="C￥AØ_°³¹ßAIA¤  (2)_°³¹ßAIA¤ _06사업계획(전산운영)rev1 " xfId="3874"/>
    <cellStyle name="Ç¥ÁØ_°³¹ßÀÏÁ¤  (2)_°³¹ßÀÏÁ¤ _06사업계획(전산운영)rev1 " xfId="3875"/>
    <cellStyle name="C￥AØ_°³¹ßAIA¤  (2)_°³¹ßAIA¤ _06사업계획(전산운영)rev1  10" xfId="3876"/>
    <cellStyle name="Ç¥ÁØ_°³¹ßÀÏÁ¤  (2)_°³¹ßÀÏÁ¤ _06사업계획(전산운영)rev1  10" xfId="3877"/>
    <cellStyle name="C￥AØ_°³¹ßAIA¤  (2)_°³¹ßAIA¤ _06사업계획(전산운영)rev1  11" xfId="3878"/>
    <cellStyle name="Ç¥ÁØ_°³¹ßÀÏÁ¤  (2)_°³¹ßÀÏÁ¤ _06사업계획(전산운영)rev1  11" xfId="3879"/>
    <cellStyle name="C￥AØ_°³¹ßAIA¤  (2)_°³¹ßAIA¤ _06사업계획(전산운영)rev1  12" xfId="3880"/>
    <cellStyle name="Ç¥ÁØ_°³¹ßÀÏÁ¤  (2)_°³¹ßÀÏÁ¤ _06사업계획(전산운영)rev1  12" xfId="3881"/>
    <cellStyle name="C￥AØ_°³¹ßAIA¤  (2)_°³¹ßAIA¤ _06사업계획(전산운영)rev1  13" xfId="3882"/>
    <cellStyle name="Ç¥ÁØ_°³¹ßÀÏÁ¤  (2)_°³¹ßÀÏÁ¤ _06사업계획(전산운영)rev1  13" xfId="3883"/>
    <cellStyle name="C￥AØ_°³¹ßAIA¤  (2)_°³¹ßAIA¤ _06사업계획(전산운영)rev1  14" xfId="3884"/>
    <cellStyle name="Ç¥ÁØ_°³¹ßÀÏÁ¤  (2)_°³¹ßÀÏÁ¤ _06사업계획(전산운영)rev1  14" xfId="3885"/>
    <cellStyle name="C￥AØ_°³¹ßAIA¤  (2)_°³¹ßAIA¤ _06사업계획(전산운영)rev1  2" xfId="3886"/>
    <cellStyle name="Ç¥ÁØ_°³¹ßÀÏÁ¤  (2)_°³¹ßÀÏÁ¤ _06사업계획(전산운영)rev1  2" xfId="3887"/>
    <cellStyle name="C￥AØ_°³¹ßAIA¤  (2)_°³¹ßAIA¤ _06사업계획(전산운영)rev1  3" xfId="3888"/>
    <cellStyle name="Ç¥ÁØ_°³¹ßÀÏÁ¤  (2)_°³¹ßÀÏÁ¤ _06사업계획(전산운영)rev1  3" xfId="3889"/>
    <cellStyle name="C￥AØ_°³¹ßAIA¤  (2)_°³¹ßAIA¤ _06사업계획(전산운영)rev1  4" xfId="3890"/>
    <cellStyle name="Ç¥ÁØ_°³¹ßÀÏÁ¤  (2)_°³¹ßÀÏÁ¤ _06사업계획(전산운영)rev1  4" xfId="3891"/>
    <cellStyle name="C￥AØ_°³¹ßAIA¤  (2)_°³¹ßAIA¤ _06사업계획(전산운영)rev1  5" xfId="3892"/>
    <cellStyle name="Ç¥ÁØ_°³¹ßÀÏÁ¤  (2)_°³¹ßÀÏÁ¤ _06사업계획(전산운영)rev1  5" xfId="3893"/>
    <cellStyle name="C￥AØ_°³¹ßAIA¤  (2)_°³¹ßAIA¤ _06사업계획(전산운영)rev1  6" xfId="3894"/>
    <cellStyle name="Ç¥ÁØ_°³¹ßÀÏÁ¤  (2)_°³¹ßÀÏÁ¤ _06사업계획(전산운영)rev1  6" xfId="3895"/>
    <cellStyle name="C￥AØ_°³¹ßAIA¤  (2)_°³¹ßAIA¤ _06사업계획(전산운영)rev1  7" xfId="3896"/>
    <cellStyle name="Ç¥ÁØ_°³¹ßÀÏÁ¤  (2)_°³¹ßÀÏÁ¤ _06사업계획(전산운영)rev1  7" xfId="3897"/>
    <cellStyle name="C￥AØ_°³¹ßAIA¤  (2)_°³¹ßAIA¤ _06사업계획(전산운영)rev1  8" xfId="3898"/>
    <cellStyle name="Ç¥ÁØ_°³¹ßÀÏÁ¤  (2)_°³¹ßÀÏÁ¤ _06사업계획(전산운영)rev1  8" xfId="3899"/>
    <cellStyle name="C￥AØ_°³¹ßAIA¤  (2)_°³¹ßAIA¤ _06사업계획(전산운영)rev1  9" xfId="3900"/>
    <cellStyle name="Ç¥ÁØ_°³¹ßÀÏÁ¤  (2)_°³¹ßÀÏÁ¤ _06사업계획(전산운영)rev1  9" xfId="3901"/>
    <cellStyle name="C￥AØ_°³¹ßAIA¤  (2)_°³¹ßAIA¤ _2006투자예산(경주A)" xfId="3902"/>
    <cellStyle name="Ç¥ÁØ_°³¹ßÀÏÁ¤  (2)_°³¹ßÀÏÁ¤ _2006투자예산(경주A)" xfId="3903"/>
    <cellStyle name="C￥AØ_°³¹ßAIA¤  (2)_°³¹ßAIA¤ _2006투자예산(경주A) 10" xfId="3904"/>
    <cellStyle name="Ç¥ÁØ_°³¹ßÀÏÁ¤  (2)_°³¹ßÀÏÁ¤ _2006투자예산(경주A) 10" xfId="3905"/>
    <cellStyle name="C￥AØ_°³¹ßAIA¤  (2)_°³¹ßAIA¤ _2006투자예산(경주A) 11" xfId="3906"/>
    <cellStyle name="Ç¥ÁØ_°³¹ßÀÏÁ¤  (2)_°³¹ßÀÏÁ¤ _2006투자예산(경주A) 11" xfId="3907"/>
    <cellStyle name="C￥AØ_°³¹ßAIA¤  (2)_°³¹ßAIA¤ _2006투자예산(경주A) 12" xfId="3908"/>
    <cellStyle name="Ç¥ÁØ_°³¹ßÀÏÁ¤  (2)_°³¹ßÀÏÁ¤ _2006투자예산(경주A) 12" xfId="3909"/>
    <cellStyle name="C￥AØ_°³¹ßAIA¤  (2)_°³¹ßAIA¤ _2006투자예산(경주A) 13" xfId="3910"/>
    <cellStyle name="Ç¥ÁØ_°³¹ßÀÏÁ¤  (2)_°³¹ßÀÏÁ¤ _2006투자예산(경주A) 13" xfId="3911"/>
    <cellStyle name="C￥AØ_°³¹ßAIA¤  (2)_°³¹ßAIA¤ _2006투자예산(경주A) 14" xfId="3912"/>
    <cellStyle name="Ç¥ÁØ_°³¹ßÀÏÁ¤  (2)_°³¹ßÀÏÁ¤ _2006투자예산(경주A) 14" xfId="3913"/>
    <cellStyle name="C￥AØ_°³¹ßAIA¤  (2)_°³¹ßAIA¤ _2006투자예산(경주A) 2" xfId="3914"/>
    <cellStyle name="Ç¥ÁØ_°³¹ßÀÏÁ¤  (2)_°³¹ßÀÏÁ¤ _2006투자예산(경주A) 2" xfId="3915"/>
    <cellStyle name="C￥AØ_°³¹ßAIA¤  (2)_°³¹ßAIA¤ _2006투자예산(경주A) 3" xfId="3916"/>
    <cellStyle name="Ç¥ÁØ_°³¹ßÀÏÁ¤  (2)_°³¹ßÀÏÁ¤ _2006투자예산(경주A) 3" xfId="3917"/>
    <cellStyle name="C￥AØ_°³¹ßAIA¤  (2)_°³¹ßAIA¤ _2006투자예산(경주A) 4" xfId="3918"/>
    <cellStyle name="Ç¥ÁØ_°³¹ßÀÏÁ¤  (2)_°³¹ßÀÏÁ¤ _2006투자예산(경주A) 4" xfId="3919"/>
    <cellStyle name="C￥AØ_°³¹ßAIA¤  (2)_°³¹ßAIA¤ _2006투자예산(경주A) 5" xfId="3920"/>
    <cellStyle name="Ç¥ÁØ_°³¹ßÀÏÁ¤  (2)_°³¹ßÀÏÁ¤ _2006투자예산(경주A) 5" xfId="3921"/>
    <cellStyle name="C￥AØ_°³¹ßAIA¤  (2)_°³¹ßAIA¤ _2006투자예산(경주A) 6" xfId="3922"/>
    <cellStyle name="Ç¥ÁØ_°³¹ßÀÏÁ¤  (2)_°³¹ßÀÏÁ¤ _2006투자예산(경주A) 6" xfId="3923"/>
    <cellStyle name="C￥AØ_°³¹ßAIA¤  (2)_°³¹ßAIA¤ _2006투자예산(경주A) 7" xfId="3924"/>
    <cellStyle name="Ç¥ÁØ_°³¹ßÀÏÁ¤  (2)_°³¹ßÀÏÁ¤ _2006투자예산(경주A) 7" xfId="3925"/>
    <cellStyle name="C￥AØ_°³¹ßAIA¤  (2)_°³¹ßAIA¤ _2006투자예산(경주A) 8" xfId="3926"/>
    <cellStyle name="Ç¥ÁØ_°³¹ßÀÏÁ¤  (2)_°³¹ßÀÏÁ¤ _2006투자예산(경주A) 8" xfId="3927"/>
    <cellStyle name="C￥AØ_°³¹ßAIA¤  (2)_°³¹ßAIA¤ _2006투자예산(경주A) 9" xfId="3928"/>
    <cellStyle name="Ç¥ÁØ_°³¹ßÀÏÁ¤  (2)_°³¹ßÀÏÁ¤ _2006투자예산(경주A) 9" xfId="3929"/>
    <cellStyle name="C￥AØ_°³¹ßAIA¤  (2)_°³¹ßAIA¤ _2006투자예산(경주A)-20051019" xfId="3930"/>
    <cellStyle name="Ç¥ÁØ_°³¹ßÀÏÁ¤  (2)_°³¹ßÀÏÁ¤ _2006투자예산(경주A)-20051019" xfId="3931"/>
    <cellStyle name="C￥AØ_°³¹ßAIA¤  (2)_°³¹ßAIA¤ _2006투자예산(경주A)-20051019 10" xfId="3932"/>
    <cellStyle name="Ç¥ÁØ_°³¹ßÀÏÁ¤  (2)_°³¹ßÀÏÁ¤ _2006투자예산(경주A)-20051019 10" xfId="3933"/>
    <cellStyle name="C￥AØ_°³¹ßAIA¤  (2)_°³¹ßAIA¤ _2006투자예산(경주A)-20051019 11" xfId="3934"/>
    <cellStyle name="Ç¥ÁØ_°³¹ßÀÏÁ¤  (2)_°³¹ßÀÏÁ¤ _2006투자예산(경주A)-20051019 11" xfId="3935"/>
    <cellStyle name="C￥AØ_°³¹ßAIA¤  (2)_°³¹ßAIA¤ _2006투자예산(경주A)-20051019 12" xfId="3936"/>
    <cellStyle name="Ç¥ÁØ_°³¹ßÀÏÁ¤  (2)_°³¹ßÀÏÁ¤ _2006투자예산(경주A)-20051019 12" xfId="3937"/>
    <cellStyle name="C￥AØ_°³¹ßAIA¤  (2)_°³¹ßAIA¤ _2006투자예산(경주A)-20051019 13" xfId="3938"/>
    <cellStyle name="Ç¥ÁØ_°³¹ßÀÏÁ¤  (2)_°³¹ßÀÏÁ¤ _2006투자예산(경주A)-20051019 13" xfId="3939"/>
    <cellStyle name="C￥AØ_°³¹ßAIA¤  (2)_°³¹ßAIA¤ _2006투자예산(경주A)-20051019 14" xfId="3940"/>
    <cellStyle name="Ç¥ÁØ_°³¹ßÀÏÁ¤  (2)_°³¹ßÀÏÁ¤ _2006투자예산(경주A)-20051019 14" xfId="3941"/>
    <cellStyle name="C￥AØ_°³¹ßAIA¤  (2)_°³¹ßAIA¤ _2006투자예산(경주A)-20051019 2" xfId="3942"/>
    <cellStyle name="Ç¥ÁØ_°³¹ßÀÏÁ¤  (2)_°³¹ßÀÏÁ¤ _2006투자예산(경주A)-20051019 2" xfId="3943"/>
    <cellStyle name="C￥AØ_°³¹ßAIA¤  (2)_°³¹ßAIA¤ _2006투자예산(경주A)-20051019 3" xfId="3944"/>
    <cellStyle name="Ç¥ÁØ_°³¹ßÀÏÁ¤  (2)_°³¹ßÀÏÁ¤ _2006투자예산(경주A)-20051019 3" xfId="3945"/>
    <cellStyle name="C￥AØ_°³¹ßAIA¤  (2)_°³¹ßAIA¤ _2006투자예산(경주A)-20051019 4" xfId="3946"/>
    <cellStyle name="Ç¥ÁØ_°³¹ßÀÏÁ¤  (2)_°³¹ßÀÏÁ¤ _2006투자예산(경주A)-20051019 4" xfId="3947"/>
    <cellStyle name="C￥AØ_°³¹ßAIA¤  (2)_°³¹ßAIA¤ _2006투자예산(경주A)-20051019 5" xfId="3948"/>
    <cellStyle name="Ç¥ÁØ_°³¹ßÀÏÁ¤  (2)_°³¹ßÀÏÁ¤ _2006투자예산(경주A)-20051019 5" xfId="3949"/>
    <cellStyle name="C￥AØ_°³¹ßAIA¤  (2)_°³¹ßAIA¤ _2006투자예산(경주A)-20051019 6" xfId="3950"/>
    <cellStyle name="Ç¥ÁØ_°³¹ßÀÏÁ¤  (2)_°³¹ßÀÏÁ¤ _2006투자예산(경주A)-20051019 6" xfId="3951"/>
    <cellStyle name="C￥AØ_°³¹ßAIA¤  (2)_°³¹ßAIA¤ _2006투자예산(경주A)-20051019 7" xfId="3952"/>
    <cellStyle name="Ç¥ÁØ_°³¹ßÀÏÁ¤  (2)_°³¹ßÀÏÁ¤ _2006투자예산(경주A)-20051019 7" xfId="3953"/>
    <cellStyle name="C￥AØ_°³¹ßAIA¤  (2)_°³¹ßAIA¤ _2006투자예산(경주A)-20051019 8" xfId="3954"/>
    <cellStyle name="Ç¥ÁØ_°³¹ßÀÏÁ¤  (2)_°³¹ßÀÏÁ¤ _2006투자예산(경주A)-20051019 8" xfId="3955"/>
    <cellStyle name="C￥AØ_°³¹ßAIA¤  (2)_°³¹ßAIA¤ _2006투자예산(경주A)-20051019 9" xfId="3956"/>
    <cellStyle name="Ç¥ÁØ_°³¹ßÀÏÁ¤  (2)_°³¹ßÀÏÁ¤ _2006투자예산(경주A)-20051019 9" xfId="3957"/>
    <cellStyle name="C￥AØ_°³¹ßAIA¤  (2)_°³¹ßAIA¤ _HMMA LDC분석(030512)" xfId="3958"/>
    <cellStyle name="Ç¥ÁØ_°³¹ßÀÏÁ¤  (2)_°³¹ßÀÏÁ¤ _HMMA LDC분석(030512)" xfId="3959"/>
    <cellStyle name="C￥AØ_°³¹ßAIA¤  (2)_°³¹ßAIA¤ _LDC산출(NF2.4_GL_MT)Rev2(HMMA회신기준)" xfId="3960"/>
    <cellStyle name="Ç¥ÁØ_°³¹ßÀÏÁ¤  (2)_°³¹ßÀÏÁ¤ _LDC산출(NF2.4_GL_MT)Rev2(HMMA회신기준)" xfId="3961"/>
    <cellStyle name="C￥AØ_°³¹ßAIA¤  (2)_°³¹ßAIA¤ _LDC산출(NF3.3_GLS_AT)Rev2(HMMA회신기준)" xfId="3962"/>
    <cellStyle name="Ç¥ÁØ_°³¹ßÀÏÁ¤  (2)_°³¹ßÀÏÁ¤ _LDC산출(NF3.3_GLS_AT)Rev2(HMMA회신기준)" xfId="3963"/>
    <cellStyle name="C￥AØ_°³¹ßAIA¤  (2)_°³¹ßAIA¤ _NF MASTER(040202기준) 040217_YWG BJ송부 대외문첨부" xfId="3964"/>
    <cellStyle name="Ç¥ÁØ_°³¹ßÀÏÁ¤  (2)_°³¹ßÀÏÁ¤ _NF MASTER(040202기준) 040217_YWG BJ송부 대외문첨부" xfId="3965"/>
    <cellStyle name="C￥AØ_°³¹ßAIA¤  (2)_°³¹ßAIA¤ _NF MASTER(040202기준) 040217_YWG BJ송부 대외문첨부 10" xfId="3966"/>
    <cellStyle name="Ç¥ÁØ_°³¹ßÀÏÁ¤  (2)_°³¹ßÀÏÁ¤ _NF MASTER(040202기준) 040217_YWG BJ송부 대외문첨부 10" xfId="3967"/>
    <cellStyle name="C￥AØ_°³¹ßAIA¤  (2)_°³¹ßAIA¤ _NF MASTER(040202기준) 040217_YWG BJ송부 대외문첨부 11" xfId="3968"/>
    <cellStyle name="Ç¥ÁØ_°³¹ßÀÏÁ¤  (2)_°³¹ßÀÏÁ¤ _NF MASTER(040202기준) 040217_YWG BJ송부 대외문첨부 11" xfId="3969"/>
    <cellStyle name="C￥AØ_°³¹ßAIA¤  (2)_°³¹ßAIA¤ _NF MASTER(040202기준) 040217_YWG BJ송부 대외문첨부 12" xfId="3970"/>
    <cellStyle name="Ç¥ÁØ_°³¹ßÀÏÁ¤  (2)_°³¹ßÀÏÁ¤ _NF MASTER(040202기준) 040217_YWG BJ송부 대외문첨부 12" xfId="3971"/>
    <cellStyle name="C￥AØ_°³¹ßAIA¤  (2)_°³¹ßAIA¤ _NF MASTER(040202기준) 040217_YWG BJ송부 대외문첨부 13" xfId="3972"/>
    <cellStyle name="Ç¥ÁØ_°³¹ßÀÏÁ¤  (2)_°³¹ßÀÏÁ¤ _NF MASTER(040202기준) 040217_YWG BJ송부 대외문첨부 13" xfId="3973"/>
    <cellStyle name="C￥AØ_°³¹ßAIA¤  (2)_°³¹ßAIA¤ _NF MASTER(040202기준) 040217_YWG BJ송부 대외문첨부 14" xfId="3974"/>
    <cellStyle name="Ç¥ÁØ_°³¹ßÀÏÁ¤  (2)_°³¹ßÀÏÁ¤ _NF MASTER(040202기준) 040217_YWG BJ송부 대외문첨부 14" xfId="3975"/>
    <cellStyle name="C￥AØ_°³¹ßAIA¤  (2)_°³¹ßAIA¤ _NF MASTER(040202기준) 040217_YWG BJ송부 대외문첨부 2" xfId="3976"/>
    <cellStyle name="Ç¥ÁØ_°³¹ßÀÏÁ¤  (2)_°³¹ßÀÏÁ¤ _NF MASTER(040202기준) 040217_YWG BJ송부 대외문첨부 2" xfId="3977"/>
    <cellStyle name="C￥AØ_°³¹ßAIA¤  (2)_°³¹ßAIA¤ _NF MASTER(040202기준) 040217_YWG BJ송부 대외문첨부 3" xfId="3978"/>
    <cellStyle name="Ç¥ÁØ_°³¹ßÀÏÁ¤  (2)_°³¹ßÀÏÁ¤ _NF MASTER(040202기준) 040217_YWG BJ송부 대외문첨부 3" xfId="3979"/>
    <cellStyle name="C￥AØ_°³¹ßAIA¤  (2)_°³¹ßAIA¤ _NF MASTER(040202기준) 040217_YWG BJ송부 대외문첨부 4" xfId="3980"/>
    <cellStyle name="Ç¥ÁØ_°³¹ßÀÏÁ¤  (2)_°³¹ßÀÏÁ¤ _NF MASTER(040202기준) 040217_YWG BJ송부 대외문첨부 4" xfId="3981"/>
    <cellStyle name="C￥AØ_°³¹ßAIA¤  (2)_°³¹ßAIA¤ _NF MASTER(040202기준) 040217_YWG BJ송부 대외문첨부 5" xfId="3982"/>
    <cellStyle name="Ç¥ÁØ_°³¹ßÀÏÁ¤  (2)_°³¹ßÀÏÁ¤ _NF MASTER(040202기준) 040217_YWG BJ송부 대외문첨부 5" xfId="3983"/>
    <cellStyle name="C￥AØ_°³¹ßAIA¤  (2)_°³¹ßAIA¤ _NF MASTER(040202기준) 040217_YWG BJ송부 대외문첨부 6" xfId="3984"/>
    <cellStyle name="Ç¥ÁØ_°³¹ßÀÏÁ¤  (2)_°³¹ßÀÏÁ¤ _NF MASTER(040202기준) 040217_YWG BJ송부 대외문첨부 6" xfId="3985"/>
    <cellStyle name="C￥AØ_°³¹ßAIA¤  (2)_°³¹ßAIA¤ _NF MASTER(040202기준) 040217_YWG BJ송부 대외문첨부 7" xfId="3986"/>
    <cellStyle name="Ç¥ÁØ_°³¹ßÀÏÁ¤  (2)_°³¹ßÀÏÁ¤ _NF MASTER(040202기준) 040217_YWG BJ송부 대외문첨부 7" xfId="3987"/>
    <cellStyle name="C￥AØ_°³¹ßAIA¤  (2)_°³¹ßAIA¤ _NF MASTER(040202기준) 040217_YWG BJ송부 대외문첨부 8" xfId="3988"/>
    <cellStyle name="Ç¥ÁØ_°³¹ßÀÏÁ¤  (2)_°³¹ßÀÏÁ¤ _NF MASTER(040202기준) 040217_YWG BJ송부 대외문첨부 8" xfId="3989"/>
    <cellStyle name="C￥AØ_°³¹ßAIA¤  (2)_°³¹ßAIA¤ _NF MASTER(040202기준) 040217_YWG BJ송부 대외문첨부 9" xfId="3990"/>
    <cellStyle name="Ç¥ÁØ_°³¹ßÀÏÁ¤  (2)_°³¹ßÀÏÁ¤ _NF MASTER(040202기준) 040217_YWG BJ송부 대외문첨부 9" xfId="3991"/>
    <cellStyle name="C￥AØ_°ø≫c¿ø°¡" xfId="3992"/>
    <cellStyle name="Ç¥ÁØ_0N-HANDLING " xfId="3993"/>
    <cellStyle name="C￥AØ_¼oAI¼º " xfId="149"/>
    <cellStyle name="Ç¥ÁØ_½Ä´çÀÌÀü°èÈ¹" xfId="3994"/>
    <cellStyle name="C￥AØ_½A¿eμi±ÞC￥" xfId="3995"/>
    <cellStyle name="Ç¥ÁØ_¾÷¹«" xfId="3996"/>
    <cellStyle name="C￥AØ_¾÷¹≪FLOW" xfId="3997"/>
    <cellStyle name="Ç¥ÁØ_1.ÆÇ¸Å½ÇÀû " xfId="3998"/>
    <cellStyle name="C￥AØ_1.ÆC¸A½CAu _1999³a KDQR A¾CO" xfId="3999"/>
    <cellStyle name="Ç¥ÁØ_1.SUMMARY " xfId="4000"/>
    <cellStyle name="C￥AØ_1.SUMMARY _1999³a KDQR A¾CO" xfId="4001"/>
    <cellStyle name="Ç¥ÁØ_¹æ¾È" xfId="4002"/>
    <cellStyle name="C￥AØ_¹æ¾E2" xfId="4003"/>
    <cellStyle name="Ç¥ÁØ_¹æ¾È2" xfId="4004"/>
    <cellStyle name="C￥AØ_2000³a GRACE KDQR" xfId="4005"/>
    <cellStyle name="Ç¥ÁØ_3.MSCHEDULE¿µ¹® " xfId="4006"/>
    <cellStyle name="C￥AØ_3.MSCHEDULE¿μ¹R " xfId="4007"/>
    <cellStyle name="Ç¥ÁØ_³»ÀÚÀÔ°íFLOW_IPGOFLOW(LP)X)P)TS)2)be " xfId="4008"/>
    <cellStyle name="C￥AØ_3-1 ¹°·uºn" xfId="4009"/>
    <cellStyle name="Ç¥ÁØ_3PJTR°èÈ¹ " xfId="4010"/>
    <cellStyle name="C￥AØ_3PJTR°eE¹ _1999³a KDQR A¾CO" xfId="4011"/>
    <cellStyle name="Ç¥ÁØ_4 " xfId="4012"/>
    <cellStyle name="C￥AØ_4 _1999³a KDQR A¾CO" xfId="4013"/>
    <cellStyle name="Ç¥ÁØ_5-1±¤°í " xfId="4014"/>
    <cellStyle name="C￥AØ_5-1±¤°i _■ 2006년사업계획(자재운영)-051020" xfId="4015"/>
    <cellStyle name="Ç¥ÁØ_5-1±¤°í _■ 2006년사업계획(자재운영)-051020" xfId="4016"/>
    <cellStyle name="C￥AØ_5-1±¤°i _■ 2006년사업계획(자재운영)-051020 10" xfId="4017"/>
    <cellStyle name="Ç¥ÁØ_5-1±¤°í _■ 2006년사업계획(자재운영)-051020 10" xfId="4018"/>
    <cellStyle name="C￥AØ_5-1±¤°i _■ 2006년사업계획(자재운영)-051020 11" xfId="4019"/>
    <cellStyle name="Ç¥ÁØ_5-1±¤°í _■ 2006년사업계획(자재운영)-051020 11" xfId="4020"/>
    <cellStyle name="C￥AØ_5-1±¤°i _■ 2006년사업계획(자재운영)-051020 12" xfId="4021"/>
    <cellStyle name="Ç¥ÁØ_5-1±¤°í _■ 2006년사업계획(자재운영)-051020 12" xfId="4022"/>
    <cellStyle name="C￥AØ_5-1±¤°i _■ 2006년사업계획(자재운영)-051020 13" xfId="4023"/>
    <cellStyle name="Ç¥ÁØ_5-1±¤°í _■ 2006년사업계획(자재운영)-051020 13" xfId="4024"/>
    <cellStyle name="C￥AØ_5-1±¤°i _■ 2006년사업계획(자재운영)-051020 14" xfId="4025"/>
    <cellStyle name="Ç¥ÁØ_5-1±¤°í _■ 2006년사업계획(자재운영)-051020 14" xfId="4026"/>
    <cellStyle name="C￥AØ_5-1±¤°i _■ 2006년사업계획(자재운영)-051020 2" xfId="4027"/>
    <cellStyle name="Ç¥ÁØ_5-1±¤°í _■ 2006년사업계획(자재운영)-051020 2" xfId="4028"/>
    <cellStyle name="C￥AØ_5-1±¤°i _■ 2006년사업계획(자재운영)-051020 3" xfId="4029"/>
    <cellStyle name="Ç¥ÁØ_5-1±¤°í _■ 2006년사업계획(자재운영)-051020 3" xfId="4030"/>
    <cellStyle name="C￥AØ_5-1±¤°i _■ 2006년사업계획(자재운영)-051020 4" xfId="4031"/>
    <cellStyle name="Ç¥ÁØ_5-1±¤°í _■ 2006년사업계획(자재운영)-051020 4" xfId="4032"/>
    <cellStyle name="C￥AØ_5-1±¤°i _■ 2006년사업계획(자재운영)-051020 5" xfId="4033"/>
    <cellStyle name="Ç¥ÁØ_5-1±¤°í _■ 2006년사업계획(자재운영)-051020 5" xfId="4034"/>
    <cellStyle name="C￥AØ_5-1±¤°i _■ 2006년사업계획(자재운영)-051020 6" xfId="4035"/>
    <cellStyle name="Ç¥ÁØ_5-1±¤°í _■ 2006년사업계획(자재운영)-051020 6" xfId="4036"/>
    <cellStyle name="C￥AØ_5-1±¤°i _■ 2006년사업계획(자재운영)-051020 7" xfId="4037"/>
    <cellStyle name="Ç¥ÁØ_5-1±¤°í _■ 2006년사업계획(자재운영)-051020 7" xfId="4038"/>
    <cellStyle name="C￥AØ_5-1±¤°i _■ 2006년사업계획(자재운영)-051020 8" xfId="4039"/>
    <cellStyle name="Ç¥ÁØ_5-1±¤°í _■ 2006년사업계획(자재운영)-051020 8" xfId="4040"/>
    <cellStyle name="C￥AØ_5-1±¤°i _■ 2006년사업계획(자재운영)-051020 9" xfId="4041"/>
    <cellStyle name="Ç¥ÁØ_5-1±¤°í _■ 2006년사업계획(자재운영)-051020 9" xfId="4042"/>
    <cellStyle name="C￥AØ_5-1±¤°i _030930 사업계획예산안(2004)" xfId="4043"/>
    <cellStyle name="Ç¥ÁØ_5-1±¤°í _05투자계획작성-04.12.30" xfId="4044"/>
    <cellStyle name="C￥AØ_5-1±¤°i _2006년 사업계획(투자)_20051114-20051114" xfId="4045"/>
    <cellStyle name="Ç¥ÁØ_5-1±¤°í _2006년 사업계획(투자)_20051114-20051114" xfId="4046"/>
    <cellStyle name="C￥AØ_5-1±¤°i _2006년 포장자재비볼륨(사업계획)_최종_20051020" xfId="4047"/>
    <cellStyle name="Ç¥ÁØ_5-1±¤°í _2006년 포장자재비볼륨(사업계획)_최종_20051020" xfId="4048"/>
    <cellStyle name="C￥AØ_5-1±¤°i _2006년도 CKD운영팀 투자계획" xfId="4049"/>
    <cellStyle name="Ç¥ÁØ_5-1±¤°í _2006년도 CKD운영팀 투자계획" xfId="4050"/>
    <cellStyle name="C￥AØ_5-1±¤°i _2006예산(조직변경후-수익성절감) (version 1)" xfId="4051"/>
    <cellStyle name="Ç¥ÁØ_5-1±¤°í _2006투자예산(경주A)" xfId="4052"/>
    <cellStyle name="C￥AØ_5-1±¤°i _2006투자예산(경주A)-20051019" xfId="4053"/>
    <cellStyle name="Ç¥ÁØ_5-1±¤°í _2006투자예산(경주A)-20051019" xfId="4054"/>
    <cellStyle name="C￥AØ_5-1±¤°i _2006투자예산(경주A)-20051019 10" xfId="4055"/>
    <cellStyle name="Ç¥ÁØ_5-1±¤°í _2006투자예산(경주A)-20051019 10" xfId="4056"/>
    <cellStyle name="C￥AØ_5-1±¤°i _2006투자예산(경주A)-20051019 11" xfId="4057"/>
    <cellStyle name="Ç¥ÁØ_5-1±¤°í _2006투자예산(경주A)-20051019 11" xfId="4058"/>
    <cellStyle name="C￥AØ_5-1±¤°i _2006투자예산(경주A)-20051019 12" xfId="4059"/>
    <cellStyle name="Ç¥ÁØ_5-1±¤°í _2006투자예산(경주A)-20051019 12" xfId="4060"/>
    <cellStyle name="C￥AØ_5-1±¤°i _2006투자예산(경주A)-20051019 13" xfId="4061"/>
    <cellStyle name="Ç¥ÁØ_5-1±¤°í _2006투자예산(경주A)-20051019 13" xfId="4062"/>
    <cellStyle name="C￥AØ_5-1±¤°i _2006투자예산(경주A)-20051019 14" xfId="4063"/>
    <cellStyle name="Ç¥ÁØ_5-1±¤°í _2006투자예산(경주A)-20051019 14" xfId="4064"/>
    <cellStyle name="C￥AØ_5-1±¤°i _2006투자예산(경주A)-20051019 2" xfId="4065"/>
    <cellStyle name="Ç¥ÁØ_5-1±¤°í _2006투자예산(경주A)-20051019 2" xfId="4066"/>
    <cellStyle name="C￥AØ_5-1±¤°i _2006투자예산(경주A)-20051019 3" xfId="4067"/>
    <cellStyle name="Ç¥ÁØ_5-1±¤°í _2006투자예산(경주A)-20051019 3" xfId="4068"/>
    <cellStyle name="C￥AØ_5-1±¤°i _2006투자예산(경주A)-20051019 4" xfId="4069"/>
    <cellStyle name="Ç¥ÁØ_5-1±¤°í _2006투자예산(경주A)-20051019 4" xfId="4070"/>
    <cellStyle name="C￥AØ_5-1±¤°i _2006투자예산(경주A)-20051019 5" xfId="4071"/>
    <cellStyle name="Ç¥ÁØ_5-1±¤°í _2006투자예산(경주A)-20051019 5" xfId="4072"/>
    <cellStyle name="C￥AØ_5-1±¤°i _2006투자예산(경주A)-20051019 6" xfId="4073"/>
    <cellStyle name="Ç¥ÁØ_5-1±¤°í _2006투자예산(경주A)-20051019 6" xfId="4074"/>
    <cellStyle name="C￥AØ_5-1±¤°i _2006투자예산(경주A)-20051019 7" xfId="4075"/>
    <cellStyle name="Ç¥ÁØ_5-1±¤°í _2006투자예산(경주A)-20051019 7" xfId="4076"/>
    <cellStyle name="C￥AØ_5-1±¤°i _2006투자예산(경주A)-20051019 8" xfId="4077"/>
    <cellStyle name="Ç¥ÁØ_5-1±¤°í _2006투자예산(경주A)-20051019 8" xfId="4078"/>
    <cellStyle name="C￥AØ_5-1±¤°i _2006투자예산(경주A)-20051019 9" xfId="4079"/>
    <cellStyle name="Ç¥ÁØ_5-1±¤°í _2006투자예산(경주A)-20051019 9" xfId="4080"/>
    <cellStyle name="C￥AØ_5-1±¤°i _물류운영2팀-1차-20051028" xfId="4081"/>
    <cellStyle name="Ç¥ÁØ_5-1±¤°í _물류운영2팀-1차-20051028" xfId="4082"/>
    <cellStyle name="C￥AØ_5-3-3-1-1.≫y≫e±¸A¶ºÐ¼R-MAT'L¡­ " xfId="4083"/>
    <cellStyle name="Ç¥ÁØ_6-3°æÀï·Â " xfId="4084"/>
    <cellStyle name="C￥AØ_7.MASTER SCHEDULE " xfId="4085"/>
    <cellStyle name="Ç¥ÁØ_7.MASTER SCHEDULE " xfId="4086"/>
    <cellStyle name="C￥AØ_7.MASTER SCHEDULE _1999³a KDQR A¾CO" xfId="4087"/>
    <cellStyle name="Ç¥ÁØ_96ÀÎ¿ø°è2 " xfId="4088"/>
    <cellStyle name="C￥AØ_96AI¿ø°O 3 " xfId="4089"/>
    <cellStyle name="Ç¥ÁØ_96ÀÎ¿ø°Ô 3 " xfId="4090"/>
    <cellStyle name="C￥AØ_97³a" xfId="4091"/>
    <cellStyle name="Ç¥ÁØ_Ã¤±Ç¼­·ù" xfId="4092"/>
    <cellStyle name="C￥AØ_A÷¿ø½A≫o" xfId="4093"/>
    <cellStyle name="Ç¥ÁØ_Á¶Á÷µµ(12.31) " xfId="4094"/>
    <cellStyle name="C￥AØ_A¶A÷μμ" xfId="4095"/>
    <cellStyle name="Ç¥ÁØ_Ã·ºÎ2 " xfId="4096"/>
    <cellStyle name="C￥AØ_A¾CO_8HR " xfId="4097"/>
    <cellStyle name="Ç¥ÁØ_ÀÎ¿ø¹× Á¶Á÷(96.5.2.) " xfId="4098"/>
    <cellStyle name="C￥AØ_AI¿øCoE² " xfId="4099"/>
    <cellStyle name="Ç¥ÁØ_ÁÖ°£º¸°í" xfId="4100"/>
    <cellStyle name="C￥AØ_AoAUºn(ºI¼­º°,°eA¤º°) " xfId="4101"/>
    <cellStyle name="Ç¥ÁØ_ÅõÀÚºñ(ºÎ¼­º°,°èÁ¤º°) " xfId="4102"/>
    <cellStyle name="C￥AØ_ArbiteC°AC" xfId="4103"/>
    <cellStyle name="Ç¥ÁØ_ÀÚÀçº»ºÎ " xfId="4104"/>
    <cellStyle name="C￥AØ_AUAcº≫ºI " xfId="4105"/>
    <cellStyle name="Ç¥ÁØ_Áý°èÇ¥(2¿ù) " xfId="4106"/>
    <cellStyle name="C￥AØ_Ay°eC￥(2¿u) _030930 사업계획예산안(2004)" xfId="4107"/>
    <cellStyle name="Ç¥ÁØ_Áý°èÇ¥(2¿ù) _05투자계획작성-04.12.30" xfId="4108"/>
    <cellStyle name="C￥AØ_C￥Ao _1999³a KDQR A¾CO" xfId="4109"/>
    <cellStyle name="Ç¥ÁØ_Ç° " xfId="4110"/>
    <cellStyle name="C￥AØ_CN°eAIAI" xfId="4111"/>
    <cellStyle name="Ç¥ÁØ_ÇùÁ¶Àü_ÅõÀÔ°èÈ¹ " xfId="4112"/>
    <cellStyle name="C￥AØ_DELIVERY PIPE¼³°e" xfId="4113"/>
    <cellStyle name="Ç¥ÁØ_EF PAD " xfId="4114"/>
    <cellStyle name="C￥AØ_eoCoE²" xfId="4115"/>
    <cellStyle name="Ç¥ÁØ_laroux" xfId="4116"/>
    <cellStyle name="C￥AØ_laroux_°³¹ßAIA¤  (2)_°³¹ßAIA¤ " xfId="4117"/>
    <cellStyle name="Ç¥ÁØ_laroux_°³¹ßÀÏÁ¤  (2)_°³¹ßÀÏÁ¤ " xfId="4118"/>
    <cellStyle name="C￥AØ_laroux_°³¹ßAIA¤  (2)_°³¹ßAIA¤  10" xfId="4119"/>
    <cellStyle name="Ç¥ÁØ_laroux_°³¹ßÀÏÁ¤  (2)_°³¹ßÀÏÁ¤  10" xfId="4120"/>
    <cellStyle name="C￥AØ_laroux_°³¹ßAIA¤  (2)_°³¹ßAIA¤  11" xfId="4121"/>
    <cellStyle name="Ç¥ÁØ_laroux_°³¹ßÀÏÁ¤  (2)_°³¹ßÀÏÁ¤  11" xfId="4122"/>
    <cellStyle name="C￥AØ_laroux_°³¹ßAIA¤  (2)_°³¹ßAIA¤  12" xfId="4123"/>
    <cellStyle name="Ç¥ÁØ_laroux_°³¹ßÀÏÁ¤  (2)_°³¹ßÀÏÁ¤  12" xfId="4124"/>
    <cellStyle name="C￥AØ_laroux_°³¹ßAIA¤  (2)_°³¹ßAIA¤  13" xfId="4125"/>
    <cellStyle name="Ç¥ÁØ_laroux_°³¹ßÀÏÁ¤  (2)_°³¹ßÀÏÁ¤  13" xfId="4126"/>
    <cellStyle name="C￥AØ_laroux_°³¹ßAIA¤  (2)_°³¹ßAIA¤  14" xfId="4127"/>
    <cellStyle name="Ç¥ÁØ_laroux_°³¹ßÀÏÁ¤  (2)_°³¹ßÀÏÁ¤  14" xfId="4128"/>
    <cellStyle name="C￥AØ_laroux_°³¹ßAIA¤  (2)_°³¹ßAIA¤  2" xfId="4129"/>
    <cellStyle name="Ç¥ÁØ_laroux_°³¹ßÀÏÁ¤  (2)_°³¹ßÀÏÁ¤  2" xfId="4130"/>
    <cellStyle name="C￥AØ_laroux_°³¹ßAIA¤  (2)_°³¹ßAIA¤  3" xfId="4131"/>
    <cellStyle name="Ç¥ÁØ_laroux_°³¹ßÀÏÁ¤  (2)_°³¹ßÀÏÁ¤  3" xfId="4132"/>
    <cellStyle name="C￥AØ_laroux_°³¹ßAIA¤  (2)_°³¹ßAIA¤  4" xfId="4133"/>
    <cellStyle name="Ç¥ÁØ_laroux_°³¹ßÀÏÁ¤  (2)_°³¹ßÀÏÁ¤  4" xfId="4134"/>
    <cellStyle name="C￥AØ_laroux_°³¹ßAIA¤  (2)_°³¹ßAIA¤  5" xfId="4135"/>
    <cellStyle name="Ç¥ÁØ_laroux_°³¹ßÀÏÁ¤  (2)_°³¹ßÀÏÁ¤  5" xfId="4136"/>
    <cellStyle name="C￥AØ_laroux_°³¹ßAIA¤  (2)_°³¹ßAIA¤  6" xfId="4137"/>
    <cellStyle name="Ç¥ÁØ_laroux_°³¹ßÀÏÁ¤  (2)_°³¹ßÀÏÁ¤  6" xfId="4138"/>
    <cellStyle name="C￥AØ_laroux_°³¹ßAIA¤  (2)_°³¹ßAIA¤  7" xfId="4139"/>
    <cellStyle name="Ç¥ÁØ_laroux_°³¹ßÀÏÁ¤  (2)_°³¹ßÀÏÁ¤  7" xfId="4140"/>
    <cellStyle name="C￥AØ_laroux_°³¹ßAIA¤  (2)_°³¹ßAIA¤  8" xfId="4141"/>
    <cellStyle name="Ç¥ÁØ_laroux_°³¹ßÀÏÁ¤  (2)_°³¹ßÀÏÁ¤  8" xfId="4142"/>
    <cellStyle name="C￥AØ_laroux_°³¹ßAIA¤  (2)_°³¹ßAIA¤  9" xfId="4143"/>
    <cellStyle name="Ç¥ÁØ_laroux_°³¹ßÀÏÁ¤  (2)_°³¹ßÀÏÁ¤  9" xfId="4144"/>
    <cellStyle name="C￥AØ_laroux_°³¹ßAIA¤  (2)_°³¹ßAIA¤ _11월 예실적보고" xfId="4145"/>
    <cellStyle name="Ç¥ÁØ_laroux_°³¹ßÀÏÁ¤  (2)_°³¹ßÀÏÁ¤ _11월 예실적보고" xfId="4146"/>
    <cellStyle name="C￥AØ_laroux_°³¹ßAIA¤  (2)_°³¹ßAIA¤ _2005년 3월매출정리 (수정)" xfId="4147"/>
    <cellStyle name="Ç¥ÁØ_laroux_°³¹ßÀÏÁ¤  (2)_°³¹ßÀÏÁ¤ _2005년 3월매출정리 (수정)" xfId="4148"/>
    <cellStyle name="C￥AØ_laroux_°³¹ßAIA¤  (2)_°³¹ßAIA¤ _2006년 사업계획_Ver.2" xfId="4149"/>
    <cellStyle name="Ç¥ÁØ_laroux_°³¹ßÀÏÁ¤  (2)_°³¹ßÀÏÁ¤ _2006년 사업계획_Ver.2" xfId="4150"/>
    <cellStyle name="C￥AØ_laroux_°³¹ßAIA¤  (2)_°³¹ßAIA¤ _2006년 사업계획_Ver.2 10" xfId="4151"/>
    <cellStyle name="Ç¥ÁØ_laroux_°³¹ßÀÏÁ¤  (2)_°³¹ßÀÏÁ¤ _2006년 사업계획_Ver.2 10" xfId="4152"/>
    <cellStyle name="C￥AØ_laroux_°³¹ßAIA¤  (2)_°³¹ßAIA¤ _2006년 사업계획_Ver.2 11" xfId="4153"/>
    <cellStyle name="Ç¥ÁØ_laroux_°³¹ßÀÏÁ¤  (2)_°³¹ßÀÏÁ¤ _2006년 사업계획_Ver.2 11" xfId="4154"/>
    <cellStyle name="C￥AØ_laroux_°³¹ßAIA¤  (2)_°³¹ßAIA¤ _2006년 사업계획_Ver.2 12" xfId="4155"/>
    <cellStyle name="Ç¥ÁØ_laroux_°³¹ßÀÏÁ¤  (2)_°³¹ßÀÏÁ¤ _2006년 사업계획_Ver.2 12" xfId="4156"/>
    <cellStyle name="C￥AØ_laroux_°³¹ßAIA¤  (2)_°³¹ßAIA¤ _2006년 사업계획_Ver.2 13" xfId="4157"/>
    <cellStyle name="Ç¥ÁØ_laroux_°³¹ßÀÏÁ¤  (2)_°³¹ßÀÏÁ¤ _2006년 사업계획_Ver.2 13" xfId="4158"/>
    <cellStyle name="C￥AØ_laroux_°³¹ßAIA¤  (2)_°³¹ßAIA¤ _2006년 사업계획_Ver.2 14" xfId="4159"/>
    <cellStyle name="Ç¥ÁØ_laroux_°³¹ßÀÏÁ¤  (2)_°³¹ßÀÏÁ¤ _2006년 사업계획_Ver.2 14" xfId="4160"/>
    <cellStyle name="C￥AØ_laroux_°³¹ßAIA¤  (2)_°³¹ßAIA¤ _2006년 사업계획_Ver.2 2" xfId="4161"/>
    <cellStyle name="Ç¥ÁØ_laroux_°³¹ßÀÏÁ¤  (2)_°³¹ßÀÏÁ¤ _2006년 사업계획_Ver.2 2" xfId="4162"/>
    <cellStyle name="C￥AØ_laroux_°³¹ßAIA¤  (2)_°³¹ßAIA¤ _2006년 사업계획_Ver.2 3" xfId="4163"/>
    <cellStyle name="Ç¥ÁØ_laroux_°³¹ßÀÏÁ¤  (2)_°³¹ßÀÏÁ¤ _2006년 사업계획_Ver.2 3" xfId="4164"/>
    <cellStyle name="C￥AØ_laroux_°³¹ßAIA¤  (2)_°³¹ßAIA¤ _2006년 사업계획_Ver.2 4" xfId="4165"/>
    <cellStyle name="Ç¥ÁØ_laroux_°³¹ßÀÏÁ¤  (2)_°³¹ßÀÏÁ¤ _2006년 사업계획_Ver.2 4" xfId="4166"/>
    <cellStyle name="C￥AØ_laroux_°³¹ßAIA¤  (2)_°³¹ßAIA¤ _2006년 사업계획_Ver.2 5" xfId="4167"/>
    <cellStyle name="Ç¥ÁØ_laroux_°³¹ßÀÏÁ¤  (2)_°³¹ßÀÏÁ¤ _2006년 사업계획_Ver.2 5" xfId="4168"/>
    <cellStyle name="C￥AØ_laroux_°³¹ßAIA¤  (2)_°³¹ßAIA¤ _2006년 사업계획_Ver.2 6" xfId="4169"/>
    <cellStyle name="Ç¥ÁØ_laroux_°³¹ßÀÏÁ¤  (2)_°³¹ßÀÏÁ¤ _2006년 사업계획_Ver.2 6" xfId="4170"/>
    <cellStyle name="C￥AØ_laroux_°³¹ßAIA¤  (2)_°³¹ßAIA¤ _2006년 사업계획_Ver.2 7" xfId="4171"/>
    <cellStyle name="Ç¥ÁØ_laroux_°³¹ßÀÏÁ¤  (2)_°³¹ßÀÏÁ¤ _2006년 사업계획_Ver.2 7" xfId="4172"/>
    <cellStyle name="C￥AØ_laroux_°³¹ßAIA¤  (2)_°³¹ßAIA¤ _2006년 사업계획_Ver.2 8" xfId="4173"/>
    <cellStyle name="Ç¥ÁØ_laroux_°³¹ßÀÏÁ¤  (2)_°³¹ßÀÏÁ¤ _2006년 사업계획_Ver.2 8" xfId="4174"/>
    <cellStyle name="C￥AØ_laroux_°³¹ßAIA¤  (2)_°³¹ßAIA¤ _2006년 사업계획_Ver.2 9" xfId="4175"/>
    <cellStyle name="Ç¥ÁØ_laroux_°³¹ßÀÏÁ¤  (2)_°³¹ßÀÏÁ¤ _2006년 사업계획_Ver.2 9" xfId="4176"/>
    <cellStyle name="C￥AØ_laroux_°³¹ßAIA¤  (2)_°³¹ßAIA¤ _2006예산(조직변경후-수익성절감) (version 1)" xfId="4177"/>
    <cellStyle name="Ç¥ÁØ_laroux_°³¹ßÀÏÁ¤  (2)_°³¹ßÀÏÁ¤ _2006예산(조직변경후-수익성절감) (version 1)" xfId="4178"/>
    <cellStyle name="C￥AØ_laroux_°³¹ßAIA¤  (2)_°³¹ßAIA¤ _2006예산(조직변경후-수익성절감) (version 1) 10" xfId="4179"/>
    <cellStyle name="Ç¥ÁØ_laroux_°³¹ßÀÏÁ¤  (2)_°³¹ßÀÏÁ¤ _2006예산(조직변경후-수익성절감) (version 1) 10" xfId="4180"/>
    <cellStyle name="C￥AØ_laroux_°³¹ßAIA¤  (2)_°³¹ßAIA¤ _2006예산(조직변경후-수익성절감) (version 1) 11" xfId="4181"/>
    <cellStyle name="Ç¥ÁØ_laroux_°³¹ßÀÏÁ¤  (2)_°³¹ßÀÏÁ¤ _2006예산(조직변경후-수익성절감) (version 1) 11" xfId="4182"/>
    <cellStyle name="C￥AØ_laroux_°³¹ßAIA¤  (2)_°³¹ßAIA¤ _2006예산(조직변경후-수익성절감) (version 1) 12" xfId="4183"/>
    <cellStyle name="Ç¥ÁØ_laroux_°³¹ßÀÏÁ¤  (2)_°³¹ßÀÏÁ¤ _2006예산(조직변경후-수익성절감) (version 1) 12" xfId="4184"/>
    <cellStyle name="C￥AØ_laroux_°³¹ßAIA¤  (2)_°³¹ßAIA¤ _2006예산(조직변경후-수익성절감) (version 1) 13" xfId="4185"/>
    <cellStyle name="Ç¥ÁØ_laroux_°³¹ßÀÏÁ¤  (2)_°³¹ßÀÏÁ¤ _2006예산(조직변경후-수익성절감) (version 1) 13" xfId="4186"/>
    <cellStyle name="C￥AØ_laroux_°³¹ßAIA¤  (2)_°³¹ßAIA¤ _2006예산(조직변경후-수익성절감) (version 1) 14" xfId="4187"/>
    <cellStyle name="Ç¥ÁØ_laroux_°³¹ßÀÏÁ¤  (2)_°³¹ßÀÏÁ¤ _2006예산(조직변경후-수익성절감) (version 1) 14" xfId="4188"/>
    <cellStyle name="C￥AØ_laroux_°³¹ßAIA¤  (2)_°³¹ßAIA¤ _2006예산(조직변경후-수익성절감) (version 1) 2" xfId="4189"/>
    <cellStyle name="Ç¥ÁØ_laroux_°³¹ßÀÏÁ¤  (2)_°³¹ßÀÏÁ¤ _2006예산(조직변경후-수익성절감) (version 1) 2" xfId="4190"/>
    <cellStyle name="C￥AØ_laroux_°³¹ßAIA¤  (2)_°³¹ßAIA¤ _2006예산(조직변경후-수익성절감) (version 1) 3" xfId="4191"/>
    <cellStyle name="Ç¥ÁØ_laroux_°³¹ßÀÏÁ¤  (2)_°³¹ßÀÏÁ¤ _2006예산(조직변경후-수익성절감) (version 1) 3" xfId="4192"/>
    <cellStyle name="C￥AØ_laroux_°³¹ßAIA¤  (2)_°³¹ßAIA¤ _2006예산(조직변경후-수익성절감) (version 1) 4" xfId="4193"/>
    <cellStyle name="Ç¥ÁØ_laroux_°³¹ßÀÏÁ¤  (2)_°³¹ßÀÏÁ¤ _2006예산(조직변경후-수익성절감) (version 1) 4" xfId="4194"/>
    <cellStyle name="C￥AØ_laroux_°³¹ßAIA¤  (2)_°³¹ßAIA¤ _2006예산(조직변경후-수익성절감) (version 1) 5" xfId="4195"/>
    <cellStyle name="Ç¥ÁØ_laroux_°³¹ßÀÏÁ¤  (2)_°³¹ßÀÏÁ¤ _2006예산(조직변경후-수익성절감) (version 1) 5" xfId="4196"/>
    <cellStyle name="C￥AØ_laroux_°³¹ßAIA¤  (2)_°³¹ßAIA¤ _2006예산(조직변경후-수익성절감) (version 1) 6" xfId="4197"/>
    <cellStyle name="Ç¥ÁØ_laroux_°³¹ßÀÏÁ¤  (2)_°³¹ßÀÏÁ¤ _2006예산(조직변경후-수익성절감) (version 1) 6" xfId="4198"/>
    <cellStyle name="C￥AØ_laroux_°³¹ßAIA¤  (2)_°³¹ßAIA¤ _2006예산(조직변경후-수익성절감) (version 1) 7" xfId="4199"/>
    <cellStyle name="Ç¥ÁØ_laroux_°³¹ßÀÏÁ¤  (2)_°³¹ßÀÏÁ¤ _2006예산(조직변경후-수익성절감) (version 1) 7" xfId="4200"/>
    <cellStyle name="C￥AØ_laroux_°³¹ßAIA¤  (2)_°³¹ßAIA¤ _2006예산(조직변경후-수익성절감) (version 1) 8" xfId="4201"/>
    <cellStyle name="Ç¥ÁØ_laroux_°³¹ßÀÏÁ¤  (2)_°³¹ßÀÏÁ¤ _2006예산(조직변경후-수익성절감) (version 1) 8" xfId="4202"/>
    <cellStyle name="C￥AØ_laroux_°³¹ßAIA¤  (2)_°³¹ßAIA¤ _2006예산(조직변경후-수익성절감) (version 1) 9" xfId="4203"/>
    <cellStyle name="Ç¥ÁØ_laroux_°³¹ßÀÏÁ¤  (2)_°³¹ßÀÏÁ¤ _2006예산(조직변경후-수익성절감) (version 1) 9" xfId="4204"/>
    <cellStyle name="C￥AØ_laroux_°³¹ßAIA¤  (2)_°³¹ßAIA¤ _PNF검토(050406)" xfId="4205"/>
    <cellStyle name="Ç¥ÁØ_laroux_°³¹ßÀÏÁ¤  (2)_°³¹ßÀÏÁ¤ _PNF검토(050406)" xfId="4206"/>
    <cellStyle name="C￥AØ_laroux_°³¹ßAIA¤  (2)_°³¹ßAIA¤ _PNF검토(050406) 10" xfId="4207"/>
    <cellStyle name="Ç¥ÁØ_laroux_°³¹ßÀÏÁ¤  (2)_°³¹ßÀÏÁ¤ _PNF검토(050406) 10" xfId="4208"/>
    <cellStyle name="C￥AØ_laroux_°³¹ßAIA¤  (2)_°³¹ßAIA¤ _PNF검토(050406) 11" xfId="4209"/>
    <cellStyle name="Ç¥ÁØ_laroux_°³¹ßÀÏÁ¤  (2)_°³¹ßÀÏÁ¤ _PNF검토(050406) 11" xfId="4210"/>
    <cellStyle name="C￥AØ_laroux_°³¹ßAIA¤  (2)_°³¹ßAIA¤ _PNF검토(050406) 12" xfId="4211"/>
    <cellStyle name="Ç¥ÁØ_laroux_°³¹ßÀÏÁ¤  (2)_°³¹ßÀÏÁ¤ _PNF검토(050406) 12" xfId="4212"/>
    <cellStyle name="C￥AØ_laroux_°³¹ßAIA¤  (2)_°³¹ßAIA¤ _PNF검토(050406) 13" xfId="4213"/>
    <cellStyle name="Ç¥ÁØ_laroux_°³¹ßÀÏÁ¤  (2)_°³¹ßÀÏÁ¤ _PNF검토(050406) 13" xfId="4214"/>
    <cellStyle name="C￥AØ_laroux_°³¹ßAIA¤  (2)_°³¹ßAIA¤ _PNF검토(050406) 14" xfId="4215"/>
    <cellStyle name="Ç¥ÁØ_laroux_°³¹ßÀÏÁ¤  (2)_°³¹ßÀÏÁ¤ _PNF검토(050406) 14" xfId="4216"/>
    <cellStyle name="C￥AØ_laroux_°³¹ßAIA¤  (2)_°³¹ßAIA¤ _PNF검토(050406) 2" xfId="4217"/>
    <cellStyle name="Ç¥ÁØ_laroux_°³¹ßÀÏÁ¤  (2)_°³¹ßÀÏÁ¤ _PNF검토(050406) 2" xfId="4218"/>
    <cellStyle name="C￥AØ_laroux_°³¹ßAIA¤  (2)_°³¹ßAIA¤ _PNF검토(050406) 3" xfId="4219"/>
    <cellStyle name="Ç¥ÁØ_laroux_°³¹ßÀÏÁ¤  (2)_°³¹ßÀÏÁ¤ _PNF검토(050406) 3" xfId="4220"/>
    <cellStyle name="C￥AØ_laroux_°³¹ßAIA¤  (2)_°³¹ßAIA¤ _PNF검토(050406) 4" xfId="4221"/>
    <cellStyle name="Ç¥ÁØ_laroux_°³¹ßÀÏÁ¤  (2)_°³¹ßÀÏÁ¤ _PNF검토(050406) 4" xfId="4222"/>
    <cellStyle name="C￥AØ_laroux_°³¹ßAIA¤  (2)_°³¹ßAIA¤ _PNF검토(050406) 5" xfId="4223"/>
    <cellStyle name="Ç¥ÁØ_laroux_°³¹ßÀÏÁ¤  (2)_°³¹ßÀÏÁ¤ _PNF검토(050406) 5" xfId="4224"/>
    <cellStyle name="C￥AØ_laroux_°³¹ßAIA¤  (2)_°³¹ßAIA¤ _PNF검토(050406) 6" xfId="4225"/>
    <cellStyle name="Ç¥ÁØ_laroux_°³¹ßÀÏÁ¤  (2)_°³¹ßÀÏÁ¤ _PNF검토(050406) 6" xfId="4226"/>
    <cellStyle name="C￥AØ_laroux_°³¹ßAIA¤  (2)_°³¹ßAIA¤ _PNF검토(050406) 7" xfId="4227"/>
    <cellStyle name="Ç¥ÁØ_laroux_°³¹ßÀÏÁ¤  (2)_°³¹ßÀÏÁ¤ _PNF검토(050406) 7" xfId="4228"/>
    <cellStyle name="C￥AØ_laroux_°³¹ßAIA¤  (2)_°³¹ßAIA¤ _PNF검토(050406) 8" xfId="4229"/>
    <cellStyle name="Ç¥ÁØ_laroux_°³¹ßÀÏÁ¤  (2)_°³¹ßÀÏÁ¤ _PNF검토(050406) 8" xfId="4230"/>
    <cellStyle name="C￥AØ_laroux_°³¹ßAIA¤  (2)_°³¹ßAIA¤ _PNF검토(050406) 9" xfId="4231"/>
    <cellStyle name="Ç¥ÁØ_laroux_°³¹ßÀÏÁ¤  (2)_°³¹ßÀÏÁ¤ _PNF검토(050406) 9" xfId="4232"/>
    <cellStyle name="C￥AØ_laroux_°³¹ßAIA¤  (2)_°³¹ßAIA¤ _preliminary 2006_Ver.1-20051125" xfId="4233"/>
    <cellStyle name="Ç¥ÁØ_laroux_°³¹ßÀÏÁ¤  (2)_°³¹ßÀÏÁ¤ _preliminary 2006_Ver.1-20051125" xfId="4234"/>
    <cellStyle name="C￥AØ_laroux_°³¹ßAIA¤  (2)_°³¹ßAIA¤ _경영보고" xfId="4235"/>
    <cellStyle name="Ç¥ÁØ_laroux_°³¹ßÀÏÁ¤  (2)_°³¹ßÀÏÁ¤ _경영보고" xfId="4236"/>
    <cellStyle name="C￥AØ_laroux_°³¹ßAIA¤  (2)_°³¹ßAIA¤ _투자계획_Ver.2" xfId="4237"/>
    <cellStyle name="Ç¥ÁØ_laroux_°³¹ßÀÏÁ¤  (2)_°³¹ßÀÏÁ¤ _투자계획_Ver.2" xfId="4238"/>
    <cellStyle name="C￥AØ_laroux_°³¹ßAIA¤  (2)_°³¹ßAIA¤ _투자계획_Ver.2 10" xfId="4239"/>
    <cellStyle name="Ç¥ÁØ_laroux_°³¹ßÀÏÁ¤  (2)_°³¹ßÀÏÁ¤ _투자계획_Ver.2 10" xfId="4240"/>
    <cellStyle name="C￥AØ_laroux_°³¹ßAIA¤  (2)_°³¹ßAIA¤ _투자계획_Ver.2 11" xfId="4241"/>
    <cellStyle name="Ç¥ÁØ_laroux_°³¹ßÀÏÁ¤  (2)_°³¹ßÀÏÁ¤ _투자계획_Ver.2 11" xfId="4242"/>
    <cellStyle name="C￥AØ_laroux_°³¹ßAIA¤  (2)_°³¹ßAIA¤ _투자계획_Ver.2 12" xfId="4243"/>
    <cellStyle name="Ç¥ÁØ_laroux_°³¹ßÀÏÁ¤  (2)_°³¹ßÀÏÁ¤ _투자계획_Ver.2 12" xfId="4244"/>
    <cellStyle name="C￥AØ_laroux_°³¹ßAIA¤  (2)_°³¹ßAIA¤ _투자계획_Ver.2 13" xfId="4245"/>
    <cellStyle name="Ç¥ÁØ_laroux_°³¹ßÀÏÁ¤  (2)_°³¹ßÀÏÁ¤ _투자계획_Ver.2 13" xfId="4246"/>
    <cellStyle name="C￥AØ_laroux_°³¹ßAIA¤  (2)_°³¹ßAIA¤ _투자계획_Ver.2 14" xfId="4247"/>
    <cellStyle name="Ç¥ÁØ_laroux_°³¹ßÀÏÁ¤  (2)_°³¹ßÀÏÁ¤ _투자계획_Ver.2 14" xfId="4248"/>
    <cellStyle name="C￥AØ_laroux_°³¹ßAIA¤  (2)_°³¹ßAIA¤ _투자계획_Ver.2 2" xfId="4249"/>
    <cellStyle name="Ç¥ÁØ_laroux_°³¹ßÀÏÁ¤  (2)_°³¹ßÀÏÁ¤ _투자계획_Ver.2 2" xfId="4250"/>
    <cellStyle name="C￥AØ_laroux_°³¹ßAIA¤  (2)_°³¹ßAIA¤ _투자계획_Ver.2 3" xfId="4251"/>
    <cellStyle name="Ç¥ÁØ_laroux_°³¹ßÀÏÁ¤  (2)_°³¹ßÀÏÁ¤ _투자계획_Ver.2 3" xfId="4252"/>
    <cellStyle name="C￥AØ_laroux_°³¹ßAIA¤  (2)_°³¹ßAIA¤ _투자계획_Ver.2 4" xfId="4253"/>
    <cellStyle name="Ç¥ÁØ_laroux_°³¹ßÀÏÁ¤  (2)_°³¹ßÀÏÁ¤ _투자계획_Ver.2 4" xfId="4254"/>
    <cellStyle name="C￥AØ_laroux_°³¹ßAIA¤  (2)_°³¹ßAIA¤ _투자계획_Ver.2 5" xfId="4255"/>
    <cellStyle name="Ç¥ÁØ_laroux_°³¹ßÀÏÁ¤  (2)_°³¹ßÀÏÁ¤ _투자계획_Ver.2 5" xfId="4256"/>
    <cellStyle name="C￥AØ_laroux_°³¹ßAIA¤  (2)_°³¹ßAIA¤ _투자계획_Ver.2 6" xfId="4257"/>
    <cellStyle name="Ç¥ÁØ_laroux_°³¹ßÀÏÁ¤  (2)_°³¹ßÀÏÁ¤ _투자계획_Ver.2 6" xfId="4258"/>
    <cellStyle name="C￥AØ_laroux_°³¹ßAIA¤  (2)_°³¹ßAIA¤ _투자계획_Ver.2 7" xfId="4259"/>
    <cellStyle name="Ç¥ÁØ_laroux_°³¹ßÀÏÁ¤  (2)_°³¹ßÀÏÁ¤ _투자계획_Ver.2 7" xfId="4260"/>
    <cellStyle name="C￥AØ_laroux_°³¹ßAIA¤  (2)_°³¹ßAIA¤ _투자계획_Ver.2 8" xfId="4261"/>
    <cellStyle name="Ç¥ÁØ_laroux_°³¹ßÀÏÁ¤  (2)_°³¹ßÀÏÁ¤ _투자계획_Ver.2 8" xfId="4262"/>
    <cellStyle name="C￥AØ_laroux_°³¹ßAIA¤  (2)_°³¹ßAIA¤ _투자계획_Ver.2 9" xfId="4263"/>
    <cellStyle name="Ç¥ÁØ_laroux_°³¹ßÀÏÁ¤  (2)_°³¹ßÀÏÁ¤ _투자계획_Ver.2 9" xfId="4264"/>
    <cellStyle name="C￥AØ_laroux_1" xfId="4265"/>
    <cellStyle name="Ç¥ÁØ_laroux_1" xfId="4266"/>
    <cellStyle name="C￥AØ_laroux_1_°³¹ßAIA¤ " xfId="4267"/>
    <cellStyle name="Ç¥ÁØ_laroux_1_°³¹ßÀÏÁ¤ " xfId="4268"/>
    <cellStyle name="C￥AØ_laroux_2_°³¹ßAIA¤ " xfId="4269"/>
    <cellStyle name="Ç¥ÁØ_laroux_2_°³¹ßÀÏÁ¤ " xfId="4270"/>
    <cellStyle name="C￥AØ_LX A÷AIºn±³_AuEA A÷AIºn±³ " xfId="4271"/>
    <cellStyle name="Ç¥ÁØ_lx-taxi " xfId="4272"/>
    <cellStyle name="C￥AØ_lx-taxi _1999³a KDQR A¾CO" xfId="4273"/>
    <cellStyle name="Ç¥ÁØ_MKN-M1.1 " xfId="4274"/>
    <cellStyle name="C￥AØ_MST " xfId="4275"/>
    <cellStyle name="Ç¥ÁØ_º¸°í¾ç½Ä" xfId="4276"/>
    <cellStyle name="C￥AØ_º¸°i¾c½A_1" xfId="4277"/>
    <cellStyle name="Ç¥ÁØ_º¸°í¾ç½Ä_1" xfId="4278"/>
    <cellStyle name="C￥AØ_º¸°i¾c½A_2" xfId="4279"/>
    <cellStyle name="Ç¥ÁØ_º¸°í¾ç½Ä_2" xfId="4280"/>
    <cellStyle name="C￥AØ_º¸°i¾c½A_º¸°i¾c½A" xfId="4281"/>
    <cellStyle name="Ç¥ÁØ_º¸°í¾ç½Ä_º¸°í¾ç½Ä" xfId="4282"/>
    <cellStyle name="C￥AØ_º≫≫c½AAøAI¹Y" xfId="4283"/>
    <cellStyle name="Ç¥ÁØ_page 2 " xfId="4284"/>
    <cellStyle name="C￥AØ_RDTR99ML " xfId="4285"/>
    <cellStyle name="Ç¥ÁØ_RDTR99ML " xfId="4286"/>
    <cellStyle name="C￥AØ_RR1¾E " xfId="4287"/>
    <cellStyle name="Ç¥ÁØ_Sheet1" xfId="4288"/>
    <cellStyle name="C￥AØ_Sheet1 (2)" xfId="4289"/>
    <cellStyle name="Ç¥ÁØ_Sheet1 (2)_1.SUMMARY " xfId="4290"/>
    <cellStyle name="C￥AØ_Sheet1 (2)_3.MSCHEDULE¿μ¹R " xfId="4291"/>
    <cellStyle name="Ç¥ÁØ_Sheet1_¿µ¾÷ÇöÈ² " xfId="4292"/>
    <cellStyle name="C￥AØ_Sheet1_¿μ¾÷CoE² " xfId="4293"/>
    <cellStyle name="Ç¥ÁØ_Sheet1_0N-HANDLING " xfId="4294"/>
    <cellStyle name="C￥AØ_Sheet1_1_1.SUMMARY " xfId="4295"/>
    <cellStyle name="Ç¥ÁØ_Sheet1_1_1.SUMMARY " xfId="4296"/>
    <cellStyle name="C￥AØ_Sheet1_1_3.MSCHEDULE¿μ¹R " xfId="4297"/>
    <cellStyle name="Ç¥ÁØ_Sheet1_1_XD ÃÖÁ¾ÀÏÁ¤ " xfId="4298"/>
    <cellStyle name="C￥AØ_Sheet1_3.MSCHEDULE¿μ¹R " xfId="4299"/>
    <cellStyle name="Ç¥ÁØ_Sheet1_Áý°èÇ¥(2¿ù) " xfId="4300"/>
    <cellStyle name="C￥AØ_Sheet1_Ay°eC￥(2¿u) _■ 2006년사업계획(자재운영)-051020" xfId="4301"/>
    <cellStyle name="Ç¥ÁØ_Sheet1_Áý°èÇ¥(2¿ù) _■ 2006년사업계획(자재운영)-051020" xfId="4302"/>
    <cellStyle name="C￥AØ_Sheet1_Ay°eC￥(2¿u) _■ 2006년사업계획(자재운영)-051020 10" xfId="4303"/>
    <cellStyle name="Ç¥ÁØ_Sheet1_Áý°èÇ¥(2¿ù) _■ 2006년사업계획(자재운영)-051020 10" xfId="4304"/>
    <cellStyle name="C￥AØ_Sheet1_Ay°eC￥(2¿u) _■ 2006년사업계획(자재운영)-051020 11" xfId="4305"/>
    <cellStyle name="Ç¥ÁØ_Sheet1_Áý°èÇ¥(2¿ù) _■ 2006년사업계획(자재운영)-051020 11" xfId="4306"/>
    <cellStyle name="C￥AØ_Sheet1_Ay°eC￥(2¿u) _■ 2006년사업계획(자재운영)-051020 12" xfId="4307"/>
    <cellStyle name="Ç¥ÁØ_Sheet1_Áý°èÇ¥(2¿ù) _■ 2006년사업계획(자재운영)-051020 12" xfId="4308"/>
    <cellStyle name="C￥AØ_Sheet1_Ay°eC￥(2¿u) _■ 2006년사업계획(자재운영)-051020 13" xfId="4309"/>
    <cellStyle name="Ç¥ÁØ_Sheet1_Áý°èÇ¥(2¿ù) _■ 2006년사업계획(자재운영)-051020 13" xfId="4310"/>
    <cellStyle name="C￥AØ_Sheet1_Ay°eC￥(2¿u) _■ 2006년사업계획(자재운영)-051020 14" xfId="4311"/>
    <cellStyle name="Ç¥ÁØ_Sheet1_Áý°èÇ¥(2¿ù) _■ 2006년사업계획(자재운영)-051020 14" xfId="4312"/>
    <cellStyle name="C￥AØ_Sheet1_Ay°eC￥(2¿u) _■ 2006년사업계획(자재운영)-051020 2" xfId="4313"/>
    <cellStyle name="Ç¥ÁØ_Sheet1_Áý°èÇ¥(2¿ù) _■ 2006년사업계획(자재운영)-051020 2" xfId="4314"/>
    <cellStyle name="C￥AØ_Sheet1_Ay°eC￥(2¿u) _■ 2006년사업계획(자재운영)-051020 3" xfId="4315"/>
    <cellStyle name="Ç¥ÁØ_Sheet1_Áý°èÇ¥(2¿ù) _■ 2006년사업계획(자재운영)-051020 3" xfId="4316"/>
    <cellStyle name="C￥AØ_Sheet1_Ay°eC￥(2¿u) _■ 2006년사업계획(자재운영)-051020 4" xfId="4317"/>
    <cellStyle name="Ç¥ÁØ_Sheet1_Áý°èÇ¥(2¿ù) _■ 2006년사업계획(자재운영)-051020 4" xfId="4318"/>
    <cellStyle name="C￥AØ_Sheet1_Ay°eC￥(2¿u) _■ 2006년사업계획(자재운영)-051020 5" xfId="4319"/>
    <cellStyle name="Ç¥ÁØ_Sheet1_Áý°èÇ¥(2¿ù) _■ 2006년사업계획(자재운영)-051020 5" xfId="4320"/>
    <cellStyle name="C￥AØ_Sheet1_Ay°eC￥(2¿u) _■ 2006년사업계획(자재운영)-051020 6" xfId="4321"/>
    <cellStyle name="Ç¥ÁØ_Sheet1_Áý°èÇ¥(2¿ù) _■ 2006년사업계획(자재운영)-051020 6" xfId="4322"/>
    <cellStyle name="C￥AØ_Sheet1_Ay°eC￥(2¿u) _■ 2006년사업계획(자재운영)-051020 7" xfId="4323"/>
    <cellStyle name="Ç¥ÁØ_Sheet1_Áý°èÇ¥(2¿ù) _■ 2006년사업계획(자재운영)-051020 7" xfId="4324"/>
    <cellStyle name="C￥AØ_Sheet1_Ay°eC￥(2¿u) _■ 2006년사업계획(자재운영)-051020 8" xfId="4325"/>
    <cellStyle name="Ç¥ÁØ_Sheet1_Áý°èÇ¥(2¿ù) _■ 2006년사업계획(자재운영)-051020 8" xfId="4326"/>
    <cellStyle name="C￥AØ_Sheet1_Ay°eC￥(2¿u) _■ 2006년사업계획(자재운영)-051020 9" xfId="4327"/>
    <cellStyle name="Ç¥ÁØ_Sheet1_Áý°èÇ¥(2¿ù) _■ 2006년사업계획(자재운영)-051020 9" xfId="4328"/>
    <cellStyle name="C￥AØ_Sheet1_Ay°eC￥(2¿u) _05투자계획작성-04.12.30" xfId="4329"/>
    <cellStyle name="Ç¥ÁØ_Sheet1_Áý°èÇ¥(2¿ù) _05투자계획작성-04.12.30" xfId="4330"/>
    <cellStyle name="C￥AØ_Sheet1_Ay°eC￥(2¿u) _06사업계획(전산운영)rev1 " xfId="4331"/>
    <cellStyle name="Ç¥ÁØ_Sheet1_Áý°èÇ¥(2¿ù) _06사업계획(전산운영)rev1 " xfId="4332"/>
    <cellStyle name="C￥AØ_Sheet1_Ay°eC￥(2¿u) _06사업계획(전산운영)rev1  10" xfId="4333"/>
    <cellStyle name="Ç¥ÁØ_Sheet1_Áý°èÇ¥(2¿ù) _06사업계획(전산운영)rev1  10" xfId="4334"/>
    <cellStyle name="C￥AØ_Sheet1_Ay°eC￥(2¿u) _06사업계획(전산운영)rev1  11" xfId="4335"/>
    <cellStyle name="Ç¥ÁØ_Sheet1_Áý°èÇ¥(2¿ù) _06사업계획(전산운영)rev1  11" xfId="4336"/>
    <cellStyle name="C￥AØ_Sheet1_Ay°eC￥(2¿u) _06사업계획(전산운영)rev1  12" xfId="4337"/>
    <cellStyle name="Ç¥ÁØ_Sheet1_Áý°èÇ¥(2¿ù) _06사업계획(전산운영)rev1  12" xfId="4338"/>
    <cellStyle name="C￥AØ_Sheet1_Ay°eC￥(2¿u) _06사업계획(전산운영)rev1  13" xfId="4339"/>
    <cellStyle name="Ç¥ÁØ_Sheet1_Áý°èÇ¥(2¿ù) _06사업계획(전산운영)rev1  13" xfId="4340"/>
    <cellStyle name="C￥AØ_Sheet1_Ay°eC￥(2¿u) _06사업계획(전산운영)rev1  14" xfId="4341"/>
    <cellStyle name="Ç¥ÁØ_Sheet1_Áý°èÇ¥(2¿ù) _06사업계획(전산운영)rev1  14" xfId="4342"/>
    <cellStyle name="C￥AØ_Sheet1_Ay°eC￥(2¿u) _06사업계획(전산운영)rev1  2" xfId="4343"/>
    <cellStyle name="Ç¥ÁØ_Sheet1_Áý°èÇ¥(2¿ù) _06사업계획(전산운영)rev1  2" xfId="4344"/>
    <cellStyle name="C￥AØ_Sheet1_Ay°eC￥(2¿u) _06사업계획(전산운영)rev1  3" xfId="4345"/>
    <cellStyle name="Ç¥ÁØ_Sheet1_Áý°èÇ¥(2¿ù) _06사업계획(전산운영)rev1  3" xfId="4346"/>
    <cellStyle name="C￥AØ_Sheet1_Ay°eC￥(2¿u) _06사업계획(전산운영)rev1  4" xfId="4347"/>
    <cellStyle name="Ç¥ÁØ_Sheet1_Áý°èÇ¥(2¿ù) _06사업계획(전산운영)rev1  4" xfId="4348"/>
    <cellStyle name="C￥AØ_Sheet1_Ay°eC￥(2¿u) _06사업계획(전산운영)rev1  5" xfId="4349"/>
    <cellStyle name="Ç¥ÁØ_Sheet1_Áý°èÇ¥(2¿ù) _06사업계획(전산운영)rev1  5" xfId="4350"/>
    <cellStyle name="C￥AØ_Sheet1_Ay°eC￥(2¿u) _06사업계획(전산운영)rev1  6" xfId="4351"/>
    <cellStyle name="Ç¥ÁØ_Sheet1_Áý°èÇ¥(2¿ù) _06사업계획(전산운영)rev1  6" xfId="4352"/>
    <cellStyle name="C￥AØ_Sheet1_Ay°eC￥(2¿u) _06사업계획(전산운영)rev1  7" xfId="4353"/>
    <cellStyle name="Ç¥ÁØ_Sheet1_Áý°èÇ¥(2¿ù) _06사업계획(전산운영)rev1  7" xfId="4354"/>
    <cellStyle name="C￥AØ_Sheet1_Ay°eC￥(2¿u) _06사업계획(전산운영)rev1  8" xfId="4355"/>
    <cellStyle name="Ç¥ÁØ_Sheet1_Áý°èÇ¥(2¿ù) _06사업계획(전산운영)rev1  8" xfId="4356"/>
    <cellStyle name="C￥AØ_Sheet1_Ay°eC￥(2¿u) _06사업계획(전산운영)rev1  9" xfId="4357"/>
    <cellStyle name="Ç¥ÁØ_Sheet1_Áý°èÇ¥(2¿ù) _06사업계획(전산운영)rev1  9" xfId="4358"/>
    <cellStyle name="C￥AØ_Sheet1_Ay°eC￥(2¿u) _2006년 사업계획(투자)_20051114-20051114" xfId="4359"/>
    <cellStyle name="Ç¥ÁØ_Sheet1_Áý°èÇ¥(2¿ù) _2006년 사업계획(투자)_20051114-20051114" xfId="4360"/>
    <cellStyle name="C￥AØ_Sheet1_Ay°eC￥(2¿u) _2006년 사업계획_Ver.2" xfId="4361"/>
    <cellStyle name="Ç¥ÁØ_Sheet1_Áý°èÇ¥(2¿ù) _2006년 포장자재비볼륨(사업계획)_최종_20051020" xfId="4362"/>
    <cellStyle name="C￥AØ_Sheet1_Ay°eC￥(2¿u) _2006년도 CKD운영팀 투자계획" xfId="4363"/>
    <cellStyle name="Ç¥ÁØ_Sheet1_Áý°èÇ¥(2¿ù) _2006년도 CKD운영팀 투자계획" xfId="4364"/>
    <cellStyle name="C￥AØ_Sheet1_Ay°eC￥(2¿u) _2006투자예산(경주A)" xfId="4365"/>
    <cellStyle name="Ç¥ÁØ_Sheet1_Áý°èÇ¥(2¿ù) _2006투자예산(경주A)" xfId="4366"/>
    <cellStyle name="C￥AØ_Sheet1_Ay°eC￥(2¿u) _2006투자예산(경주A) 10" xfId="4367"/>
    <cellStyle name="Ç¥ÁØ_Sheet1_Áý°èÇ¥(2¿ù) _2006투자예산(경주A) 10" xfId="4368"/>
    <cellStyle name="C￥AØ_Sheet1_Ay°eC￥(2¿u) _2006투자예산(경주A) 11" xfId="4369"/>
    <cellStyle name="Ç¥ÁØ_Sheet1_Áý°èÇ¥(2¿ù) _2006투자예산(경주A) 11" xfId="4370"/>
    <cellStyle name="C￥AØ_Sheet1_Ay°eC￥(2¿u) _2006투자예산(경주A) 12" xfId="4371"/>
    <cellStyle name="Ç¥ÁØ_Sheet1_Áý°èÇ¥(2¿ù) _2006투자예산(경주A) 12" xfId="4372"/>
    <cellStyle name="C￥AØ_Sheet1_Ay°eC￥(2¿u) _2006투자예산(경주A) 13" xfId="4373"/>
    <cellStyle name="Ç¥ÁØ_Sheet1_Áý°èÇ¥(2¿ù) _2006투자예산(경주A) 13" xfId="4374"/>
    <cellStyle name="C￥AØ_Sheet1_Ay°eC￥(2¿u) _2006투자예산(경주A) 14" xfId="4375"/>
    <cellStyle name="Ç¥ÁØ_Sheet1_Áý°èÇ¥(2¿ù) _2006투자예산(경주A) 14" xfId="4376"/>
    <cellStyle name="C￥AØ_Sheet1_Ay°eC￥(2¿u) _2006투자예산(경주A) 2" xfId="4377"/>
    <cellStyle name="Ç¥ÁØ_Sheet1_Áý°èÇ¥(2¿ù) _2006투자예산(경주A) 2" xfId="4378"/>
    <cellStyle name="C￥AØ_Sheet1_Ay°eC￥(2¿u) _2006투자예산(경주A) 3" xfId="4379"/>
    <cellStyle name="Ç¥ÁØ_Sheet1_Áý°èÇ¥(2¿ù) _2006투자예산(경주A) 3" xfId="4380"/>
    <cellStyle name="C￥AØ_Sheet1_Ay°eC￥(2¿u) _2006투자예산(경주A) 4" xfId="4381"/>
    <cellStyle name="Ç¥ÁØ_Sheet1_Áý°èÇ¥(2¿ù) _2006투자예산(경주A) 4" xfId="4382"/>
    <cellStyle name="C￥AØ_Sheet1_Ay°eC￥(2¿u) _2006투자예산(경주A) 5" xfId="4383"/>
    <cellStyle name="Ç¥ÁØ_Sheet1_Áý°èÇ¥(2¿ù) _2006투자예산(경주A) 5" xfId="4384"/>
    <cellStyle name="C￥AØ_Sheet1_Ay°eC￥(2¿u) _2006투자예산(경주A) 6" xfId="4385"/>
    <cellStyle name="Ç¥ÁØ_Sheet1_Áý°èÇ¥(2¿ù) _2006투자예산(경주A) 6" xfId="4386"/>
    <cellStyle name="C￥AØ_Sheet1_Ay°eC￥(2¿u) _2006투자예산(경주A) 7" xfId="4387"/>
    <cellStyle name="Ç¥ÁØ_Sheet1_Áý°èÇ¥(2¿ù) _2006투자예산(경주A) 7" xfId="4388"/>
    <cellStyle name="C￥AØ_Sheet1_Ay°eC￥(2¿u) _2006투자예산(경주A) 8" xfId="4389"/>
    <cellStyle name="Ç¥ÁØ_Sheet1_Áý°èÇ¥(2¿ù) _2006투자예산(경주A) 8" xfId="4390"/>
    <cellStyle name="C￥AØ_Sheet1_Ay°eC￥(2¿u) _2006투자예산(경주A) 9" xfId="4391"/>
    <cellStyle name="Ç¥ÁØ_Sheet1_Áý°èÇ¥(2¿ù) _2006투자예산(경주A) 9" xfId="4392"/>
    <cellStyle name="C￥AØ_Sheet1_Ay°eC￥(2¿u) _2006투자예산(경주A)-20051019" xfId="4393"/>
    <cellStyle name="Ç¥ÁØ_Sheet1_Áý°èÇ¥(2¿ù) _2006투자예산(경주A)-20051019" xfId="4394"/>
    <cellStyle name="C￥AØ_Sheet1_Ay°eC￥(2¿u) _2006투자예산(경주A)-20051019 10" xfId="4395"/>
    <cellStyle name="Ç¥ÁØ_Sheet1_Áý°èÇ¥(2¿ù) _2006투자예산(경주A)-20051019 10" xfId="4396"/>
    <cellStyle name="C￥AØ_Sheet1_Ay°eC￥(2¿u) _2006투자예산(경주A)-20051019 11" xfId="4397"/>
    <cellStyle name="Ç¥ÁØ_Sheet1_Áý°èÇ¥(2¿ù) _2006투자예산(경주A)-20051019 11" xfId="4398"/>
    <cellStyle name="C￥AØ_Sheet1_Ay°eC￥(2¿u) _2006투자예산(경주A)-20051019 12" xfId="4399"/>
    <cellStyle name="Ç¥ÁØ_Sheet1_Áý°èÇ¥(2¿ù) _2006투자예산(경주A)-20051019 12" xfId="4400"/>
    <cellStyle name="C￥AØ_Sheet1_Ay°eC￥(2¿u) _2006투자예산(경주A)-20051019 13" xfId="4401"/>
    <cellStyle name="Ç¥ÁØ_Sheet1_Áý°èÇ¥(2¿ù) _2006투자예산(경주A)-20051019 13" xfId="4402"/>
    <cellStyle name="C￥AØ_Sheet1_Ay°eC￥(2¿u) _2006투자예산(경주A)-20051019 14" xfId="4403"/>
    <cellStyle name="Ç¥ÁØ_Sheet1_Áý°èÇ¥(2¿ù) _2006투자예산(경주A)-20051019 14" xfId="4404"/>
    <cellStyle name="C￥AØ_Sheet1_Ay°eC￥(2¿u) _2006투자예산(경주A)-20051019 2" xfId="4405"/>
    <cellStyle name="Ç¥ÁØ_Sheet1_Áý°èÇ¥(2¿ù) _2006투자예산(경주A)-20051019 2" xfId="4406"/>
    <cellStyle name="C￥AØ_Sheet1_Ay°eC￥(2¿u) _2006투자예산(경주A)-20051019 3" xfId="4407"/>
    <cellStyle name="Ç¥ÁØ_Sheet1_Áý°èÇ¥(2¿ù) _2006투자예산(경주A)-20051019 3" xfId="4408"/>
    <cellStyle name="C￥AØ_Sheet1_Ay°eC￥(2¿u) _2006투자예산(경주A)-20051019 4" xfId="4409"/>
    <cellStyle name="Ç¥ÁØ_Sheet1_Áý°èÇ¥(2¿ù) _2006투자예산(경주A)-20051019 4" xfId="4410"/>
    <cellStyle name="C￥AØ_Sheet1_Ay°eC￥(2¿u) _2006투자예산(경주A)-20051019 5" xfId="4411"/>
    <cellStyle name="Ç¥ÁØ_Sheet1_Áý°èÇ¥(2¿ù) _2006투자예산(경주A)-20051019 5" xfId="4412"/>
    <cellStyle name="C￥AØ_Sheet1_Ay°eC￥(2¿u) _2006투자예산(경주A)-20051019 6" xfId="4413"/>
    <cellStyle name="Ç¥ÁØ_Sheet1_Áý°èÇ¥(2¿ù) _2006투자예산(경주A)-20051019 6" xfId="4414"/>
    <cellStyle name="C￥AØ_Sheet1_Ay°eC￥(2¿u) _2006투자예산(경주A)-20051019 7" xfId="4415"/>
    <cellStyle name="Ç¥ÁØ_Sheet1_Áý°èÇ¥(2¿ù) _2006투자예산(경주A)-20051019 7" xfId="4416"/>
    <cellStyle name="C￥AØ_Sheet1_Ay°eC￥(2¿u) _2006투자예산(경주A)-20051019 8" xfId="4417"/>
    <cellStyle name="Ç¥ÁØ_Sheet1_Áý°èÇ¥(2¿ù) _2006투자예산(경주A)-20051019 8" xfId="4418"/>
    <cellStyle name="C￥AØ_Sheet1_Ay°eC￥(2¿u) _2006투자예산(경주A)-20051019 9" xfId="4419"/>
    <cellStyle name="Ç¥ÁØ_Sheet1_Áý°èÇ¥(2¿ù) _2006투자예산(경주A)-20051019 9" xfId="4420"/>
    <cellStyle name="C￥AØ_Sheet1_Ay°eC￥(2¿u) _M1 1대분 포장비 산출내역-20041008" xfId="4421"/>
    <cellStyle name="Ç¥ÁØ_Sheet1_Áý°èÇ¥(2¿ù) _M1 1대분 포장비 산출내역-20041008" xfId="4422"/>
    <cellStyle name="C￥AØ_Sheet1_Ay°eC￥(2¿u) _물류운영2팀-1차-20051028" xfId="4423"/>
    <cellStyle name="Ç¥ÁØ_Sheet1_Áý°èÇ¥(2¿ù) _물류운영2팀-1차-20051028" xfId="4424"/>
    <cellStyle name="C￥AØ_Sheet1_Ay°eC￥(2¿u) _출장비 산출내역(기획)1-20041011" xfId="4425"/>
    <cellStyle name="Ç¥ÁØ_Sheet1_Áý°èÇ¥(2¿ù) _출장비 산출내역(기획)1-20041011" xfId="4426"/>
    <cellStyle name="C￥AØ_Sheet1_Ay°eC￥(2¿u) _투자계획_Ver.1-1" xfId="4427"/>
    <cellStyle name="Ç¥ÁØ_Sheet1_Áý°èÇ¥(2¿ù) _투자계획_Ver.1-1" xfId="4428"/>
    <cellStyle name="C￥AØ_Sheet1_Ay°eC￥(2¿u) _투자계획_Ver.1-1 10" xfId="4429"/>
    <cellStyle name="Ç¥ÁØ_Sheet1_Áý°èÇ¥(2¿ù) _투자계획_Ver.1-1 10" xfId="4430"/>
    <cellStyle name="C￥AØ_Sheet1_Ay°eC￥(2¿u) _투자계획_Ver.1-1 11" xfId="4431"/>
    <cellStyle name="Ç¥ÁØ_Sheet1_Áý°èÇ¥(2¿ù) _투자계획_Ver.1-1 11" xfId="4432"/>
    <cellStyle name="C￥AØ_Sheet1_Ay°eC￥(2¿u) _투자계획_Ver.1-1 12" xfId="4433"/>
    <cellStyle name="Ç¥ÁØ_Sheet1_Áý°èÇ¥(2¿ù) _투자계획_Ver.1-1 12" xfId="4434"/>
    <cellStyle name="C￥AØ_Sheet1_Ay°eC￥(2¿u) _투자계획_Ver.1-1 13" xfId="4435"/>
    <cellStyle name="Ç¥ÁØ_Sheet1_Áý°èÇ¥(2¿ù) _투자계획_Ver.1-1 13" xfId="4436"/>
    <cellStyle name="C￥AØ_Sheet1_Ay°eC￥(2¿u) _투자계획_Ver.1-1 14" xfId="4437"/>
    <cellStyle name="Ç¥ÁØ_Sheet1_Áý°èÇ¥(2¿ù) _투자계획_Ver.1-1 14" xfId="4438"/>
    <cellStyle name="C￥AØ_Sheet1_Ay°eC￥(2¿u) _투자계획_Ver.1-1 2" xfId="4439"/>
    <cellStyle name="Ç¥ÁØ_Sheet1_Áý°èÇ¥(2¿ù) _투자계획_Ver.1-1 2" xfId="4440"/>
    <cellStyle name="C￥AØ_Sheet1_Ay°eC￥(2¿u) _투자계획_Ver.1-1 3" xfId="4441"/>
    <cellStyle name="Ç¥ÁØ_Sheet1_Áý°èÇ¥(2¿ù) _투자계획_Ver.1-1 3" xfId="4442"/>
    <cellStyle name="C￥AØ_Sheet1_Ay°eC￥(2¿u) _투자계획_Ver.1-1 4" xfId="4443"/>
    <cellStyle name="Ç¥ÁØ_Sheet1_Áý°èÇ¥(2¿ù) _투자계획_Ver.1-1 4" xfId="4444"/>
    <cellStyle name="C￥AØ_Sheet1_Ay°eC￥(2¿u) _투자계획_Ver.1-1 5" xfId="4445"/>
    <cellStyle name="Ç¥ÁØ_Sheet1_Áý°èÇ¥(2¿ù) _투자계획_Ver.1-1 5" xfId="4446"/>
    <cellStyle name="C￥AØ_Sheet1_Ay°eC￥(2¿u) _투자계획_Ver.1-1 6" xfId="4447"/>
    <cellStyle name="Ç¥ÁØ_Sheet1_Áý°èÇ¥(2¿ù) _투자계획_Ver.1-1 6" xfId="4448"/>
    <cellStyle name="C￥AØ_Sheet1_Ay°eC￥(2¿u) _투자계획_Ver.1-1 7" xfId="4449"/>
    <cellStyle name="Ç¥ÁØ_Sheet1_Áý°èÇ¥(2¿ù) _투자계획_Ver.1-1 7" xfId="4450"/>
    <cellStyle name="C￥AØ_Sheet1_Ay°eC￥(2¿u) _투자계획_Ver.1-1 8" xfId="4451"/>
    <cellStyle name="Ç¥ÁØ_Sheet1_Áý°èÇ¥(2¿ù) _투자계획_Ver.1-1 8" xfId="4452"/>
    <cellStyle name="C￥AØ_Sheet1_Ay°eC￥(2¿u) _투자계획_Ver.1-1 9" xfId="4453"/>
    <cellStyle name="Ç¥ÁØ_Sheet1_Áý°èÇ¥(2¿ù) _투자계획_Ver.1-1 9" xfId="4454"/>
    <cellStyle name="C￥AØ_Sheet1_Ay°eC￥(2¿u) _투자계획_Ver.2" xfId="4455"/>
    <cellStyle name="Ç¥ÁØ_Sheet1_Áý°èÇ¥(2¿ù) _투자계획_Ver.2" xfId="4456"/>
    <cellStyle name="C￥AØ_Sheet1_Ay°eC￥(2¿u) _투자계획_Ver.2 10" xfId="4457"/>
    <cellStyle name="Ç¥ÁØ_Sheet1_Áý°èÇ¥(2¿ù) _투자계획_Ver.2 10" xfId="4458"/>
    <cellStyle name="C￥AØ_Sheet1_Ay°eC￥(2¿u) _투자계획_Ver.2 11" xfId="4459"/>
    <cellStyle name="Ç¥ÁØ_Sheet1_Áý°èÇ¥(2¿ù) _투자계획_Ver.2 11" xfId="4460"/>
    <cellStyle name="C￥AØ_Sheet1_Ay°eC￥(2¿u) _투자계획_Ver.2 12" xfId="4461"/>
    <cellStyle name="Ç¥ÁØ_Sheet1_Áý°èÇ¥(2¿ù) _투자계획_Ver.2 12" xfId="4462"/>
    <cellStyle name="C￥AØ_Sheet1_Ay°eC￥(2¿u) _투자계획_Ver.2 13" xfId="4463"/>
    <cellStyle name="Ç¥ÁØ_Sheet1_Áý°èÇ¥(2¿ù) _투자계획_Ver.2 13" xfId="4464"/>
    <cellStyle name="C￥AØ_Sheet1_Ay°eC￥(2¿u) _투자계획_Ver.2 14" xfId="4465"/>
    <cellStyle name="Ç¥ÁØ_Sheet1_Áý°èÇ¥(2¿ù) _투자계획_Ver.2 14" xfId="4466"/>
    <cellStyle name="C￥AØ_Sheet1_Ay°eC￥(2¿u) _투자계획_Ver.2 2" xfId="4467"/>
    <cellStyle name="Ç¥ÁØ_Sheet1_Áý°èÇ¥(2¿ù) _투자계획_Ver.2 2" xfId="4468"/>
    <cellStyle name="C￥AØ_Sheet1_Ay°eC￥(2¿u) _투자계획_Ver.2 3" xfId="4469"/>
    <cellStyle name="Ç¥ÁØ_Sheet1_Áý°èÇ¥(2¿ù) _투자계획_Ver.2 3" xfId="4470"/>
    <cellStyle name="C￥AØ_Sheet1_Ay°eC￥(2¿u) _투자계획_Ver.2 4" xfId="4471"/>
    <cellStyle name="Ç¥ÁØ_Sheet1_Áý°èÇ¥(2¿ù) _투자계획_Ver.2 4" xfId="4472"/>
    <cellStyle name="C￥AØ_Sheet1_Ay°eC￥(2¿u) _투자계획_Ver.2 5" xfId="4473"/>
    <cellStyle name="Ç¥ÁØ_Sheet1_Áý°èÇ¥(2¿ù) _투자계획_Ver.2 5" xfId="4474"/>
    <cellStyle name="C￥AØ_Sheet1_Ay°eC￥(2¿u) _투자계획_Ver.2 6" xfId="4475"/>
    <cellStyle name="Ç¥ÁØ_Sheet1_Áý°èÇ¥(2¿ù) _투자계획_Ver.2 6" xfId="4476"/>
    <cellStyle name="C￥AØ_Sheet1_Ay°eC￥(2¿u) _투자계획_Ver.2 7" xfId="4477"/>
    <cellStyle name="Ç¥ÁØ_Sheet1_Áý°èÇ¥(2¿ù) _투자계획_Ver.2 7" xfId="4478"/>
    <cellStyle name="C￥AØ_Sheet1_Ay°eC￥(2¿u) _투자계획_Ver.2 8" xfId="4479"/>
    <cellStyle name="Ç¥ÁØ_Sheet1_Áý°èÇ¥(2¿ù) _투자계획_Ver.2 8" xfId="4480"/>
    <cellStyle name="C￥AØ_Sheet1_Ay°eC￥(2¿u) _투자계획_Ver.2 9" xfId="4481"/>
    <cellStyle name="Ç¥ÁØ_Sheet1_Áý°èÇ¥(2¿ù) _투자계획_Ver.2 9" xfId="4482"/>
    <cellStyle name="C￥AØ_Sheet1_Ay°eC￥(2¿u) _투자계획_Ver.2-20051206" xfId="4483"/>
    <cellStyle name="Ç¥ÁØ_Sheet1_Áý°èÇ¥(2¿ù) _투자계획_Ver.2-20051206" xfId="4484"/>
    <cellStyle name="C￥AØ_Sheet1_Ay°eC￥(2¿u) _투자계획_Ver.2-20051206 10" xfId="4485"/>
    <cellStyle name="Ç¥ÁØ_Sheet1_Áý°èÇ¥(2¿ù) _투자계획_Ver.2-20051206 10" xfId="4486"/>
    <cellStyle name="C￥AØ_Sheet1_Ay°eC￥(2¿u) _투자계획_Ver.2-20051206 11" xfId="4487"/>
    <cellStyle name="Ç¥ÁØ_Sheet1_Áý°èÇ¥(2¿ù) _투자계획_Ver.2-20051206 11" xfId="4488"/>
    <cellStyle name="C￥AØ_Sheet1_Ay°eC￥(2¿u) _투자계획_Ver.2-20051206 12" xfId="4489"/>
    <cellStyle name="Ç¥ÁØ_Sheet1_Áý°èÇ¥(2¿ù) _투자계획_Ver.2-20051206 12" xfId="4490"/>
    <cellStyle name="C￥AØ_Sheet1_Ay°eC￥(2¿u) _투자계획_Ver.2-20051206 13" xfId="4491"/>
    <cellStyle name="Ç¥ÁØ_Sheet1_Áý°èÇ¥(2¿ù) _투자계획_Ver.2-20051206 13" xfId="4492"/>
    <cellStyle name="C￥AØ_Sheet1_Ay°eC￥(2¿u) _투자계획_Ver.2-20051206 14" xfId="4493"/>
    <cellStyle name="Ç¥ÁØ_Sheet1_Áý°èÇ¥(2¿ù) _투자계획_Ver.2-20051206 14" xfId="4494"/>
    <cellStyle name="C￥AØ_Sheet1_Ay°eC￥(2¿u) _투자계획_Ver.2-20051206 2" xfId="4495"/>
    <cellStyle name="Ç¥ÁØ_Sheet1_Áý°èÇ¥(2¿ù) _투자계획_Ver.2-20051206 2" xfId="4496"/>
    <cellStyle name="C￥AØ_Sheet1_Ay°eC￥(2¿u) _투자계획_Ver.2-20051206 3" xfId="4497"/>
    <cellStyle name="Ç¥ÁØ_Sheet1_Áý°èÇ¥(2¿ù) _투자계획_Ver.2-20051206 3" xfId="4498"/>
    <cellStyle name="C￥AØ_Sheet1_Ay°eC￥(2¿u) _투자계획_Ver.2-20051206 4" xfId="4499"/>
    <cellStyle name="Ç¥ÁØ_Sheet1_Áý°èÇ¥(2¿ù) _투자계획_Ver.2-20051206 4" xfId="4500"/>
    <cellStyle name="C￥AØ_Sheet1_Ay°eC￥(2¿u) _투자계획_Ver.2-20051206 5" xfId="4501"/>
    <cellStyle name="Ç¥ÁØ_Sheet1_Áý°èÇ¥(2¿ù) _투자계획_Ver.2-20051206 5" xfId="4502"/>
    <cellStyle name="C￥AØ_Sheet1_Ay°eC￥(2¿u) _투자계획_Ver.2-20051206 6" xfId="4503"/>
    <cellStyle name="Ç¥ÁØ_Sheet1_Áý°èÇ¥(2¿ù) _투자계획_Ver.2-20051206 6" xfId="4504"/>
    <cellStyle name="C￥AØ_Sheet1_Ay°eC￥(2¿u) _투자계획_Ver.2-20051206 7" xfId="4505"/>
    <cellStyle name="Ç¥ÁØ_Sheet1_Áý°èÇ¥(2¿ù) _투자계획_Ver.2-20051206 7" xfId="4506"/>
    <cellStyle name="C￥AØ_Sheet1_Ay°eC￥(2¿u) _투자계획_Ver.2-20051206 8" xfId="4507"/>
    <cellStyle name="Ç¥ÁØ_Sheet1_Áý°èÇ¥(2¿ù) _투자계획_Ver.2-20051206 8" xfId="4508"/>
    <cellStyle name="C￥AØ_Sheet1_Ay°eC￥(2¿u) _투자계획_Ver.2-20051206 9" xfId="4509"/>
    <cellStyle name="Ç¥ÁØ_Sheet1_Áý°èÇ¥(2¿ù) _투자계획_Ver.2-20051206 9" xfId="4510"/>
    <cellStyle name="C￥AØ_SMG-CKD-d1.1 " xfId="4511"/>
    <cellStyle name="Ç¥ÁØ_SMG-CKD-d1.1 " xfId="4512"/>
    <cellStyle name="C￥AØ_USAGL_¿ø´UA§ " xfId="4513"/>
    <cellStyle name="Ç¥ÁØ_W-AÇ¥ÁöTY(2-2) " xfId="4514"/>
    <cellStyle name="C￥AØ_WIPER " xfId="4515"/>
    <cellStyle name="Ç¥ÁØ_WIPER " xfId="4516"/>
    <cellStyle name="C￥AØ_WIRING " xfId="4517"/>
    <cellStyle name="Ç¥ÁØ_XD ÃÖÁ¾ÀÏÁ¤ " xfId="4518"/>
    <cellStyle name="C￥AØ_XD±aAØ " xfId="4519"/>
    <cellStyle name="Calc Currency (0)" xfId="4520"/>
    <cellStyle name="Calc Currency (2)" xfId="4521"/>
    <cellStyle name="Calc Percent (0)" xfId="4522"/>
    <cellStyle name="Calc Percent (1)" xfId="4523"/>
    <cellStyle name="Calc Percent (2)" xfId="4524"/>
    <cellStyle name="Calc Units (0)" xfId="4525"/>
    <cellStyle name="Calc Units (1)" xfId="4526"/>
    <cellStyle name="Calc Units (2)" xfId="4527"/>
    <cellStyle name="Calculation" xfId="4856"/>
    <cellStyle name="CanturySchoolbook" xfId="4528"/>
    <cellStyle name="category" xfId="4529"/>
    <cellStyle name="CenturtSchoolbook" xfId="4530"/>
    <cellStyle name="CenturySchoolbook" xfId="4531"/>
    <cellStyle name="CenturySchoolbook12" xfId="4532"/>
    <cellStyle name="Check Cell" xfId="4857"/>
    <cellStyle name="Column Heading" xfId="4533"/>
    <cellStyle name="CombinedVol_Data" xfId="4534"/>
    <cellStyle name="Comma" xfId="4535"/>
    <cellStyle name="Comma  - Style1" xfId="4536"/>
    <cellStyle name="Comma [0]" xfId="4537"/>
    <cellStyle name="Comma [00]" xfId="4538"/>
    <cellStyle name="comma zerodec" xfId="4539"/>
    <cellStyle name="Comma_ SG&amp;A Bridge " xfId="150"/>
    <cellStyle name="Comma0" xfId="4540"/>
    <cellStyle name="Copied" xfId="4541"/>
    <cellStyle name="Curren - Style2" xfId="4542"/>
    <cellStyle name="Curren?_x0012_퐀_x0017_?" xfId="4543"/>
    <cellStyle name="Currency" xfId="4544"/>
    <cellStyle name="Currency [0]" xfId="4545"/>
    <cellStyle name="Currency [00]" xfId="4546"/>
    <cellStyle name="Currency_   " xfId="4547"/>
    <cellStyle name="Currency0" xfId="4548"/>
    <cellStyle name="Currency1" xfId="4549"/>
    <cellStyle name="Currenѣ䀃 䴀礀䰀愀猀攀爀 " xfId="4550"/>
    <cellStyle name="Cu䁲rency [0]_QTR94_95_97회비" xfId="4551"/>
    <cellStyle name="Date" xfId="4552"/>
    <cellStyle name="Date Short" xfId="4553"/>
    <cellStyle name="Date_(9월~12월) 하반기 접대비 예산배포_프로젝트팀" xfId="4554"/>
    <cellStyle name="Datum" xfId="4555"/>
    <cellStyle name="Dezimal [0]_CFGPLAN" xfId="4556"/>
    <cellStyle name="Dezimal_CFGPLAN" xfId="4557"/>
    <cellStyle name="Dollar (zero dec)" xfId="4558"/>
    <cellStyle name="Edited_Data" xfId="4559"/>
    <cellStyle name="Enter Currency (0)" xfId="4560"/>
    <cellStyle name="Enter Currency (2)" xfId="4561"/>
    <cellStyle name="Enter Units (0)" xfId="4562"/>
    <cellStyle name="Enter Units (1)" xfId="4563"/>
    <cellStyle name="Enter Units (2)" xfId="4564"/>
    <cellStyle name="Entered" xfId="4565"/>
    <cellStyle name="Estimated_Data" xfId="4566"/>
    <cellStyle name="Explanatory Text" xfId="4841"/>
    <cellStyle name="F2" xfId="4567"/>
    <cellStyle name="F3" xfId="4568"/>
    <cellStyle name="F4" xfId="4569"/>
    <cellStyle name="F5" xfId="4570"/>
    <cellStyle name="F6" xfId="4571"/>
    <cellStyle name="F7" xfId="4572"/>
    <cellStyle name="F8" xfId="4573"/>
    <cellStyle name="Fest" xfId="4574"/>
    <cellStyle name="Fixed" xfId="4575"/>
    <cellStyle name="Followed Hyperlink" xfId="4576"/>
    <cellStyle name="Followed Hyperlink 2" xfId="4577"/>
    <cellStyle name="Followed Hyperlink 3" xfId="4578"/>
    <cellStyle name="Forecast_Data" xfId="4579"/>
    <cellStyle name="Good" xfId="4858"/>
    <cellStyle name="Grey" xfId="4580"/>
    <cellStyle name="HEADER" xfId="4581"/>
    <cellStyle name="Header1" xfId="4582"/>
    <cellStyle name="Header2" xfId="4583"/>
    <cellStyle name="Heading 1" xfId="4584"/>
    <cellStyle name="Heading 1 2" xfId="4859"/>
    <cellStyle name="Heading 2" xfId="4585"/>
    <cellStyle name="Heading 2 2" xfId="4860"/>
    <cellStyle name="Heading 3" xfId="4861"/>
    <cellStyle name="Heading 4" xfId="4862"/>
    <cellStyle name="heading, 1,A MAJOR/BOLD" xfId="4586"/>
    <cellStyle name="Heading1" xfId="4587"/>
    <cellStyle name="Heading2" xfId="4588"/>
    <cellStyle name="HIGHLIGHT" xfId="4589"/>
    <cellStyle name="HyperLink" xfId="151"/>
    <cellStyle name="Hyperlink 2" xfId="4591"/>
    <cellStyle name="Hyperlink 3" xfId="4592"/>
    <cellStyle name="Hyperlink 4" xfId="4590"/>
    <cellStyle name="iles|_x0005_h" xfId="4593"/>
    <cellStyle name="Input" xfId="4863"/>
    <cellStyle name="Input [yellow]" xfId="4594"/>
    <cellStyle name="Item_Current" xfId="4595"/>
    <cellStyle name="Komma" xfId="4596"/>
    <cellStyle name="Kopfzeile1" xfId="4597"/>
    <cellStyle name="Kopfzeile2" xfId="4598"/>
    <cellStyle name="les" xfId="4599"/>
    <cellStyle name="Link Currency (0)" xfId="4600"/>
    <cellStyle name="Link Currency (2)" xfId="4601"/>
    <cellStyle name="Link Units (0)" xfId="4602"/>
    <cellStyle name="Link Units (1)" xfId="4603"/>
    <cellStyle name="Link Units (2)" xfId="4604"/>
    <cellStyle name="Linked Cell" xfId="4864"/>
    <cellStyle name="Millares_AC-0-CTS" xfId="4605"/>
    <cellStyle name="Milliers [0]_AR1194" xfId="4606"/>
    <cellStyle name="Milliers_AR1194" xfId="4607"/>
    <cellStyle name="Model" xfId="4608"/>
    <cellStyle name="Mon?aire [0]_AR1194" xfId="4609"/>
    <cellStyle name="Mon?aire_AR1194" xfId="4610"/>
    <cellStyle name="Monetaire [0]_Feuil1" xfId="4611"/>
    <cellStyle name="Monetaire_Feuil1" xfId="4612"/>
    <cellStyle name="Neutral" xfId="4865"/>
    <cellStyle name="New Times Roman" xfId="4613"/>
    <cellStyle name="no dec" xfId="4614"/>
    <cellStyle name="Normal - Style1" xfId="4615"/>
    <cellStyle name="Normal - Style2" xfId="4616"/>
    <cellStyle name="Normal - Style3" xfId="4617"/>
    <cellStyle name="Normal - Style4" xfId="4618"/>
    <cellStyle name="Normal - Style5" xfId="4619"/>
    <cellStyle name="Normal - Style6" xfId="4620"/>
    <cellStyle name="Normal - Style7" xfId="4621"/>
    <cellStyle name="Normal - Style8" xfId="4622"/>
    <cellStyle name="Normal_   " xfId="4623"/>
    <cellStyle name="Normal1" xfId="4624"/>
    <cellStyle name="Normal忈OTD thru NOR " xfId="4625"/>
    <cellStyle name="Note" xfId="4866"/>
    <cellStyle name="o??귟 [0.00]_PRODUCT DETAIL Q1" xfId="4626"/>
    <cellStyle name="Œ…?æ맖?e [0.00]_laroux" xfId="4627"/>
    <cellStyle name="Œ…?æ맖?e_laroux" xfId="4628"/>
    <cellStyle name="Œ…‹æØ‚è [0.00]_PRODUCT DETAIL Q1" xfId="4629"/>
    <cellStyle name="Œ…‹æØ‚è_PRODUCT DETAIL Q1" xfId="4630"/>
    <cellStyle name="Opened HyperLink" xfId="152"/>
    <cellStyle name="Option_Added_Cont_Desc" xfId="4631"/>
    <cellStyle name="Output" xfId="4867"/>
    <cellStyle name="Percent" xfId="4632"/>
    <cellStyle name="Percent [0]" xfId="4633"/>
    <cellStyle name="Percent [00]" xfId="4634"/>
    <cellStyle name="Percent [2]" xfId="4635"/>
    <cellStyle name="Percent_#6 Temps &amp; Contractors" xfId="4636"/>
    <cellStyle name="PERCENTAGE" xfId="4637"/>
    <cellStyle name="Preliminary_Data" xfId="4638"/>
    <cellStyle name="PrePop Currency (0)" xfId="4639"/>
    <cellStyle name="PrePop Currency (2)" xfId="4640"/>
    <cellStyle name="PrePop Units (0)" xfId="4641"/>
    <cellStyle name="PrePop Units (1)" xfId="4642"/>
    <cellStyle name="PrePop Units (2)" xfId="4643"/>
    <cellStyle name="Prices_Data" xfId="4644"/>
    <cellStyle name="R?" xfId="4645"/>
    <cellStyle name="RevList" xfId="4646"/>
    <cellStyle name="sche|_x0005_" xfId="4647"/>
    <cellStyle name="Standard_AR170399_Englisch" xfId="4648"/>
    <cellStyle name="STFRM" xfId="4649"/>
    <cellStyle name="subhead" xfId="4650"/>
    <cellStyle name="Subtotal" xfId="4651"/>
    <cellStyle name="Summe" xfId="4652"/>
    <cellStyle name="Text Indent A" xfId="4653"/>
    <cellStyle name="Text Indent B" xfId="4654"/>
    <cellStyle name="Text Indent C" xfId="4655"/>
    <cellStyle name="þ_x001d_ð'&amp;Oy?Hy9_x0008__x000f__x0007_æ_x0007__x0007__x0001__x0001_" xfId="4656"/>
    <cellStyle name="Title" xfId="4657"/>
    <cellStyle name="Title 2" xfId="4868"/>
    <cellStyle name="Total" xfId="4658"/>
    <cellStyle name="Total 2" xfId="4869"/>
    <cellStyle name="Unprot" xfId="4659"/>
    <cellStyle name="Unprot$" xfId="4660"/>
    <cellStyle name="Unprot_인사월간 보고 (090210)-이니텍" xfId="4661"/>
    <cellStyle name="Unprotect" xfId="4662"/>
    <cellStyle name="Vehicle_Benchmark" xfId="4663"/>
    <cellStyle name="Version_Header" xfId="4664"/>
    <cellStyle name="Volumes_Data" xfId="4665"/>
    <cellStyle name="Währung [0]_CFGPLAN" xfId="4666"/>
    <cellStyle name="Währung_CFGPLAN" xfId="4667"/>
    <cellStyle name="Warning Text" xfId="4870"/>
    <cellStyle name="WŽhrung" xfId="4668"/>
    <cellStyle name="XLS'|_x0005_t" xfId="4669"/>
    <cellStyle name="ܪb♈Ƃܺb♬Ƃ݊b⚜Ƃݚb⛘Ƃݪb⧨Ƃݺb⨤Ƃފb⩔Ƃޚb⩸Ƃުb⪤Ƃ޺b Ƃ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" xfId="4670"/>
    <cellStyle name="강조색1 2" xfId="153"/>
    <cellStyle name="강조색1 2 2" xfId="154"/>
    <cellStyle name="강조색1 2 3" xfId="4671"/>
    <cellStyle name="강조색1 3" xfId="155"/>
    <cellStyle name="강조색1 4" xfId="156"/>
    <cellStyle name="강조색1 5" xfId="157"/>
    <cellStyle name="강조색1 6" xfId="158"/>
    <cellStyle name="강조색2 2" xfId="159"/>
    <cellStyle name="강조색2 2 2" xfId="160"/>
    <cellStyle name="강조색2 2 3" xfId="4672"/>
    <cellStyle name="강조색2 3" xfId="161"/>
    <cellStyle name="강조색2 4" xfId="162"/>
    <cellStyle name="강조색2 5" xfId="163"/>
    <cellStyle name="강조색2 6" xfId="164"/>
    <cellStyle name="강조색3 2" xfId="165"/>
    <cellStyle name="강조색3 2 2" xfId="166"/>
    <cellStyle name="강조색3 2 3" xfId="4673"/>
    <cellStyle name="강조색3 3" xfId="167"/>
    <cellStyle name="강조색3 4" xfId="168"/>
    <cellStyle name="강조색3 5" xfId="169"/>
    <cellStyle name="강조색3 6" xfId="170"/>
    <cellStyle name="강조색4 2" xfId="171"/>
    <cellStyle name="강조색4 2 2" xfId="172"/>
    <cellStyle name="강조색4 2 3" xfId="4674"/>
    <cellStyle name="강조색4 3" xfId="173"/>
    <cellStyle name="강조색4 4" xfId="174"/>
    <cellStyle name="강조색4 5" xfId="175"/>
    <cellStyle name="강조색4 6" xfId="176"/>
    <cellStyle name="강조색5 2" xfId="177"/>
    <cellStyle name="강조색5 2 2" xfId="178"/>
    <cellStyle name="강조색5 2 3" xfId="4675"/>
    <cellStyle name="강조색5 3" xfId="179"/>
    <cellStyle name="강조색5 4" xfId="180"/>
    <cellStyle name="강조색5 5" xfId="181"/>
    <cellStyle name="강조색5 6" xfId="182"/>
    <cellStyle name="강조색6 2" xfId="183"/>
    <cellStyle name="강조색6 2 2" xfId="184"/>
    <cellStyle name="강조색6 2 3" xfId="4676"/>
    <cellStyle name="강조색6 3" xfId="185"/>
    <cellStyle name="강조색6 4" xfId="186"/>
    <cellStyle name="강조색6 5" xfId="187"/>
    <cellStyle name="강조색6 6" xfId="188"/>
    <cellStyle name="경고문 2" xfId="189"/>
    <cellStyle name="경고문 2 2" xfId="190"/>
    <cellStyle name="경고문 2 3" xfId="4677"/>
    <cellStyle name="경고문 3" xfId="191"/>
    <cellStyle name="경고문 4" xfId="192"/>
    <cellStyle name="경고문 5" xfId="193"/>
    <cellStyle name="경고문 6" xfId="194"/>
    <cellStyle name="계산 2" xfId="195"/>
    <cellStyle name="계산 2 10" xfId="196"/>
    <cellStyle name="계산 2 10 2" xfId="197"/>
    <cellStyle name="계산 2 11" xfId="198"/>
    <cellStyle name="계산 2 11 2" xfId="199"/>
    <cellStyle name="계산 2 12" xfId="200"/>
    <cellStyle name="계산 2 12 2" xfId="201"/>
    <cellStyle name="계산 2 13" xfId="202"/>
    <cellStyle name="계산 2 13 2" xfId="203"/>
    <cellStyle name="계산 2 14" xfId="204"/>
    <cellStyle name="계산 2 14 2" xfId="205"/>
    <cellStyle name="계산 2 15" xfId="206"/>
    <cellStyle name="계산 2 15 2" xfId="207"/>
    <cellStyle name="계산 2 16" xfId="208"/>
    <cellStyle name="계산 2 16 2" xfId="209"/>
    <cellStyle name="계산 2 17" xfId="210"/>
    <cellStyle name="계산 2 17 2" xfId="211"/>
    <cellStyle name="계산 2 18" xfId="212"/>
    <cellStyle name="계산 2 18 2" xfId="213"/>
    <cellStyle name="계산 2 19" xfId="214"/>
    <cellStyle name="계산 2 19 2" xfId="215"/>
    <cellStyle name="계산 2 2" xfId="216"/>
    <cellStyle name="계산 2 20" xfId="217"/>
    <cellStyle name="계산 2 20 2" xfId="218"/>
    <cellStyle name="계산 2 21" xfId="219"/>
    <cellStyle name="계산 2 21 2" xfId="220"/>
    <cellStyle name="계산 2 22" xfId="221"/>
    <cellStyle name="계산 2 22 2" xfId="222"/>
    <cellStyle name="계산 2 23" xfId="223"/>
    <cellStyle name="계산 2 23 2" xfId="224"/>
    <cellStyle name="계산 2 24" xfId="225"/>
    <cellStyle name="계산 2 24 2" xfId="226"/>
    <cellStyle name="계산 2 25" xfId="227"/>
    <cellStyle name="계산 2 25 2" xfId="228"/>
    <cellStyle name="계산 2 26" xfId="229"/>
    <cellStyle name="계산 2 26 2" xfId="230"/>
    <cellStyle name="계산 2 27" xfId="231"/>
    <cellStyle name="계산 2 27 2" xfId="232"/>
    <cellStyle name="계산 2 28" xfId="233"/>
    <cellStyle name="계산 2 28 2" xfId="234"/>
    <cellStyle name="계산 2 29" xfId="235"/>
    <cellStyle name="계산 2 29 2" xfId="236"/>
    <cellStyle name="계산 2 3" xfId="237"/>
    <cellStyle name="계산 2 3 2" xfId="238"/>
    <cellStyle name="계산 2 30" xfId="239"/>
    <cellStyle name="계산 2 30 2" xfId="240"/>
    <cellStyle name="계산 2 31" xfId="241"/>
    <cellStyle name="계산 2 31 2" xfId="242"/>
    <cellStyle name="계산 2 32" xfId="243"/>
    <cellStyle name="계산 2 32 2" xfId="244"/>
    <cellStyle name="계산 2 33" xfId="245"/>
    <cellStyle name="계산 2 33 2" xfId="246"/>
    <cellStyle name="계산 2 34" xfId="247"/>
    <cellStyle name="계산 2 34 2" xfId="248"/>
    <cellStyle name="계산 2 35" xfId="249"/>
    <cellStyle name="계산 2 35 2" xfId="250"/>
    <cellStyle name="계산 2 36" xfId="251"/>
    <cellStyle name="계산 2 36 2" xfId="252"/>
    <cellStyle name="계산 2 37" xfId="253"/>
    <cellStyle name="계산 2 37 2" xfId="254"/>
    <cellStyle name="계산 2 38" xfId="255"/>
    <cellStyle name="계산 2 38 2" xfId="256"/>
    <cellStyle name="계산 2 39" xfId="257"/>
    <cellStyle name="계산 2 39 2" xfId="258"/>
    <cellStyle name="계산 2 4" xfId="259"/>
    <cellStyle name="계산 2 4 2" xfId="260"/>
    <cellStyle name="계산 2 40" xfId="261"/>
    <cellStyle name="계산 2 40 2" xfId="262"/>
    <cellStyle name="계산 2 41" xfId="263"/>
    <cellStyle name="계산 2 41 2" xfId="264"/>
    <cellStyle name="계산 2 42" xfId="265"/>
    <cellStyle name="계산 2 42 2" xfId="266"/>
    <cellStyle name="계산 2 43" xfId="267"/>
    <cellStyle name="계산 2 43 2" xfId="268"/>
    <cellStyle name="계산 2 44" xfId="269"/>
    <cellStyle name="계산 2 44 2" xfId="270"/>
    <cellStyle name="계산 2 45" xfId="271"/>
    <cellStyle name="계산 2 45 2" xfId="272"/>
    <cellStyle name="계산 2 46" xfId="273"/>
    <cellStyle name="계산 2 46 2" xfId="274"/>
    <cellStyle name="계산 2 47" xfId="275"/>
    <cellStyle name="계산 2 48" xfId="276"/>
    <cellStyle name="계산 2 49" xfId="277"/>
    <cellStyle name="계산 2 5" xfId="278"/>
    <cellStyle name="계산 2 5 2" xfId="279"/>
    <cellStyle name="계산 2 50" xfId="280"/>
    <cellStyle name="계산 2 51" xfId="281"/>
    <cellStyle name="계산 2 52" xfId="282"/>
    <cellStyle name="계산 2 53" xfId="283"/>
    <cellStyle name="계산 2 54" xfId="284"/>
    <cellStyle name="계산 2 55" xfId="285"/>
    <cellStyle name="계산 2 56" xfId="286"/>
    <cellStyle name="계산 2 57" xfId="287"/>
    <cellStyle name="계산 2 58" xfId="288"/>
    <cellStyle name="계산 2 59" xfId="289"/>
    <cellStyle name="계산 2 6" xfId="290"/>
    <cellStyle name="계산 2 6 2" xfId="291"/>
    <cellStyle name="계산 2 60" xfId="292"/>
    <cellStyle name="계산 2 61" xfId="293"/>
    <cellStyle name="계산 2 62" xfId="294"/>
    <cellStyle name="계산 2 63" xfId="295"/>
    <cellStyle name="계산 2 64" xfId="296"/>
    <cellStyle name="계산 2 65" xfId="297"/>
    <cellStyle name="계산 2 66" xfId="298"/>
    <cellStyle name="계산 2 67" xfId="299"/>
    <cellStyle name="계산 2 68" xfId="300"/>
    <cellStyle name="계산 2 69" xfId="301"/>
    <cellStyle name="계산 2 7" xfId="302"/>
    <cellStyle name="계산 2 7 2" xfId="303"/>
    <cellStyle name="계산 2 70" xfId="304"/>
    <cellStyle name="계산 2 71" xfId="305"/>
    <cellStyle name="계산 2 72" xfId="306"/>
    <cellStyle name="계산 2 73" xfId="307"/>
    <cellStyle name="계산 2 74" xfId="308"/>
    <cellStyle name="계산 2 75" xfId="309"/>
    <cellStyle name="계산 2 76" xfId="310"/>
    <cellStyle name="계산 2 77" xfId="311"/>
    <cellStyle name="계산 2 78" xfId="312"/>
    <cellStyle name="계산 2 79" xfId="313"/>
    <cellStyle name="계산 2 8" xfId="314"/>
    <cellStyle name="계산 2 8 2" xfId="315"/>
    <cellStyle name="계산 2 80" xfId="316"/>
    <cellStyle name="계산 2 81" xfId="317"/>
    <cellStyle name="계산 2 82" xfId="318"/>
    <cellStyle name="계산 2 83" xfId="319"/>
    <cellStyle name="계산 2 84" xfId="320"/>
    <cellStyle name="계산 2 85" xfId="321"/>
    <cellStyle name="계산 2 86" xfId="322"/>
    <cellStyle name="계산 2 87" xfId="323"/>
    <cellStyle name="계산 2 88" xfId="324"/>
    <cellStyle name="계산 2 89" xfId="325"/>
    <cellStyle name="계산 2 9" xfId="326"/>
    <cellStyle name="계산 2 9 2" xfId="327"/>
    <cellStyle name="계산 2 90" xfId="4678"/>
    <cellStyle name="계산 3" xfId="328"/>
    <cellStyle name="계산 3 10" xfId="329"/>
    <cellStyle name="계산 3 10 2" xfId="330"/>
    <cellStyle name="계산 3 11" xfId="331"/>
    <cellStyle name="계산 3 11 2" xfId="332"/>
    <cellStyle name="계산 3 12" xfId="333"/>
    <cellStyle name="계산 3 12 2" xfId="334"/>
    <cellStyle name="계산 3 13" xfId="335"/>
    <cellStyle name="계산 3 13 2" xfId="336"/>
    <cellStyle name="계산 3 14" xfId="337"/>
    <cellStyle name="계산 3 14 2" xfId="338"/>
    <cellStyle name="계산 3 15" xfId="339"/>
    <cellStyle name="계산 3 15 2" xfId="340"/>
    <cellStyle name="계산 3 16" xfId="341"/>
    <cellStyle name="계산 3 16 2" xfId="342"/>
    <cellStyle name="계산 3 17" xfId="343"/>
    <cellStyle name="계산 3 17 2" xfId="344"/>
    <cellStyle name="계산 3 18" xfId="345"/>
    <cellStyle name="계산 3 18 2" xfId="346"/>
    <cellStyle name="계산 3 19" xfId="347"/>
    <cellStyle name="계산 3 19 2" xfId="348"/>
    <cellStyle name="계산 3 2" xfId="349"/>
    <cellStyle name="계산 3 2 2" xfId="350"/>
    <cellStyle name="계산 3 20" xfId="351"/>
    <cellStyle name="계산 3 20 2" xfId="352"/>
    <cellStyle name="계산 3 21" xfId="353"/>
    <cellStyle name="계산 3 21 2" xfId="354"/>
    <cellStyle name="계산 3 22" xfId="355"/>
    <cellStyle name="계산 3 22 2" xfId="356"/>
    <cellStyle name="계산 3 23" xfId="357"/>
    <cellStyle name="계산 3 23 2" xfId="358"/>
    <cellStyle name="계산 3 24" xfId="359"/>
    <cellStyle name="계산 3 24 2" xfId="360"/>
    <cellStyle name="계산 3 25" xfId="361"/>
    <cellStyle name="계산 3 25 2" xfId="362"/>
    <cellStyle name="계산 3 26" xfId="363"/>
    <cellStyle name="계산 3 26 2" xfId="364"/>
    <cellStyle name="계산 3 27" xfId="365"/>
    <cellStyle name="계산 3 27 2" xfId="366"/>
    <cellStyle name="계산 3 28" xfId="367"/>
    <cellStyle name="계산 3 28 2" xfId="368"/>
    <cellStyle name="계산 3 29" xfId="369"/>
    <cellStyle name="계산 3 29 2" xfId="370"/>
    <cellStyle name="계산 3 3" xfId="371"/>
    <cellStyle name="계산 3 3 2" xfId="372"/>
    <cellStyle name="계산 3 30" xfId="373"/>
    <cellStyle name="계산 3 30 2" xfId="374"/>
    <cellStyle name="계산 3 31" xfId="375"/>
    <cellStyle name="계산 3 31 2" xfId="376"/>
    <cellStyle name="계산 3 32" xfId="377"/>
    <cellStyle name="계산 3 32 2" xfId="378"/>
    <cellStyle name="계산 3 33" xfId="379"/>
    <cellStyle name="계산 3 33 2" xfId="380"/>
    <cellStyle name="계산 3 34" xfId="381"/>
    <cellStyle name="계산 3 34 2" xfId="382"/>
    <cellStyle name="계산 3 35" xfId="383"/>
    <cellStyle name="계산 3 35 2" xfId="384"/>
    <cellStyle name="계산 3 36" xfId="385"/>
    <cellStyle name="계산 3 36 2" xfId="386"/>
    <cellStyle name="계산 3 37" xfId="387"/>
    <cellStyle name="계산 3 37 2" xfId="388"/>
    <cellStyle name="계산 3 38" xfId="389"/>
    <cellStyle name="계산 3 38 2" xfId="390"/>
    <cellStyle name="계산 3 39" xfId="391"/>
    <cellStyle name="계산 3 39 2" xfId="392"/>
    <cellStyle name="계산 3 4" xfId="393"/>
    <cellStyle name="계산 3 4 2" xfId="394"/>
    <cellStyle name="계산 3 40" xfId="395"/>
    <cellStyle name="계산 3 40 2" xfId="396"/>
    <cellStyle name="계산 3 41" xfId="397"/>
    <cellStyle name="계산 3 41 2" xfId="398"/>
    <cellStyle name="계산 3 42" xfId="399"/>
    <cellStyle name="계산 3 42 2" xfId="400"/>
    <cellStyle name="계산 3 43" xfId="401"/>
    <cellStyle name="계산 3 43 2" xfId="402"/>
    <cellStyle name="계산 3 44" xfId="403"/>
    <cellStyle name="계산 3 44 2" xfId="404"/>
    <cellStyle name="계산 3 45" xfId="405"/>
    <cellStyle name="계산 3 45 2" xfId="406"/>
    <cellStyle name="계산 3 46" xfId="407"/>
    <cellStyle name="계산 3 47" xfId="408"/>
    <cellStyle name="계산 3 48" xfId="409"/>
    <cellStyle name="계산 3 49" xfId="410"/>
    <cellStyle name="계산 3 5" xfId="411"/>
    <cellStyle name="계산 3 5 2" xfId="412"/>
    <cellStyle name="계산 3 50" xfId="413"/>
    <cellStyle name="계산 3 51" xfId="414"/>
    <cellStyle name="계산 3 52" xfId="415"/>
    <cellStyle name="계산 3 53" xfId="416"/>
    <cellStyle name="계산 3 54" xfId="417"/>
    <cellStyle name="계산 3 55" xfId="418"/>
    <cellStyle name="계산 3 56" xfId="419"/>
    <cellStyle name="계산 3 57" xfId="420"/>
    <cellStyle name="계산 3 58" xfId="421"/>
    <cellStyle name="계산 3 59" xfId="422"/>
    <cellStyle name="계산 3 6" xfId="423"/>
    <cellStyle name="계산 3 6 2" xfId="424"/>
    <cellStyle name="계산 3 60" xfId="425"/>
    <cellStyle name="계산 3 61" xfId="426"/>
    <cellStyle name="계산 3 62" xfId="427"/>
    <cellStyle name="계산 3 63" xfId="428"/>
    <cellStyle name="계산 3 64" xfId="429"/>
    <cellStyle name="계산 3 65" xfId="430"/>
    <cellStyle name="계산 3 66" xfId="431"/>
    <cellStyle name="계산 3 67" xfId="432"/>
    <cellStyle name="계산 3 68" xfId="433"/>
    <cellStyle name="계산 3 69" xfId="434"/>
    <cellStyle name="계산 3 7" xfId="435"/>
    <cellStyle name="계산 3 7 2" xfId="436"/>
    <cellStyle name="계산 3 70" xfId="437"/>
    <cellStyle name="계산 3 71" xfId="438"/>
    <cellStyle name="계산 3 72" xfId="439"/>
    <cellStyle name="계산 3 73" xfId="440"/>
    <cellStyle name="계산 3 74" xfId="441"/>
    <cellStyle name="계산 3 75" xfId="442"/>
    <cellStyle name="계산 3 76" xfId="443"/>
    <cellStyle name="계산 3 77" xfId="444"/>
    <cellStyle name="계산 3 78" xfId="445"/>
    <cellStyle name="계산 3 79" xfId="446"/>
    <cellStyle name="계산 3 8" xfId="447"/>
    <cellStyle name="계산 3 8 2" xfId="448"/>
    <cellStyle name="계산 3 80" xfId="449"/>
    <cellStyle name="계산 3 81" xfId="450"/>
    <cellStyle name="계산 3 82" xfId="451"/>
    <cellStyle name="계산 3 83" xfId="452"/>
    <cellStyle name="계산 3 84" xfId="453"/>
    <cellStyle name="계산 3 85" xfId="454"/>
    <cellStyle name="계산 3 86" xfId="455"/>
    <cellStyle name="계산 3 87" xfId="456"/>
    <cellStyle name="계산 3 88" xfId="457"/>
    <cellStyle name="계산 3 9" xfId="458"/>
    <cellStyle name="계산 3 9 2" xfId="459"/>
    <cellStyle name="계산 4" xfId="460"/>
    <cellStyle name="계산 4 10" xfId="461"/>
    <cellStyle name="계산 4 10 2" xfId="462"/>
    <cellStyle name="계산 4 11" xfId="463"/>
    <cellStyle name="계산 4 11 2" xfId="464"/>
    <cellStyle name="계산 4 12" xfId="465"/>
    <cellStyle name="계산 4 12 2" xfId="466"/>
    <cellStyle name="계산 4 13" xfId="467"/>
    <cellStyle name="계산 4 13 2" xfId="468"/>
    <cellStyle name="계산 4 14" xfId="469"/>
    <cellStyle name="계산 4 14 2" xfId="470"/>
    <cellStyle name="계산 4 15" xfId="471"/>
    <cellStyle name="계산 4 15 2" xfId="472"/>
    <cellStyle name="계산 4 16" xfId="473"/>
    <cellStyle name="계산 4 16 2" xfId="474"/>
    <cellStyle name="계산 4 17" xfId="475"/>
    <cellStyle name="계산 4 17 2" xfId="476"/>
    <cellStyle name="계산 4 18" xfId="477"/>
    <cellStyle name="계산 4 18 2" xfId="478"/>
    <cellStyle name="계산 4 19" xfId="479"/>
    <cellStyle name="계산 4 19 2" xfId="480"/>
    <cellStyle name="계산 4 2" xfId="481"/>
    <cellStyle name="계산 4 2 2" xfId="482"/>
    <cellStyle name="계산 4 20" xfId="483"/>
    <cellStyle name="계산 4 20 2" xfId="484"/>
    <cellStyle name="계산 4 21" xfId="485"/>
    <cellStyle name="계산 4 21 2" xfId="486"/>
    <cellStyle name="계산 4 22" xfId="487"/>
    <cellStyle name="계산 4 22 2" xfId="488"/>
    <cellStyle name="계산 4 23" xfId="489"/>
    <cellStyle name="계산 4 23 2" xfId="490"/>
    <cellStyle name="계산 4 24" xfId="491"/>
    <cellStyle name="계산 4 24 2" xfId="492"/>
    <cellStyle name="계산 4 25" xfId="493"/>
    <cellStyle name="계산 4 25 2" xfId="494"/>
    <cellStyle name="계산 4 26" xfId="495"/>
    <cellStyle name="계산 4 26 2" xfId="496"/>
    <cellStyle name="계산 4 27" xfId="497"/>
    <cellStyle name="계산 4 27 2" xfId="498"/>
    <cellStyle name="계산 4 28" xfId="499"/>
    <cellStyle name="계산 4 28 2" xfId="500"/>
    <cellStyle name="계산 4 29" xfId="501"/>
    <cellStyle name="계산 4 29 2" xfId="502"/>
    <cellStyle name="계산 4 3" xfId="503"/>
    <cellStyle name="계산 4 3 2" xfId="504"/>
    <cellStyle name="계산 4 30" xfId="505"/>
    <cellStyle name="계산 4 30 2" xfId="506"/>
    <cellStyle name="계산 4 31" xfId="507"/>
    <cellStyle name="계산 4 31 2" xfId="508"/>
    <cellStyle name="계산 4 32" xfId="509"/>
    <cellStyle name="계산 4 32 2" xfId="510"/>
    <cellStyle name="계산 4 33" xfId="511"/>
    <cellStyle name="계산 4 33 2" xfId="512"/>
    <cellStyle name="계산 4 34" xfId="513"/>
    <cellStyle name="계산 4 34 2" xfId="514"/>
    <cellStyle name="계산 4 35" xfId="515"/>
    <cellStyle name="계산 4 35 2" xfId="516"/>
    <cellStyle name="계산 4 36" xfId="517"/>
    <cellStyle name="계산 4 36 2" xfId="518"/>
    <cellStyle name="계산 4 37" xfId="519"/>
    <cellStyle name="계산 4 37 2" xfId="520"/>
    <cellStyle name="계산 4 38" xfId="521"/>
    <cellStyle name="계산 4 38 2" xfId="522"/>
    <cellStyle name="계산 4 39" xfId="523"/>
    <cellStyle name="계산 4 39 2" xfId="524"/>
    <cellStyle name="계산 4 4" xfId="525"/>
    <cellStyle name="계산 4 4 2" xfId="526"/>
    <cellStyle name="계산 4 40" xfId="527"/>
    <cellStyle name="계산 4 40 2" xfId="528"/>
    <cellStyle name="계산 4 41" xfId="529"/>
    <cellStyle name="계산 4 41 2" xfId="530"/>
    <cellStyle name="계산 4 42" xfId="531"/>
    <cellStyle name="계산 4 42 2" xfId="532"/>
    <cellStyle name="계산 4 43" xfId="533"/>
    <cellStyle name="계산 4 43 2" xfId="534"/>
    <cellStyle name="계산 4 44" xfId="535"/>
    <cellStyle name="계산 4 44 2" xfId="536"/>
    <cellStyle name="계산 4 45" xfId="537"/>
    <cellStyle name="계산 4 45 2" xfId="538"/>
    <cellStyle name="계산 4 46" xfId="539"/>
    <cellStyle name="계산 4 47" xfId="540"/>
    <cellStyle name="계산 4 48" xfId="541"/>
    <cellStyle name="계산 4 49" xfId="542"/>
    <cellStyle name="계산 4 5" xfId="543"/>
    <cellStyle name="계산 4 5 2" xfId="544"/>
    <cellStyle name="계산 4 50" xfId="545"/>
    <cellStyle name="계산 4 51" xfId="546"/>
    <cellStyle name="계산 4 52" xfId="547"/>
    <cellStyle name="계산 4 53" xfId="548"/>
    <cellStyle name="계산 4 54" xfId="549"/>
    <cellStyle name="계산 4 55" xfId="550"/>
    <cellStyle name="계산 4 56" xfId="551"/>
    <cellStyle name="계산 4 57" xfId="552"/>
    <cellStyle name="계산 4 58" xfId="553"/>
    <cellStyle name="계산 4 59" xfId="554"/>
    <cellStyle name="계산 4 6" xfId="555"/>
    <cellStyle name="계산 4 6 2" xfId="556"/>
    <cellStyle name="계산 4 60" xfId="557"/>
    <cellStyle name="계산 4 61" xfId="558"/>
    <cellStyle name="계산 4 62" xfId="559"/>
    <cellStyle name="계산 4 63" xfId="560"/>
    <cellStyle name="계산 4 64" xfId="561"/>
    <cellStyle name="계산 4 65" xfId="562"/>
    <cellStyle name="계산 4 66" xfId="563"/>
    <cellStyle name="계산 4 67" xfId="564"/>
    <cellStyle name="계산 4 68" xfId="565"/>
    <cellStyle name="계산 4 69" xfId="566"/>
    <cellStyle name="계산 4 7" xfId="567"/>
    <cellStyle name="계산 4 7 2" xfId="568"/>
    <cellStyle name="계산 4 70" xfId="569"/>
    <cellStyle name="계산 4 71" xfId="570"/>
    <cellStyle name="계산 4 72" xfId="571"/>
    <cellStyle name="계산 4 73" xfId="572"/>
    <cellStyle name="계산 4 74" xfId="573"/>
    <cellStyle name="계산 4 75" xfId="574"/>
    <cellStyle name="계산 4 76" xfId="575"/>
    <cellStyle name="계산 4 77" xfId="576"/>
    <cellStyle name="계산 4 78" xfId="577"/>
    <cellStyle name="계산 4 79" xfId="578"/>
    <cellStyle name="계산 4 8" xfId="579"/>
    <cellStyle name="계산 4 8 2" xfId="580"/>
    <cellStyle name="계산 4 80" xfId="581"/>
    <cellStyle name="계산 4 81" xfId="582"/>
    <cellStyle name="계산 4 82" xfId="583"/>
    <cellStyle name="계산 4 83" xfId="584"/>
    <cellStyle name="계산 4 84" xfId="585"/>
    <cellStyle name="계산 4 85" xfId="586"/>
    <cellStyle name="계산 4 86" xfId="587"/>
    <cellStyle name="계산 4 87" xfId="588"/>
    <cellStyle name="계산 4 88" xfId="589"/>
    <cellStyle name="계산 4 9" xfId="590"/>
    <cellStyle name="계산 4 9 2" xfId="591"/>
    <cellStyle name="계산 5" xfId="592"/>
    <cellStyle name="계산 6" xfId="593"/>
    <cellStyle name="고정소숫점" xfId="4679"/>
    <cellStyle name="고정출력1" xfId="4680"/>
    <cellStyle name="고정출력2" xfId="4681"/>
    <cellStyle name="咬訌裝?INCOM1" xfId="4682"/>
    <cellStyle name="咬訌裝?INCOM10" xfId="4683"/>
    <cellStyle name="咬訌裝?INCOM2" xfId="4684"/>
    <cellStyle name="咬訌裝?INCOM3" xfId="4685"/>
    <cellStyle name="咬訌裝?INCOM4" xfId="4686"/>
    <cellStyle name="咬訌裝?INCOM5" xfId="4687"/>
    <cellStyle name="咬訌裝?INCOM6" xfId="4688"/>
    <cellStyle name="咬訌裝?INCOM7" xfId="4689"/>
    <cellStyle name="咬訌裝?INCOM8" xfId="4690"/>
    <cellStyle name="咬訌裝?INCOM9" xfId="4691"/>
    <cellStyle name="咬訌裝?PRIB11" xfId="4692"/>
    <cellStyle name="咬訌裝?report-2 " xfId="4693"/>
    <cellStyle name="归盒啦_95" xfId="4694"/>
    <cellStyle name="금액" xfId="4695"/>
    <cellStyle name="나쁨 2" xfId="594"/>
    <cellStyle name="나쁨 2 2" xfId="595"/>
    <cellStyle name="나쁨 2 3" xfId="4696"/>
    <cellStyle name="나쁨 3" xfId="596"/>
    <cellStyle name="나쁨 4" xfId="597"/>
    <cellStyle name="나쁨 5" xfId="598"/>
    <cellStyle name="나쁨 6" xfId="599"/>
    <cellStyle name="날짜" xfId="4697"/>
    <cellStyle name="달러" xfId="4698"/>
    <cellStyle name="동수" xfId="4699"/>
    <cellStyle name="뒤에 오는 하이퍼링크" xfId="4700"/>
    <cellStyle name="똿떓죶Ø괻 [0.00]_PRODUCT DETAIL Q1" xfId="4701"/>
    <cellStyle name="똿떓죶Ø괻_PRODUCT DETAIL Q1" xfId="4702"/>
    <cellStyle name="똿뗦먛귟 [0.00]_laroux" xfId="4703"/>
    <cellStyle name="똿뗦먛귟_laroux" xfId="4704"/>
    <cellStyle name="메모 2" xfId="600"/>
    <cellStyle name="메모 2 10" xfId="601"/>
    <cellStyle name="메모 2 10 2" xfId="602"/>
    <cellStyle name="메모 2 11" xfId="603"/>
    <cellStyle name="메모 2 11 2" xfId="604"/>
    <cellStyle name="메모 2 12" xfId="605"/>
    <cellStyle name="메모 2 12 2" xfId="606"/>
    <cellStyle name="메모 2 13" xfId="607"/>
    <cellStyle name="메모 2 13 2" xfId="608"/>
    <cellStyle name="메모 2 14" xfId="609"/>
    <cellStyle name="메모 2 14 2" xfId="610"/>
    <cellStyle name="메모 2 15" xfId="611"/>
    <cellStyle name="메모 2 15 2" xfId="612"/>
    <cellStyle name="메모 2 16" xfId="613"/>
    <cellStyle name="메모 2 16 2" xfId="614"/>
    <cellStyle name="메모 2 17" xfId="615"/>
    <cellStyle name="메모 2 17 2" xfId="616"/>
    <cellStyle name="메모 2 18" xfId="617"/>
    <cellStyle name="메모 2 18 2" xfId="618"/>
    <cellStyle name="메모 2 19" xfId="619"/>
    <cellStyle name="메모 2 19 2" xfId="620"/>
    <cellStyle name="메모 2 2" xfId="621"/>
    <cellStyle name="메모 2 2 2" xfId="4706"/>
    <cellStyle name="메모 2 20" xfId="622"/>
    <cellStyle name="메모 2 20 2" xfId="623"/>
    <cellStyle name="메모 2 21" xfId="624"/>
    <cellStyle name="메모 2 21 2" xfId="625"/>
    <cellStyle name="메모 2 22" xfId="626"/>
    <cellStyle name="메모 2 22 2" xfId="627"/>
    <cellStyle name="메모 2 23" xfId="628"/>
    <cellStyle name="메모 2 23 2" xfId="629"/>
    <cellStyle name="메모 2 24" xfId="630"/>
    <cellStyle name="메모 2 24 2" xfId="631"/>
    <cellStyle name="메모 2 25" xfId="632"/>
    <cellStyle name="메모 2 25 2" xfId="633"/>
    <cellStyle name="메모 2 26" xfId="634"/>
    <cellStyle name="메모 2 26 2" xfId="635"/>
    <cellStyle name="메모 2 27" xfId="636"/>
    <cellStyle name="메모 2 27 2" xfId="637"/>
    <cellStyle name="메모 2 28" xfId="638"/>
    <cellStyle name="메모 2 28 2" xfId="639"/>
    <cellStyle name="메모 2 29" xfId="640"/>
    <cellStyle name="메모 2 29 2" xfId="641"/>
    <cellStyle name="메모 2 3" xfId="642"/>
    <cellStyle name="메모 2 3 2" xfId="643"/>
    <cellStyle name="메모 2 3 3" xfId="4707"/>
    <cellStyle name="메모 2 30" xfId="644"/>
    <cellStyle name="메모 2 30 2" xfId="645"/>
    <cellStyle name="메모 2 31" xfId="646"/>
    <cellStyle name="메모 2 31 2" xfId="647"/>
    <cellStyle name="메모 2 32" xfId="648"/>
    <cellStyle name="메모 2 32 2" xfId="649"/>
    <cellStyle name="메모 2 33" xfId="650"/>
    <cellStyle name="메모 2 33 2" xfId="651"/>
    <cellStyle name="메모 2 34" xfId="652"/>
    <cellStyle name="메모 2 34 2" xfId="653"/>
    <cellStyle name="메모 2 35" xfId="654"/>
    <cellStyle name="메모 2 35 2" xfId="655"/>
    <cellStyle name="메모 2 36" xfId="656"/>
    <cellStyle name="메모 2 36 2" xfId="657"/>
    <cellStyle name="메모 2 37" xfId="658"/>
    <cellStyle name="메모 2 37 2" xfId="659"/>
    <cellStyle name="메모 2 38" xfId="660"/>
    <cellStyle name="메모 2 38 2" xfId="661"/>
    <cellStyle name="메모 2 39" xfId="662"/>
    <cellStyle name="메모 2 39 2" xfId="663"/>
    <cellStyle name="메모 2 4" xfId="664"/>
    <cellStyle name="메모 2 4 2" xfId="665"/>
    <cellStyle name="메모 2 4 3" xfId="4708"/>
    <cellStyle name="메모 2 40" xfId="666"/>
    <cellStyle name="메모 2 40 2" xfId="667"/>
    <cellStyle name="메모 2 41" xfId="668"/>
    <cellStyle name="메모 2 41 2" xfId="669"/>
    <cellStyle name="메모 2 42" xfId="670"/>
    <cellStyle name="메모 2 42 2" xfId="671"/>
    <cellStyle name="메모 2 43" xfId="672"/>
    <cellStyle name="메모 2 43 2" xfId="673"/>
    <cellStyle name="메모 2 44" xfId="674"/>
    <cellStyle name="메모 2 44 2" xfId="675"/>
    <cellStyle name="메모 2 45" xfId="676"/>
    <cellStyle name="메모 2 45 2" xfId="677"/>
    <cellStyle name="메모 2 46" xfId="678"/>
    <cellStyle name="메모 2 46 2" xfId="679"/>
    <cellStyle name="메모 2 47" xfId="680"/>
    <cellStyle name="메모 2 48" xfId="681"/>
    <cellStyle name="메모 2 49" xfId="682"/>
    <cellStyle name="메모 2 5" xfId="683"/>
    <cellStyle name="메모 2 5 2" xfId="684"/>
    <cellStyle name="메모 2 5 3" xfId="4709"/>
    <cellStyle name="메모 2 50" xfId="685"/>
    <cellStyle name="메모 2 51" xfId="686"/>
    <cellStyle name="메모 2 52" xfId="687"/>
    <cellStyle name="메모 2 53" xfId="688"/>
    <cellStyle name="메모 2 54" xfId="689"/>
    <cellStyle name="메모 2 55" xfId="690"/>
    <cellStyle name="메모 2 56" xfId="691"/>
    <cellStyle name="메모 2 57" xfId="692"/>
    <cellStyle name="메모 2 58" xfId="693"/>
    <cellStyle name="메모 2 59" xfId="694"/>
    <cellStyle name="메모 2 6" xfId="695"/>
    <cellStyle name="메모 2 6 2" xfId="696"/>
    <cellStyle name="메모 2 60" xfId="697"/>
    <cellStyle name="메모 2 61" xfId="698"/>
    <cellStyle name="메모 2 62" xfId="699"/>
    <cellStyle name="메모 2 63" xfId="700"/>
    <cellStyle name="메모 2 64" xfId="701"/>
    <cellStyle name="메모 2 65" xfId="702"/>
    <cellStyle name="메모 2 66" xfId="703"/>
    <cellStyle name="메모 2 67" xfId="704"/>
    <cellStyle name="메모 2 68" xfId="705"/>
    <cellStyle name="메모 2 69" xfId="706"/>
    <cellStyle name="메모 2 7" xfId="707"/>
    <cellStyle name="메모 2 7 2" xfId="708"/>
    <cellStyle name="메모 2 70" xfId="709"/>
    <cellStyle name="메모 2 71" xfId="710"/>
    <cellStyle name="메모 2 72" xfId="711"/>
    <cellStyle name="메모 2 73" xfId="712"/>
    <cellStyle name="메모 2 74" xfId="713"/>
    <cellStyle name="메모 2 75" xfId="714"/>
    <cellStyle name="메모 2 76" xfId="715"/>
    <cellStyle name="메모 2 77" xfId="716"/>
    <cellStyle name="메모 2 78" xfId="717"/>
    <cellStyle name="메모 2 79" xfId="718"/>
    <cellStyle name="메모 2 8" xfId="719"/>
    <cellStyle name="메모 2 8 2" xfId="720"/>
    <cellStyle name="메모 2 80" xfId="721"/>
    <cellStyle name="메모 2 81" xfId="722"/>
    <cellStyle name="메모 2 82" xfId="723"/>
    <cellStyle name="메모 2 83" xfId="724"/>
    <cellStyle name="메모 2 84" xfId="725"/>
    <cellStyle name="메모 2 85" xfId="726"/>
    <cellStyle name="메모 2 86" xfId="727"/>
    <cellStyle name="메모 2 87" xfId="728"/>
    <cellStyle name="메모 2 88" xfId="729"/>
    <cellStyle name="메모 2 89" xfId="730"/>
    <cellStyle name="메모 2 9" xfId="731"/>
    <cellStyle name="메모 2 9 2" xfId="732"/>
    <cellStyle name="메모 2 90" xfId="733"/>
    <cellStyle name="메모 2 90 2" xfId="734"/>
    <cellStyle name="메모 2 91" xfId="4705"/>
    <cellStyle name="메모 3" xfId="735"/>
    <cellStyle name="메모 3 10" xfId="736"/>
    <cellStyle name="메모 3 10 2" xfId="737"/>
    <cellStyle name="메모 3 11" xfId="738"/>
    <cellStyle name="메모 3 11 2" xfId="739"/>
    <cellStyle name="메모 3 12" xfId="740"/>
    <cellStyle name="메모 3 12 2" xfId="741"/>
    <cellStyle name="메모 3 13" xfId="742"/>
    <cellStyle name="메모 3 13 2" xfId="743"/>
    <cellStyle name="메모 3 14" xfId="744"/>
    <cellStyle name="메모 3 14 2" xfId="745"/>
    <cellStyle name="메모 3 15" xfId="746"/>
    <cellStyle name="메모 3 15 2" xfId="747"/>
    <cellStyle name="메모 3 16" xfId="748"/>
    <cellStyle name="메모 3 16 2" xfId="749"/>
    <cellStyle name="메모 3 17" xfId="750"/>
    <cellStyle name="메모 3 17 2" xfId="751"/>
    <cellStyle name="메모 3 18" xfId="752"/>
    <cellStyle name="메모 3 18 2" xfId="753"/>
    <cellStyle name="메모 3 19" xfId="754"/>
    <cellStyle name="메모 3 19 2" xfId="755"/>
    <cellStyle name="메모 3 2" xfId="756"/>
    <cellStyle name="메모 3 2 2" xfId="757"/>
    <cellStyle name="메모 3 20" xfId="758"/>
    <cellStyle name="메모 3 20 2" xfId="759"/>
    <cellStyle name="메모 3 21" xfId="760"/>
    <cellStyle name="메모 3 21 2" xfId="761"/>
    <cellStyle name="메모 3 22" xfId="762"/>
    <cellStyle name="메모 3 22 2" xfId="763"/>
    <cellStyle name="메모 3 23" xfId="764"/>
    <cellStyle name="메모 3 23 2" xfId="765"/>
    <cellStyle name="메모 3 24" xfId="766"/>
    <cellStyle name="메모 3 24 2" xfId="767"/>
    <cellStyle name="메모 3 25" xfId="768"/>
    <cellStyle name="메모 3 25 2" xfId="769"/>
    <cellStyle name="메모 3 26" xfId="770"/>
    <cellStyle name="메모 3 26 2" xfId="771"/>
    <cellStyle name="메모 3 27" xfId="772"/>
    <cellStyle name="메모 3 27 2" xfId="773"/>
    <cellStyle name="메모 3 28" xfId="774"/>
    <cellStyle name="메모 3 28 2" xfId="775"/>
    <cellStyle name="메모 3 29" xfId="776"/>
    <cellStyle name="메모 3 29 2" xfId="777"/>
    <cellStyle name="메모 3 3" xfId="778"/>
    <cellStyle name="메모 3 3 2" xfId="779"/>
    <cellStyle name="메모 3 30" xfId="780"/>
    <cellStyle name="메모 3 30 2" xfId="781"/>
    <cellStyle name="메모 3 31" xfId="782"/>
    <cellStyle name="메모 3 31 2" xfId="783"/>
    <cellStyle name="메모 3 32" xfId="784"/>
    <cellStyle name="메모 3 32 2" xfId="785"/>
    <cellStyle name="메모 3 33" xfId="786"/>
    <cellStyle name="메모 3 33 2" xfId="787"/>
    <cellStyle name="메모 3 34" xfId="788"/>
    <cellStyle name="메모 3 34 2" xfId="789"/>
    <cellStyle name="메모 3 35" xfId="790"/>
    <cellStyle name="메모 3 35 2" xfId="791"/>
    <cellStyle name="메모 3 36" xfId="792"/>
    <cellStyle name="메모 3 36 2" xfId="793"/>
    <cellStyle name="메모 3 37" xfId="794"/>
    <cellStyle name="메모 3 37 2" xfId="795"/>
    <cellStyle name="메모 3 38" xfId="796"/>
    <cellStyle name="메모 3 38 2" xfId="797"/>
    <cellStyle name="메모 3 39" xfId="798"/>
    <cellStyle name="메모 3 39 2" xfId="799"/>
    <cellStyle name="메모 3 4" xfId="800"/>
    <cellStyle name="메모 3 4 2" xfId="801"/>
    <cellStyle name="메모 3 40" xfId="802"/>
    <cellStyle name="메모 3 40 2" xfId="803"/>
    <cellStyle name="메모 3 41" xfId="804"/>
    <cellStyle name="메모 3 41 2" xfId="805"/>
    <cellStyle name="메모 3 42" xfId="806"/>
    <cellStyle name="메모 3 42 2" xfId="807"/>
    <cellStyle name="메모 3 43" xfId="808"/>
    <cellStyle name="메모 3 43 2" xfId="809"/>
    <cellStyle name="메모 3 44" xfId="810"/>
    <cellStyle name="메모 3 44 2" xfId="811"/>
    <cellStyle name="메모 3 45" xfId="812"/>
    <cellStyle name="메모 3 45 2" xfId="813"/>
    <cellStyle name="메모 3 46" xfId="814"/>
    <cellStyle name="메모 3 47" xfId="815"/>
    <cellStyle name="메모 3 48" xfId="816"/>
    <cellStyle name="메모 3 49" xfId="817"/>
    <cellStyle name="메모 3 5" xfId="818"/>
    <cellStyle name="메모 3 5 2" xfId="819"/>
    <cellStyle name="메모 3 50" xfId="820"/>
    <cellStyle name="메모 3 51" xfId="821"/>
    <cellStyle name="메모 3 52" xfId="822"/>
    <cellStyle name="메모 3 53" xfId="823"/>
    <cellStyle name="메모 3 54" xfId="824"/>
    <cellStyle name="메모 3 55" xfId="825"/>
    <cellStyle name="메모 3 56" xfId="826"/>
    <cellStyle name="메모 3 57" xfId="827"/>
    <cellStyle name="메모 3 58" xfId="828"/>
    <cellStyle name="메모 3 59" xfId="829"/>
    <cellStyle name="메모 3 6" xfId="830"/>
    <cellStyle name="메모 3 6 2" xfId="831"/>
    <cellStyle name="메모 3 60" xfId="832"/>
    <cellStyle name="메모 3 61" xfId="833"/>
    <cellStyle name="메모 3 62" xfId="834"/>
    <cellStyle name="메모 3 63" xfId="835"/>
    <cellStyle name="메모 3 64" xfId="836"/>
    <cellStyle name="메모 3 65" xfId="837"/>
    <cellStyle name="메모 3 66" xfId="838"/>
    <cellStyle name="메모 3 67" xfId="839"/>
    <cellStyle name="메모 3 68" xfId="840"/>
    <cellStyle name="메모 3 69" xfId="841"/>
    <cellStyle name="메모 3 7" xfId="842"/>
    <cellStyle name="메모 3 7 2" xfId="843"/>
    <cellStyle name="메모 3 70" xfId="844"/>
    <cellStyle name="메모 3 71" xfId="845"/>
    <cellStyle name="메모 3 72" xfId="846"/>
    <cellStyle name="메모 3 73" xfId="847"/>
    <cellStyle name="메모 3 74" xfId="848"/>
    <cellStyle name="메모 3 75" xfId="849"/>
    <cellStyle name="메모 3 76" xfId="850"/>
    <cellStyle name="메모 3 77" xfId="851"/>
    <cellStyle name="메모 3 78" xfId="852"/>
    <cellStyle name="메모 3 79" xfId="853"/>
    <cellStyle name="메모 3 8" xfId="854"/>
    <cellStyle name="메모 3 8 2" xfId="855"/>
    <cellStyle name="메모 3 80" xfId="856"/>
    <cellStyle name="메모 3 81" xfId="857"/>
    <cellStyle name="메모 3 82" xfId="858"/>
    <cellStyle name="메모 3 83" xfId="859"/>
    <cellStyle name="메모 3 84" xfId="860"/>
    <cellStyle name="메모 3 85" xfId="861"/>
    <cellStyle name="메모 3 86" xfId="862"/>
    <cellStyle name="메모 3 87" xfId="863"/>
    <cellStyle name="메모 3 88" xfId="864"/>
    <cellStyle name="메모 3 9" xfId="865"/>
    <cellStyle name="메모 3 9 2" xfId="866"/>
    <cellStyle name="메모 4" xfId="867"/>
    <cellStyle name="메모 4 10" xfId="868"/>
    <cellStyle name="메모 4 10 2" xfId="869"/>
    <cellStyle name="메모 4 11" xfId="870"/>
    <cellStyle name="메모 4 11 2" xfId="871"/>
    <cellStyle name="메모 4 12" xfId="872"/>
    <cellStyle name="메모 4 12 2" xfId="873"/>
    <cellStyle name="메모 4 13" xfId="874"/>
    <cellStyle name="메모 4 13 2" xfId="875"/>
    <cellStyle name="메모 4 14" xfId="876"/>
    <cellStyle name="메모 4 14 2" xfId="877"/>
    <cellStyle name="메모 4 15" xfId="878"/>
    <cellStyle name="메모 4 15 2" xfId="879"/>
    <cellStyle name="메모 4 16" xfId="880"/>
    <cellStyle name="메모 4 16 2" xfId="881"/>
    <cellStyle name="메모 4 17" xfId="882"/>
    <cellStyle name="메모 4 17 2" xfId="883"/>
    <cellStyle name="메모 4 18" xfId="884"/>
    <cellStyle name="메모 4 18 2" xfId="885"/>
    <cellStyle name="메모 4 19" xfId="886"/>
    <cellStyle name="메모 4 19 2" xfId="887"/>
    <cellStyle name="메모 4 2" xfId="888"/>
    <cellStyle name="메모 4 2 2" xfId="889"/>
    <cellStyle name="메모 4 20" xfId="890"/>
    <cellStyle name="메모 4 20 2" xfId="891"/>
    <cellStyle name="메모 4 21" xfId="892"/>
    <cellStyle name="메모 4 21 2" xfId="893"/>
    <cellStyle name="메모 4 22" xfId="894"/>
    <cellStyle name="메모 4 22 2" xfId="895"/>
    <cellStyle name="메모 4 23" xfId="896"/>
    <cellStyle name="메모 4 23 2" xfId="897"/>
    <cellStyle name="메모 4 24" xfId="898"/>
    <cellStyle name="메모 4 24 2" xfId="899"/>
    <cellStyle name="메모 4 25" xfId="900"/>
    <cellStyle name="메모 4 25 2" xfId="901"/>
    <cellStyle name="메모 4 26" xfId="902"/>
    <cellStyle name="메모 4 26 2" xfId="903"/>
    <cellStyle name="메모 4 27" xfId="904"/>
    <cellStyle name="메모 4 27 2" xfId="905"/>
    <cellStyle name="메모 4 28" xfId="906"/>
    <cellStyle name="메모 4 28 2" xfId="907"/>
    <cellStyle name="메모 4 29" xfId="908"/>
    <cellStyle name="메모 4 29 2" xfId="909"/>
    <cellStyle name="메모 4 3" xfId="910"/>
    <cellStyle name="메모 4 3 2" xfId="911"/>
    <cellStyle name="메모 4 30" xfId="912"/>
    <cellStyle name="메모 4 30 2" xfId="913"/>
    <cellStyle name="메모 4 31" xfId="914"/>
    <cellStyle name="메모 4 31 2" xfId="915"/>
    <cellStyle name="메모 4 32" xfId="916"/>
    <cellStyle name="메모 4 32 2" xfId="917"/>
    <cellStyle name="메모 4 33" xfId="918"/>
    <cellStyle name="메모 4 33 2" xfId="919"/>
    <cellStyle name="메모 4 34" xfId="920"/>
    <cellStyle name="메모 4 34 2" xfId="921"/>
    <cellStyle name="메모 4 35" xfId="922"/>
    <cellStyle name="메모 4 35 2" xfId="923"/>
    <cellStyle name="메모 4 36" xfId="924"/>
    <cellStyle name="메모 4 36 2" xfId="925"/>
    <cellStyle name="메모 4 37" xfId="926"/>
    <cellStyle name="메모 4 37 2" xfId="927"/>
    <cellStyle name="메모 4 38" xfId="928"/>
    <cellStyle name="메모 4 38 2" xfId="929"/>
    <cellStyle name="메모 4 39" xfId="930"/>
    <cellStyle name="메모 4 39 2" xfId="931"/>
    <cellStyle name="메모 4 4" xfId="932"/>
    <cellStyle name="메모 4 4 2" xfId="933"/>
    <cellStyle name="메모 4 40" xfId="934"/>
    <cellStyle name="메모 4 40 2" xfId="935"/>
    <cellStyle name="메모 4 41" xfId="936"/>
    <cellStyle name="메모 4 41 2" xfId="937"/>
    <cellStyle name="메모 4 42" xfId="938"/>
    <cellStyle name="메모 4 42 2" xfId="939"/>
    <cellStyle name="메모 4 43" xfId="940"/>
    <cellStyle name="메모 4 43 2" xfId="941"/>
    <cellStyle name="메모 4 44" xfId="942"/>
    <cellStyle name="메모 4 44 2" xfId="943"/>
    <cellStyle name="메모 4 45" xfId="944"/>
    <cellStyle name="메모 4 45 2" xfId="945"/>
    <cellStyle name="메모 4 46" xfId="946"/>
    <cellStyle name="메모 4 47" xfId="947"/>
    <cellStyle name="메모 4 48" xfId="948"/>
    <cellStyle name="메모 4 49" xfId="949"/>
    <cellStyle name="메모 4 5" xfId="950"/>
    <cellStyle name="메모 4 5 2" xfId="951"/>
    <cellStyle name="메모 4 50" xfId="952"/>
    <cellStyle name="메모 4 51" xfId="953"/>
    <cellStyle name="메모 4 52" xfId="954"/>
    <cellStyle name="메모 4 53" xfId="955"/>
    <cellStyle name="메모 4 54" xfId="956"/>
    <cellStyle name="메모 4 55" xfId="957"/>
    <cellStyle name="메모 4 56" xfId="958"/>
    <cellStyle name="메모 4 57" xfId="959"/>
    <cellStyle name="메모 4 58" xfId="960"/>
    <cellStyle name="메모 4 59" xfId="961"/>
    <cellStyle name="메모 4 6" xfId="962"/>
    <cellStyle name="메모 4 6 2" xfId="963"/>
    <cellStyle name="메모 4 60" xfId="964"/>
    <cellStyle name="메모 4 61" xfId="965"/>
    <cellStyle name="메모 4 62" xfId="966"/>
    <cellStyle name="메모 4 63" xfId="967"/>
    <cellStyle name="메모 4 64" xfId="968"/>
    <cellStyle name="메모 4 65" xfId="969"/>
    <cellStyle name="메모 4 66" xfId="970"/>
    <cellStyle name="메모 4 67" xfId="971"/>
    <cellStyle name="메모 4 68" xfId="972"/>
    <cellStyle name="메모 4 69" xfId="973"/>
    <cellStyle name="메모 4 7" xfId="974"/>
    <cellStyle name="메모 4 7 2" xfId="975"/>
    <cellStyle name="메모 4 70" xfId="976"/>
    <cellStyle name="메모 4 71" xfId="977"/>
    <cellStyle name="메모 4 72" xfId="978"/>
    <cellStyle name="메모 4 73" xfId="979"/>
    <cellStyle name="메모 4 74" xfId="980"/>
    <cellStyle name="메모 4 75" xfId="981"/>
    <cellStyle name="메모 4 76" xfId="982"/>
    <cellStyle name="메모 4 77" xfId="983"/>
    <cellStyle name="메모 4 78" xfId="984"/>
    <cellStyle name="메모 4 79" xfId="985"/>
    <cellStyle name="메모 4 8" xfId="986"/>
    <cellStyle name="메모 4 8 2" xfId="987"/>
    <cellStyle name="메모 4 80" xfId="988"/>
    <cellStyle name="메모 4 81" xfId="989"/>
    <cellStyle name="메모 4 82" xfId="990"/>
    <cellStyle name="메모 4 83" xfId="991"/>
    <cellStyle name="메모 4 84" xfId="992"/>
    <cellStyle name="메모 4 85" xfId="993"/>
    <cellStyle name="메모 4 86" xfId="994"/>
    <cellStyle name="메모 4 87" xfId="995"/>
    <cellStyle name="메모 4 88" xfId="996"/>
    <cellStyle name="메모 4 9" xfId="997"/>
    <cellStyle name="메모 4 9 2" xfId="998"/>
    <cellStyle name="메모 5" xfId="999"/>
    <cellStyle name="메모 6" xfId="1000"/>
    <cellStyle name="메모 7" xfId="1001"/>
    <cellStyle name="묮뎋 [0.00]_PRODUCT DETAIL Q1" xfId="4710"/>
    <cellStyle name="묮뎋_PRODUCT DETAIL Q1" xfId="4711"/>
    <cellStyle name="믅됞 [0.00]_laroux" xfId="4712"/>
    <cellStyle name="믅됞_laroux" xfId="4713"/>
    <cellStyle name="未定義" xfId="4714"/>
    <cellStyle name="백" xfId="4715"/>
    <cellStyle name="백_(최종) PKI부문EAM부문_재무양식(영업전달자료) 9월~12월 매출추정 자료_080911_(최종)" xfId="4716"/>
    <cellStyle name="백_(최종) PKI부문EAM부문_재무양식(영업전달자료) 9월~12월 매출추정 자료_080911_(최종) (version 1)" xfId="4717"/>
    <cellStyle name="백만" xfId="4718"/>
    <cellStyle name="백만원" xfId="4719"/>
    <cellStyle name="백분율" xfId="2" builtinId="5"/>
    <cellStyle name="백분율 2" xfId="4"/>
    <cellStyle name="백분율 2 2" xfId="4720"/>
    <cellStyle name="백분율 2 3" xfId="4872"/>
    <cellStyle name="백분율 2 4" xfId="1002"/>
    <cellStyle name="백분율 3" xfId="1003"/>
    <cellStyle name="백분율 3 2" xfId="4721"/>
    <cellStyle name="백분율 3 3" xfId="4873"/>
    <cellStyle name="백분율 4" xfId="2717"/>
    <cellStyle name="백분율 4 2" xfId="4723"/>
    <cellStyle name="백분율 4 3" xfId="4722"/>
    <cellStyle name="백분율 5" xfId="4724"/>
    <cellStyle name="백분율 6" xfId="4725"/>
    <cellStyle name="백분율 7" xfId="15"/>
    <cellStyle name="백분율 8" xfId="4871"/>
    <cellStyle name="보통 2" xfId="1004"/>
    <cellStyle name="보통 2 2" xfId="1005"/>
    <cellStyle name="보통 2 3" xfId="4726"/>
    <cellStyle name="보통 3" xfId="1006"/>
    <cellStyle name="보통 4" xfId="1007"/>
    <cellStyle name="보통 5" xfId="1008"/>
    <cellStyle name="보통 6" xfId="1009"/>
    <cellStyle name="普通_ 备 品 备 件" xfId="4727"/>
    <cellStyle name="뷭?" xfId="4728"/>
    <cellStyle name="뷭? 2" xfId="4729"/>
    <cellStyle name="뷭? 3" xfId="4730"/>
    <cellStyle name="常规_05.05" xfId="4731"/>
    <cellStyle name="새귑[0]_RESULTS" xfId="4732"/>
    <cellStyle name="새귑_RESULTS" xfId="4733"/>
    <cellStyle name="선택영역의 가운데로" xfId="4734"/>
    <cellStyle name="설명 텍스트 2" xfId="1010"/>
    <cellStyle name="설명 텍스트 2 2" xfId="1011"/>
    <cellStyle name="설명 텍스트 2 3" xfId="4735"/>
    <cellStyle name="설명 텍스트 3" xfId="1012"/>
    <cellStyle name="설명 텍스트 4" xfId="1013"/>
    <cellStyle name="설명 텍스트 5" xfId="1014"/>
    <cellStyle name="설명 텍스트 6" xfId="1015"/>
    <cellStyle name="셀 확인 2" xfId="1016"/>
    <cellStyle name="셀 확인 2 2" xfId="1017"/>
    <cellStyle name="셀 확인 2 3" xfId="4736"/>
    <cellStyle name="셀 확인 3" xfId="1018"/>
    <cellStyle name="셀 확인 4" xfId="1019"/>
    <cellStyle name="셀 확인 5" xfId="1020"/>
    <cellStyle name="셀 확인 6" xfId="1021"/>
    <cellStyle name="셈迷?XLS!check_filesche|_x0005_" xfId="4737"/>
    <cellStyle name="숫자(R)" xfId="4738"/>
    <cellStyle name="쉼표 [0]" xfId="1" builtinId="6"/>
    <cellStyle name="쉼표 [0] 10" xfId="1022"/>
    <cellStyle name="쉼표 [0] 10 2" xfId="4739"/>
    <cellStyle name="쉼표 [0] 11" xfId="4740"/>
    <cellStyle name="쉼표 [0] 12" xfId="1023"/>
    <cellStyle name="쉼표 [0] 13" xfId="1024"/>
    <cellStyle name="쉼표 [0] 14" xfId="14"/>
    <cellStyle name="쉼표 [0] 2" xfId="6"/>
    <cellStyle name="쉼표 [0] 2 10" xfId="1025"/>
    <cellStyle name="쉼표 [0] 2 11" xfId="2719"/>
    <cellStyle name="쉼표 [0] 2 12" xfId="4741"/>
    <cellStyle name="쉼표 [0] 2 13" xfId="4881"/>
    <cellStyle name="쉼표 [0] 2 2" xfId="1026"/>
    <cellStyle name="쉼표 [0] 2 2 2" xfId="1027"/>
    <cellStyle name="쉼표 [0] 2 2 3" xfId="1028"/>
    <cellStyle name="쉼표 [0] 2 2 4" xfId="1029"/>
    <cellStyle name="쉼표 [0] 2 2 5" xfId="1030"/>
    <cellStyle name="쉼표 [0] 2 2 6" xfId="1031"/>
    <cellStyle name="쉼표 [0] 2 2 7" xfId="1032"/>
    <cellStyle name="쉼표 [0] 2 2 8" xfId="1033"/>
    <cellStyle name="쉼표 [0] 2 2 9" xfId="1034"/>
    <cellStyle name="쉼표 [0] 2 3" xfId="1035"/>
    <cellStyle name="쉼표 [0] 2 4" xfId="1036"/>
    <cellStyle name="쉼표 [0] 2 5" xfId="1037"/>
    <cellStyle name="쉼표 [0] 2 6" xfId="1038"/>
    <cellStyle name="쉼표 [0] 2 7" xfId="1039"/>
    <cellStyle name="쉼표 [0] 2 8" xfId="1040"/>
    <cellStyle name="쉼표 [0] 2 9" xfId="1041"/>
    <cellStyle name="쉼표 [0] 3" xfId="5"/>
    <cellStyle name="쉼표 [0] 3 2" xfId="1043"/>
    <cellStyle name="쉼표 [0] 3 2 2" xfId="4875"/>
    <cellStyle name="쉼표 [0] 3 3" xfId="1044"/>
    <cellStyle name="쉼표 [0] 3 4" xfId="4742"/>
    <cellStyle name="쉼표 [0] 3 5" xfId="4874"/>
    <cellStyle name="쉼표 [0] 3 6" xfId="1042"/>
    <cellStyle name="쉼표 [0] 4" xfId="1045"/>
    <cellStyle name="쉼표 [0] 4 2" xfId="4743"/>
    <cellStyle name="쉼표 [0] 4 3" xfId="4876"/>
    <cellStyle name="쉼표 [0] 5" xfId="1046"/>
    <cellStyle name="쉼표 [0] 5 2" xfId="1047"/>
    <cellStyle name="쉼표 [0] 5 3" xfId="1048"/>
    <cellStyle name="쉼표 [0] 5 4" xfId="1049"/>
    <cellStyle name="쉼표 [0] 5 5" xfId="4744"/>
    <cellStyle name="쉼표 [0] 6" xfId="1050"/>
    <cellStyle name="쉼표 [0] 6 2" xfId="4745"/>
    <cellStyle name="쉼표 [0] 7" xfId="1051"/>
    <cellStyle name="쉼표 [0] 7 2" xfId="4746"/>
    <cellStyle name="쉼표 [0] 8" xfId="4747"/>
    <cellStyle name="쉼표 [0] 8 2" xfId="4748"/>
    <cellStyle name="쉼표 [0] 9" xfId="4749"/>
    <cellStyle name="쉼표 [0] 9 2" xfId="4750"/>
    <cellStyle name="쉼표[0]" xfId="1052"/>
    <cellStyle name="스타일 1" xfId="1053"/>
    <cellStyle name="스타일 1 2" xfId="4751"/>
    <cellStyle name="스타일 10" xfId="1054"/>
    <cellStyle name="스타일 11" xfId="1055"/>
    <cellStyle name="스타일 12" xfId="1056"/>
    <cellStyle name="스타일 13" xfId="1057"/>
    <cellStyle name="스타일 14" xfId="1058"/>
    <cellStyle name="스타일 15" xfId="1059"/>
    <cellStyle name="스타일 16" xfId="1060"/>
    <cellStyle name="스타일 17" xfId="1061"/>
    <cellStyle name="스타일 18" xfId="1062"/>
    <cellStyle name="스타일 19" xfId="1063"/>
    <cellStyle name="스타일 2" xfId="1064"/>
    <cellStyle name="스타일 2 2" xfId="4752"/>
    <cellStyle name="스타일 20" xfId="1065"/>
    <cellStyle name="스타일 21" xfId="1066"/>
    <cellStyle name="스타일 22" xfId="1067"/>
    <cellStyle name="스타일 3" xfId="1068"/>
    <cellStyle name="스타일 3 2" xfId="4753"/>
    <cellStyle name="스타일 4" xfId="1069"/>
    <cellStyle name="스타일 4 2" xfId="4754"/>
    <cellStyle name="스타일 5" xfId="1070"/>
    <cellStyle name="스타일 5 2" xfId="4755"/>
    <cellStyle name="스타일 6" xfId="1071"/>
    <cellStyle name="스타일 6 2" xfId="4756"/>
    <cellStyle name="스타일 7" xfId="1072"/>
    <cellStyle name="스타일 7 2" xfId="4757"/>
    <cellStyle name="스타일 8" xfId="1073"/>
    <cellStyle name="스타일 9" xfId="1074"/>
    <cellStyle name="안건회계법인" xfId="4758"/>
    <cellStyle name="연결된 셀 2" xfId="1075"/>
    <cellStyle name="연결된 셀 2 2" xfId="1076"/>
    <cellStyle name="연결된 셀 2 3" xfId="4759"/>
    <cellStyle name="연결된 셀 3" xfId="1077"/>
    <cellStyle name="연결된 셀 4" xfId="1078"/>
    <cellStyle name="연결된 셀 5" xfId="1079"/>
    <cellStyle name="연결된 셀 6" xfId="1080"/>
    <cellStyle name="霓付 [0]_95" xfId="4760"/>
    <cellStyle name="霓付_95" xfId="4761"/>
    <cellStyle name="요약 2" xfId="1081"/>
    <cellStyle name="요약 2 10" xfId="1082"/>
    <cellStyle name="요약 2 10 2" xfId="1083"/>
    <cellStyle name="요약 2 11" xfId="1084"/>
    <cellStyle name="요약 2 11 2" xfId="1085"/>
    <cellStyle name="요약 2 12" xfId="1086"/>
    <cellStyle name="요약 2 12 2" xfId="1087"/>
    <cellStyle name="요약 2 13" xfId="1088"/>
    <cellStyle name="요약 2 13 2" xfId="1089"/>
    <cellStyle name="요약 2 14" xfId="1090"/>
    <cellStyle name="요약 2 14 2" xfId="1091"/>
    <cellStyle name="요약 2 15" xfId="1092"/>
    <cellStyle name="요약 2 15 2" xfId="1093"/>
    <cellStyle name="요약 2 16" xfId="1094"/>
    <cellStyle name="요약 2 16 2" xfId="1095"/>
    <cellStyle name="요약 2 17" xfId="1096"/>
    <cellStyle name="요약 2 17 2" xfId="1097"/>
    <cellStyle name="요약 2 18" xfId="1098"/>
    <cellStyle name="요약 2 18 2" xfId="1099"/>
    <cellStyle name="요약 2 19" xfId="1100"/>
    <cellStyle name="요약 2 19 2" xfId="1101"/>
    <cellStyle name="요약 2 2" xfId="1102"/>
    <cellStyle name="요약 2 20" xfId="1103"/>
    <cellStyle name="요약 2 20 2" xfId="1104"/>
    <cellStyle name="요약 2 21" xfId="1105"/>
    <cellStyle name="요약 2 21 2" xfId="1106"/>
    <cellStyle name="요약 2 22" xfId="1107"/>
    <cellStyle name="요약 2 22 2" xfId="1108"/>
    <cellStyle name="요약 2 23" xfId="1109"/>
    <cellStyle name="요약 2 23 2" xfId="1110"/>
    <cellStyle name="요약 2 24" xfId="1111"/>
    <cellStyle name="요약 2 24 2" xfId="1112"/>
    <cellStyle name="요약 2 25" xfId="1113"/>
    <cellStyle name="요약 2 25 2" xfId="1114"/>
    <cellStyle name="요약 2 26" xfId="1115"/>
    <cellStyle name="요약 2 26 2" xfId="1116"/>
    <cellStyle name="요약 2 27" xfId="1117"/>
    <cellStyle name="요약 2 27 2" xfId="1118"/>
    <cellStyle name="요약 2 28" xfId="1119"/>
    <cellStyle name="요약 2 28 2" xfId="1120"/>
    <cellStyle name="요약 2 29" xfId="1121"/>
    <cellStyle name="요약 2 29 2" xfId="1122"/>
    <cellStyle name="요약 2 3" xfId="1123"/>
    <cellStyle name="요약 2 3 2" xfId="1124"/>
    <cellStyle name="요약 2 30" xfId="1125"/>
    <cellStyle name="요약 2 30 2" xfId="1126"/>
    <cellStyle name="요약 2 31" xfId="1127"/>
    <cellStyle name="요약 2 31 2" xfId="1128"/>
    <cellStyle name="요약 2 32" xfId="1129"/>
    <cellStyle name="요약 2 32 2" xfId="1130"/>
    <cellStyle name="요약 2 33" xfId="1131"/>
    <cellStyle name="요약 2 33 2" xfId="1132"/>
    <cellStyle name="요약 2 34" xfId="1133"/>
    <cellStyle name="요약 2 34 2" xfId="1134"/>
    <cellStyle name="요약 2 35" xfId="1135"/>
    <cellStyle name="요약 2 35 2" xfId="1136"/>
    <cellStyle name="요약 2 36" xfId="1137"/>
    <cellStyle name="요약 2 36 2" xfId="1138"/>
    <cellStyle name="요약 2 37" xfId="1139"/>
    <cellStyle name="요약 2 37 2" xfId="1140"/>
    <cellStyle name="요약 2 38" xfId="1141"/>
    <cellStyle name="요약 2 38 2" xfId="1142"/>
    <cellStyle name="요약 2 39" xfId="1143"/>
    <cellStyle name="요약 2 39 2" xfId="1144"/>
    <cellStyle name="요약 2 4" xfId="1145"/>
    <cellStyle name="요약 2 4 2" xfId="1146"/>
    <cellStyle name="요약 2 40" xfId="1147"/>
    <cellStyle name="요약 2 40 2" xfId="1148"/>
    <cellStyle name="요약 2 41" xfId="1149"/>
    <cellStyle name="요약 2 41 2" xfId="1150"/>
    <cellStyle name="요약 2 42" xfId="1151"/>
    <cellStyle name="요약 2 42 2" xfId="1152"/>
    <cellStyle name="요약 2 43" xfId="1153"/>
    <cellStyle name="요약 2 43 2" xfId="1154"/>
    <cellStyle name="요약 2 44" xfId="1155"/>
    <cellStyle name="요약 2 44 2" xfId="1156"/>
    <cellStyle name="요약 2 45" xfId="1157"/>
    <cellStyle name="요약 2 45 2" xfId="1158"/>
    <cellStyle name="요약 2 46" xfId="1159"/>
    <cellStyle name="요약 2 46 2" xfId="1160"/>
    <cellStyle name="요약 2 47" xfId="1161"/>
    <cellStyle name="요약 2 48" xfId="1162"/>
    <cellStyle name="요약 2 49" xfId="1163"/>
    <cellStyle name="요약 2 5" xfId="1164"/>
    <cellStyle name="요약 2 5 2" xfId="1165"/>
    <cellStyle name="요약 2 50" xfId="1166"/>
    <cellStyle name="요약 2 51" xfId="1167"/>
    <cellStyle name="요약 2 52" xfId="1168"/>
    <cellStyle name="요약 2 53" xfId="1169"/>
    <cellStyle name="요약 2 54" xfId="1170"/>
    <cellStyle name="요약 2 55" xfId="1171"/>
    <cellStyle name="요약 2 56" xfId="1172"/>
    <cellStyle name="요약 2 57" xfId="1173"/>
    <cellStyle name="요약 2 58" xfId="1174"/>
    <cellStyle name="요약 2 59" xfId="1175"/>
    <cellStyle name="요약 2 6" xfId="1176"/>
    <cellStyle name="요약 2 6 2" xfId="1177"/>
    <cellStyle name="요약 2 60" xfId="1178"/>
    <cellStyle name="요약 2 61" xfId="1179"/>
    <cellStyle name="요약 2 62" xfId="1180"/>
    <cellStyle name="요약 2 63" xfId="1181"/>
    <cellStyle name="요약 2 64" xfId="1182"/>
    <cellStyle name="요약 2 65" xfId="1183"/>
    <cellStyle name="요약 2 66" xfId="1184"/>
    <cellStyle name="요약 2 67" xfId="1185"/>
    <cellStyle name="요약 2 68" xfId="1186"/>
    <cellStyle name="요약 2 69" xfId="1187"/>
    <cellStyle name="요약 2 7" xfId="1188"/>
    <cellStyle name="요약 2 7 2" xfId="1189"/>
    <cellStyle name="요약 2 70" xfId="1190"/>
    <cellStyle name="요약 2 71" xfId="1191"/>
    <cellStyle name="요약 2 72" xfId="1192"/>
    <cellStyle name="요약 2 73" xfId="1193"/>
    <cellStyle name="요약 2 74" xfId="1194"/>
    <cellStyle name="요약 2 75" xfId="1195"/>
    <cellStyle name="요약 2 76" xfId="1196"/>
    <cellStyle name="요약 2 77" xfId="1197"/>
    <cellStyle name="요약 2 78" xfId="1198"/>
    <cellStyle name="요약 2 79" xfId="1199"/>
    <cellStyle name="요약 2 8" xfId="1200"/>
    <cellStyle name="요약 2 8 2" xfId="1201"/>
    <cellStyle name="요약 2 80" xfId="1202"/>
    <cellStyle name="요약 2 81" xfId="1203"/>
    <cellStyle name="요약 2 82" xfId="1204"/>
    <cellStyle name="요약 2 83" xfId="1205"/>
    <cellStyle name="요약 2 84" xfId="1206"/>
    <cellStyle name="요약 2 85" xfId="1207"/>
    <cellStyle name="요약 2 86" xfId="1208"/>
    <cellStyle name="요약 2 87" xfId="1209"/>
    <cellStyle name="요약 2 88" xfId="1210"/>
    <cellStyle name="요약 2 89" xfId="1211"/>
    <cellStyle name="요약 2 9" xfId="1212"/>
    <cellStyle name="요약 2 9 2" xfId="1213"/>
    <cellStyle name="요약 2 90" xfId="4762"/>
    <cellStyle name="요약 3" xfId="1214"/>
    <cellStyle name="요약 3 10" xfId="1215"/>
    <cellStyle name="요약 3 10 2" xfId="1216"/>
    <cellStyle name="요약 3 11" xfId="1217"/>
    <cellStyle name="요약 3 11 2" xfId="1218"/>
    <cellStyle name="요약 3 12" xfId="1219"/>
    <cellStyle name="요약 3 12 2" xfId="1220"/>
    <cellStyle name="요약 3 13" xfId="1221"/>
    <cellStyle name="요약 3 13 2" xfId="1222"/>
    <cellStyle name="요약 3 14" xfId="1223"/>
    <cellStyle name="요약 3 14 2" xfId="1224"/>
    <cellStyle name="요약 3 15" xfId="1225"/>
    <cellStyle name="요약 3 15 2" xfId="1226"/>
    <cellStyle name="요약 3 16" xfId="1227"/>
    <cellStyle name="요약 3 16 2" xfId="1228"/>
    <cellStyle name="요약 3 17" xfId="1229"/>
    <cellStyle name="요약 3 17 2" xfId="1230"/>
    <cellStyle name="요약 3 18" xfId="1231"/>
    <cellStyle name="요약 3 18 2" xfId="1232"/>
    <cellStyle name="요약 3 19" xfId="1233"/>
    <cellStyle name="요약 3 19 2" xfId="1234"/>
    <cellStyle name="요약 3 2" xfId="1235"/>
    <cellStyle name="요약 3 2 2" xfId="1236"/>
    <cellStyle name="요약 3 20" xfId="1237"/>
    <cellStyle name="요약 3 20 2" xfId="1238"/>
    <cellStyle name="요약 3 21" xfId="1239"/>
    <cellStyle name="요약 3 21 2" xfId="1240"/>
    <cellStyle name="요약 3 22" xfId="1241"/>
    <cellStyle name="요약 3 22 2" xfId="1242"/>
    <cellStyle name="요약 3 23" xfId="1243"/>
    <cellStyle name="요약 3 23 2" xfId="1244"/>
    <cellStyle name="요약 3 24" xfId="1245"/>
    <cellStyle name="요약 3 24 2" xfId="1246"/>
    <cellStyle name="요약 3 25" xfId="1247"/>
    <cellStyle name="요약 3 25 2" xfId="1248"/>
    <cellStyle name="요약 3 26" xfId="1249"/>
    <cellStyle name="요약 3 26 2" xfId="1250"/>
    <cellStyle name="요약 3 27" xfId="1251"/>
    <cellStyle name="요약 3 27 2" xfId="1252"/>
    <cellStyle name="요약 3 28" xfId="1253"/>
    <cellStyle name="요약 3 28 2" xfId="1254"/>
    <cellStyle name="요약 3 29" xfId="1255"/>
    <cellStyle name="요약 3 29 2" xfId="1256"/>
    <cellStyle name="요약 3 3" xfId="1257"/>
    <cellStyle name="요약 3 3 2" xfId="1258"/>
    <cellStyle name="요약 3 30" xfId="1259"/>
    <cellStyle name="요약 3 30 2" xfId="1260"/>
    <cellStyle name="요약 3 31" xfId="1261"/>
    <cellStyle name="요약 3 31 2" xfId="1262"/>
    <cellStyle name="요약 3 32" xfId="1263"/>
    <cellStyle name="요약 3 32 2" xfId="1264"/>
    <cellStyle name="요약 3 33" xfId="1265"/>
    <cellStyle name="요약 3 33 2" xfId="1266"/>
    <cellStyle name="요약 3 34" xfId="1267"/>
    <cellStyle name="요약 3 34 2" xfId="1268"/>
    <cellStyle name="요약 3 35" xfId="1269"/>
    <cellStyle name="요약 3 35 2" xfId="1270"/>
    <cellStyle name="요약 3 36" xfId="1271"/>
    <cellStyle name="요약 3 36 2" xfId="1272"/>
    <cellStyle name="요약 3 37" xfId="1273"/>
    <cellStyle name="요약 3 37 2" xfId="1274"/>
    <cellStyle name="요약 3 38" xfId="1275"/>
    <cellStyle name="요약 3 38 2" xfId="1276"/>
    <cellStyle name="요약 3 39" xfId="1277"/>
    <cellStyle name="요약 3 39 2" xfId="1278"/>
    <cellStyle name="요약 3 4" xfId="1279"/>
    <cellStyle name="요약 3 4 2" xfId="1280"/>
    <cellStyle name="요약 3 40" xfId="1281"/>
    <cellStyle name="요약 3 40 2" xfId="1282"/>
    <cellStyle name="요약 3 41" xfId="1283"/>
    <cellStyle name="요약 3 41 2" xfId="1284"/>
    <cellStyle name="요약 3 42" xfId="1285"/>
    <cellStyle name="요약 3 42 2" xfId="1286"/>
    <cellStyle name="요약 3 43" xfId="1287"/>
    <cellStyle name="요약 3 43 2" xfId="1288"/>
    <cellStyle name="요약 3 44" xfId="1289"/>
    <cellStyle name="요약 3 44 2" xfId="1290"/>
    <cellStyle name="요약 3 45" xfId="1291"/>
    <cellStyle name="요약 3 45 2" xfId="1292"/>
    <cellStyle name="요약 3 46" xfId="1293"/>
    <cellStyle name="요약 3 47" xfId="1294"/>
    <cellStyle name="요약 3 48" xfId="1295"/>
    <cellStyle name="요약 3 49" xfId="1296"/>
    <cellStyle name="요약 3 5" xfId="1297"/>
    <cellStyle name="요약 3 5 2" xfId="1298"/>
    <cellStyle name="요약 3 50" xfId="1299"/>
    <cellStyle name="요약 3 51" xfId="1300"/>
    <cellStyle name="요약 3 52" xfId="1301"/>
    <cellStyle name="요약 3 53" xfId="1302"/>
    <cellStyle name="요약 3 54" xfId="1303"/>
    <cellStyle name="요약 3 55" xfId="1304"/>
    <cellStyle name="요약 3 56" xfId="1305"/>
    <cellStyle name="요약 3 57" xfId="1306"/>
    <cellStyle name="요약 3 58" xfId="1307"/>
    <cellStyle name="요약 3 59" xfId="1308"/>
    <cellStyle name="요약 3 6" xfId="1309"/>
    <cellStyle name="요약 3 6 2" xfId="1310"/>
    <cellStyle name="요약 3 60" xfId="1311"/>
    <cellStyle name="요약 3 61" xfId="1312"/>
    <cellStyle name="요약 3 62" xfId="1313"/>
    <cellStyle name="요약 3 63" xfId="1314"/>
    <cellStyle name="요약 3 64" xfId="1315"/>
    <cellStyle name="요약 3 65" xfId="1316"/>
    <cellStyle name="요약 3 66" xfId="1317"/>
    <cellStyle name="요약 3 67" xfId="1318"/>
    <cellStyle name="요약 3 68" xfId="1319"/>
    <cellStyle name="요약 3 69" xfId="1320"/>
    <cellStyle name="요약 3 7" xfId="1321"/>
    <cellStyle name="요약 3 7 2" xfId="1322"/>
    <cellStyle name="요약 3 70" xfId="1323"/>
    <cellStyle name="요약 3 71" xfId="1324"/>
    <cellStyle name="요약 3 72" xfId="1325"/>
    <cellStyle name="요약 3 73" xfId="1326"/>
    <cellStyle name="요약 3 74" xfId="1327"/>
    <cellStyle name="요약 3 75" xfId="1328"/>
    <cellStyle name="요약 3 76" xfId="1329"/>
    <cellStyle name="요약 3 77" xfId="1330"/>
    <cellStyle name="요약 3 78" xfId="1331"/>
    <cellStyle name="요약 3 79" xfId="1332"/>
    <cellStyle name="요약 3 8" xfId="1333"/>
    <cellStyle name="요약 3 8 2" xfId="1334"/>
    <cellStyle name="요약 3 80" xfId="1335"/>
    <cellStyle name="요약 3 81" xfId="1336"/>
    <cellStyle name="요약 3 82" xfId="1337"/>
    <cellStyle name="요약 3 83" xfId="1338"/>
    <cellStyle name="요약 3 84" xfId="1339"/>
    <cellStyle name="요약 3 85" xfId="1340"/>
    <cellStyle name="요약 3 86" xfId="1341"/>
    <cellStyle name="요약 3 87" xfId="1342"/>
    <cellStyle name="요약 3 88" xfId="1343"/>
    <cellStyle name="요약 3 9" xfId="1344"/>
    <cellStyle name="요약 3 9 2" xfId="1345"/>
    <cellStyle name="요약 4" xfId="1346"/>
    <cellStyle name="요약 4 10" xfId="1347"/>
    <cellStyle name="요약 4 10 2" xfId="1348"/>
    <cellStyle name="요약 4 11" xfId="1349"/>
    <cellStyle name="요약 4 11 2" xfId="1350"/>
    <cellStyle name="요약 4 12" xfId="1351"/>
    <cellStyle name="요약 4 12 2" xfId="1352"/>
    <cellStyle name="요약 4 13" xfId="1353"/>
    <cellStyle name="요약 4 13 2" xfId="1354"/>
    <cellStyle name="요약 4 14" xfId="1355"/>
    <cellStyle name="요약 4 14 2" xfId="1356"/>
    <cellStyle name="요약 4 15" xfId="1357"/>
    <cellStyle name="요약 4 15 2" xfId="1358"/>
    <cellStyle name="요약 4 16" xfId="1359"/>
    <cellStyle name="요약 4 16 2" xfId="1360"/>
    <cellStyle name="요약 4 17" xfId="1361"/>
    <cellStyle name="요약 4 17 2" xfId="1362"/>
    <cellStyle name="요약 4 18" xfId="1363"/>
    <cellStyle name="요약 4 18 2" xfId="1364"/>
    <cellStyle name="요약 4 19" xfId="1365"/>
    <cellStyle name="요약 4 19 2" xfId="1366"/>
    <cellStyle name="요약 4 2" xfId="1367"/>
    <cellStyle name="요약 4 2 2" xfId="1368"/>
    <cellStyle name="요약 4 20" xfId="1369"/>
    <cellStyle name="요약 4 20 2" xfId="1370"/>
    <cellStyle name="요약 4 21" xfId="1371"/>
    <cellStyle name="요약 4 21 2" xfId="1372"/>
    <cellStyle name="요약 4 22" xfId="1373"/>
    <cellStyle name="요약 4 22 2" xfId="1374"/>
    <cellStyle name="요약 4 23" xfId="1375"/>
    <cellStyle name="요약 4 23 2" xfId="1376"/>
    <cellStyle name="요약 4 24" xfId="1377"/>
    <cellStyle name="요약 4 24 2" xfId="1378"/>
    <cellStyle name="요약 4 25" xfId="1379"/>
    <cellStyle name="요약 4 25 2" xfId="1380"/>
    <cellStyle name="요약 4 26" xfId="1381"/>
    <cellStyle name="요약 4 26 2" xfId="1382"/>
    <cellStyle name="요약 4 27" xfId="1383"/>
    <cellStyle name="요약 4 27 2" xfId="1384"/>
    <cellStyle name="요약 4 28" xfId="1385"/>
    <cellStyle name="요약 4 28 2" xfId="1386"/>
    <cellStyle name="요약 4 29" xfId="1387"/>
    <cellStyle name="요약 4 29 2" xfId="1388"/>
    <cellStyle name="요약 4 3" xfId="1389"/>
    <cellStyle name="요약 4 3 2" xfId="1390"/>
    <cellStyle name="요약 4 30" xfId="1391"/>
    <cellStyle name="요약 4 30 2" xfId="1392"/>
    <cellStyle name="요약 4 31" xfId="1393"/>
    <cellStyle name="요약 4 31 2" xfId="1394"/>
    <cellStyle name="요약 4 32" xfId="1395"/>
    <cellStyle name="요약 4 32 2" xfId="1396"/>
    <cellStyle name="요약 4 33" xfId="1397"/>
    <cellStyle name="요약 4 33 2" xfId="1398"/>
    <cellStyle name="요약 4 34" xfId="1399"/>
    <cellStyle name="요약 4 34 2" xfId="1400"/>
    <cellStyle name="요약 4 35" xfId="1401"/>
    <cellStyle name="요약 4 35 2" xfId="1402"/>
    <cellStyle name="요약 4 36" xfId="1403"/>
    <cellStyle name="요약 4 36 2" xfId="1404"/>
    <cellStyle name="요약 4 37" xfId="1405"/>
    <cellStyle name="요약 4 37 2" xfId="1406"/>
    <cellStyle name="요약 4 38" xfId="1407"/>
    <cellStyle name="요약 4 38 2" xfId="1408"/>
    <cellStyle name="요약 4 39" xfId="1409"/>
    <cellStyle name="요약 4 39 2" xfId="1410"/>
    <cellStyle name="요약 4 4" xfId="1411"/>
    <cellStyle name="요약 4 4 2" xfId="1412"/>
    <cellStyle name="요약 4 40" xfId="1413"/>
    <cellStyle name="요약 4 40 2" xfId="1414"/>
    <cellStyle name="요약 4 41" xfId="1415"/>
    <cellStyle name="요약 4 41 2" xfId="1416"/>
    <cellStyle name="요약 4 42" xfId="1417"/>
    <cellStyle name="요약 4 42 2" xfId="1418"/>
    <cellStyle name="요약 4 43" xfId="1419"/>
    <cellStyle name="요약 4 43 2" xfId="1420"/>
    <cellStyle name="요약 4 44" xfId="1421"/>
    <cellStyle name="요약 4 44 2" xfId="1422"/>
    <cellStyle name="요약 4 45" xfId="1423"/>
    <cellStyle name="요약 4 45 2" xfId="1424"/>
    <cellStyle name="요약 4 46" xfId="1425"/>
    <cellStyle name="요약 4 47" xfId="1426"/>
    <cellStyle name="요약 4 48" xfId="1427"/>
    <cellStyle name="요약 4 49" xfId="1428"/>
    <cellStyle name="요약 4 5" xfId="1429"/>
    <cellStyle name="요약 4 5 2" xfId="1430"/>
    <cellStyle name="요약 4 50" xfId="1431"/>
    <cellStyle name="요약 4 51" xfId="1432"/>
    <cellStyle name="요약 4 52" xfId="1433"/>
    <cellStyle name="요약 4 53" xfId="1434"/>
    <cellStyle name="요약 4 54" xfId="1435"/>
    <cellStyle name="요약 4 55" xfId="1436"/>
    <cellStyle name="요약 4 56" xfId="1437"/>
    <cellStyle name="요약 4 57" xfId="1438"/>
    <cellStyle name="요약 4 58" xfId="1439"/>
    <cellStyle name="요약 4 59" xfId="1440"/>
    <cellStyle name="요약 4 6" xfId="1441"/>
    <cellStyle name="요약 4 6 2" xfId="1442"/>
    <cellStyle name="요약 4 60" xfId="1443"/>
    <cellStyle name="요약 4 61" xfId="1444"/>
    <cellStyle name="요약 4 62" xfId="1445"/>
    <cellStyle name="요약 4 63" xfId="1446"/>
    <cellStyle name="요약 4 64" xfId="1447"/>
    <cellStyle name="요약 4 65" xfId="1448"/>
    <cellStyle name="요약 4 66" xfId="1449"/>
    <cellStyle name="요약 4 67" xfId="1450"/>
    <cellStyle name="요약 4 68" xfId="1451"/>
    <cellStyle name="요약 4 69" xfId="1452"/>
    <cellStyle name="요약 4 7" xfId="1453"/>
    <cellStyle name="요약 4 7 2" xfId="1454"/>
    <cellStyle name="요약 4 70" xfId="1455"/>
    <cellStyle name="요약 4 71" xfId="1456"/>
    <cellStyle name="요약 4 72" xfId="1457"/>
    <cellStyle name="요약 4 73" xfId="1458"/>
    <cellStyle name="요약 4 74" xfId="1459"/>
    <cellStyle name="요약 4 75" xfId="1460"/>
    <cellStyle name="요약 4 76" xfId="1461"/>
    <cellStyle name="요약 4 77" xfId="1462"/>
    <cellStyle name="요약 4 78" xfId="1463"/>
    <cellStyle name="요약 4 79" xfId="1464"/>
    <cellStyle name="요약 4 8" xfId="1465"/>
    <cellStyle name="요약 4 8 2" xfId="1466"/>
    <cellStyle name="요약 4 80" xfId="1467"/>
    <cellStyle name="요약 4 81" xfId="1468"/>
    <cellStyle name="요약 4 82" xfId="1469"/>
    <cellStyle name="요약 4 83" xfId="1470"/>
    <cellStyle name="요약 4 84" xfId="1471"/>
    <cellStyle name="요약 4 85" xfId="1472"/>
    <cellStyle name="요약 4 86" xfId="1473"/>
    <cellStyle name="요약 4 87" xfId="1474"/>
    <cellStyle name="요약 4 88" xfId="1475"/>
    <cellStyle name="요약 4 9" xfId="1476"/>
    <cellStyle name="요약 4 9 2" xfId="1477"/>
    <cellStyle name="요약 5" xfId="1478"/>
    <cellStyle name="요약 6" xfId="1479"/>
    <cellStyle name="원통화" xfId="4763"/>
    <cellStyle name="一般_Sheet1" xfId="4764"/>
    <cellStyle name="입력 2" xfId="1480"/>
    <cellStyle name="입력 2 10" xfId="1481"/>
    <cellStyle name="입력 2 10 2" xfId="1482"/>
    <cellStyle name="입력 2 11" xfId="1483"/>
    <cellStyle name="입력 2 11 2" xfId="1484"/>
    <cellStyle name="입력 2 12" xfId="1485"/>
    <cellStyle name="입력 2 12 2" xfId="1486"/>
    <cellStyle name="입력 2 13" xfId="1487"/>
    <cellStyle name="입력 2 13 2" xfId="1488"/>
    <cellStyle name="입력 2 14" xfId="1489"/>
    <cellStyle name="입력 2 14 2" xfId="1490"/>
    <cellStyle name="입력 2 15" xfId="1491"/>
    <cellStyle name="입력 2 15 2" xfId="1492"/>
    <cellStyle name="입력 2 16" xfId="1493"/>
    <cellStyle name="입력 2 16 2" xfId="1494"/>
    <cellStyle name="입력 2 17" xfId="1495"/>
    <cellStyle name="입력 2 17 2" xfId="1496"/>
    <cellStyle name="입력 2 18" xfId="1497"/>
    <cellStyle name="입력 2 18 2" xfId="1498"/>
    <cellStyle name="입력 2 19" xfId="1499"/>
    <cellStyle name="입력 2 19 2" xfId="1500"/>
    <cellStyle name="입력 2 2" xfId="1501"/>
    <cellStyle name="입력 2 20" xfId="1502"/>
    <cellStyle name="입력 2 20 2" xfId="1503"/>
    <cellStyle name="입력 2 21" xfId="1504"/>
    <cellStyle name="입력 2 21 2" xfId="1505"/>
    <cellStyle name="입력 2 22" xfId="1506"/>
    <cellStyle name="입력 2 22 2" xfId="1507"/>
    <cellStyle name="입력 2 23" xfId="1508"/>
    <cellStyle name="입력 2 23 2" xfId="1509"/>
    <cellStyle name="입력 2 24" xfId="1510"/>
    <cellStyle name="입력 2 24 2" xfId="1511"/>
    <cellStyle name="입력 2 25" xfId="1512"/>
    <cellStyle name="입력 2 25 2" xfId="1513"/>
    <cellStyle name="입력 2 26" xfId="1514"/>
    <cellStyle name="입력 2 26 2" xfId="1515"/>
    <cellStyle name="입력 2 27" xfId="1516"/>
    <cellStyle name="입력 2 27 2" xfId="1517"/>
    <cellStyle name="입력 2 28" xfId="1518"/>
    <cellStyle name="입력 2 28 2" xfId="1519"/>
    <cellStyle name="입력 2 29" xfId="1520"/>
    <cellStyle name="입력 2 29 2" xfId="1521"/>
    <cellStyle name="입력 2 3" xfId="1522"/>
    <cellStyle name="입력 2 3 2" xfId="1523"/>
    <cellStyle name="입력 2 30" xfId="1524"/>
    <cellStyle name="입력 2 30 2" xfId="1525"/>
    <cellStyle name="입력 2 31" xfId="1526"/>
    <cellStyle name="입력 2 31 2" xfId="1527"/>
    <cellStyle name="입력 2 32" xfId="1528"/>
    <cellStyle name="입력 2 32 2" xfId="1529"/>
    <cellStyle name="입력 2 33" xfId="1530"/>
    <cellStyle name="입력 2 33 2" xfId="1531"/>
    <cellStyle name="입력 2 34" xfId="1532"/>
    <cellStyle name="입력 2 34 2" xfId="1533"/>
    <cellStyle name="입력 2 35" xfId="1534"/>
    <cellStyle name="입력 2 35 2" xfId="1535"/>
    <cellStyle name="입력 2 36" xfId="1536"/>
    <cellStyle name="입력 2 36 2" xfId="1537"/>
    <cellStyle name="입력 2 37" xfId="1538"/>
    <cellStyle name="입력 2 37 2" xfId="1539"/>
    <cellStyle name="입력 2 38" xfId="1540"/>
    <cellStyle name="입력 2 38 2" xfId="1541"/>
    <cellStyle name="입력 2 39" xfId="1542"/>
    <cellStyle name="입력 2 39 2" xfId="1543"/>
    <cellStyle name="입력 2 4" xfId="1544"/>
    <cellStyle name="입력 2 4 2" xfId="1545"/>
    <cellStyle name="입력 2 40" xfId="1546"/>
    <cellStyle name="입력 2 40 2" xfId="1547"/>
    <cellStyle name="입력 2 41" xfId="1548"/>
    <cellStyle name="입력 2 41 2" xfId="1549"/>
    <cellStyle name="입력 2 42" xfId="1550"/>
    <cellStyle name="입력 2 42 2" xfId="1551"/>
    <cellStyle name="입력 2 43" xfId="1552"/>
    <cellStyle name="입력 2 43 2" xfId="1553"/>
    <cellStyle name="입력 2 44" xfId="1554"/>
    <cellStyle name="입력 2 44 2" xfId="1555"/>
    <cellStyle name="입력 2 45" xfId="1556"/>
    <cellStyle name="입력 2 45 2" xfId="1557"/>
    <cellStyle name="입력 2 46" xfId="1558"/>
    <cellStyle name="입력 2 46 2" xfId="1559"/>
    <cellStyle name="입력 2 47" xfId="1560"/>
    <cellStyle name="입력 2 48" xfId="1561"/>
    <cellStyle name="입력 2 49" xfId="1562"/>
    <cellStyle name="입력 2 5" xfId="1563"/>
    <cellStyle name="입력 2 5 2" xfId="1564"/>
    <cellStyle name="입력 2 50" xfId="1565"/>
    <cellStyle name="입력 2 51" xfId="1566"/>
    <cellStyle name="입력 2 52" xfId="1567"/>
    <cellStyle name="입력 2 53" xfId="1568"/>
    <cellStyle name="입력 2 54" xfId="1569"/>
    <cellStyle name="입력 2 55" xfId="1570"/>
    <cellStyle name="입력 2 56" xfId="1571"/>
    <cellStyle name="입력 2 57" xfId="1572"/>
    <cellStyle name="입력 2 58" xfId="1573"/>
    <cellStyle name="입력 2 59" xfId="1574"/>
    <cellStyle name="입력 2 6" xfId="1575"/>
    <cellStyle name="입력 2 6 2" xfId="1576"/>
    <cellStyle name="입력 2 60" xfId="1577"/>
    <cellStyle name="입력 2 61" xfId="1578"/>
    <cellStyle name="입력 2 62" xfId="1579"/>
    <cellStyle name="입력 2 63" xfId="1580"/>
    <cellStyle name="입력 2 64" xfId="1581"/>
    <cellStyle name="입력 2 65" xfId="1582"/>
    <cellStyle name="입력 2 66" xfId="1583"/>
    <cellStyle name="입력 2 67" xfId="1584"/>
    <cellStyle name="입력 2 68" xfId="1585"/>
    <cellStyle name="입력 2 69" xfId="1586"/>
    <cellStyle name="입력 2 7" xfId="1587"/>
    <cellStyle name="입력 2 7 2" xfId="1588"/>
    <cellStyle name="입력 2 70" xfId="1589"/>
    <cellStyle name="입력 2 71" xfId="1590"/>
    <cellStyle name="입력 2 72" xfId="1591"/>
    <cellStyle name="입력 2 73" xfId="1592"/>
    <cellStyle name="입력 2 74" xfId="1593"/>
    <cellStyle name="입력 2 75" xfId="1594"/>
    <cellStyle name="입력 2 76" xfId="1595"/>
    <cellStyle name="입력 2 77" xfId="1596"/>
    <cellStyle name="입력 2 78" xfId="1597"/>
    <cellStyle name="입력 2 79" xfId="1598"/>
    <cellStyle name="입력 2 8" xfId="1599"/>
    <cellStyle name="입력 2 8 2" xfId="1600"/>
    <cellStyle name="입력 2 80" xfId="1601"/>
    <cellStyle name="입력 2 81" xfId="1602"/>
    <cellStyle name="입력 2 82" xfId="1603"/>
    <cellStyle name="입력 2 83" xfId="1604"/>
    <cellStyle name="입력 2 84" xfId="1605"/>
    <cellStyle name="입력 2 85" xfId="1606"/>
    <cellStyle name="입력 2 86" xfId="1607"/>
    <cellStyle name="입력 2 87" xfId="1608"/>
    <cellStyle name="입력 2 88" xfId="1609"/>
    <cellStyle name="입력 2 89" xfId="1610"/>
    <cellStyle name="입력 2 9" xfId="1611"/>
    <cellStyle name="입력 2 9 2" xfId="1612"/>
    <cellStyle name="입력 2 90" xfId="4765"/>
    <cellStyle name="입력 3" xfId="1613"/>
    <cellStyle name="입력 3 10" xfId="1614"/>
    <cellStyle name="입력 3 10 2" xfId="1615"/>
    <cellStyle name="입력 3 11" xfId="1616"/>
    <cellStyle name="입력 3 11 2" xfId="1617"/>
    <cellStyle name="입력 3 12" xfId="1618"/>
    <cellStyle name="입력 3 12 2" xfId="1619"/>
    <cellStyle name="입력 3 13" xfId="1620"/>
    <cellStyle name="입력 3 13 2" xfId="1621"/>
    <cellStyle name="입력 3 14" xfId="1622"/>
    <cellStyle name="입력 3 14 2" xfId="1623"/>
    <cellStyle name="입력 3 15" xfId="1624"/>
    <cellStyle name="입력 3 15 2" xfId="1625"/>
    <cellStyle name="입력 3 16" xfId="1626"/>
    <cellStyle name="입력 3 16 2" xfId="1627"/>
    <cellStyle name="입력 3 17" xfId="1628"/>
    <cellStyle name="입력 3 17 2" xfId="1629"/>
    <cellStyle name="입력 3 18" xfId="1630"/>
    <cellStyle name="입력 3 18 2" xfId="1631"/>
    <cellStyle name="입력 3 19" xfId="1632"/>
    <cellStyle name="입력 3 19 2" xfId="1633"/>
    <cellStyle name="입력 3 2" xfId="1634"/>
    <cellStyle name="입력 3 2 2" xfId="1635"/>
    <cellStyle name="입력 3 20" xfId="1636"/>
    <cellStyle name="입력 3 20 2" xfId="1637"/>
    <cellStyle name="입력 3 21" xfId="1638"/>
    <cellStyle name="입력 3 21 2" xfId="1639"/>
    <cellStyle name="입력 3 22" xfId="1640"/>
    <cellStyle name="입력 3 22 2" xfId="1641"/>
    <cellStyle name="입력 3 23" xfId="1642"/>
    <cellStyle name="입력 3 23 2" xfId="1643"/>
    <cellStyle name="입력 3 24" xfId="1644"/>
    <cellStyle name="입력 3 24 2" xfId="1645"/>
    <cellStyle name="입력 3 25" xfId="1646"/>
    <cellStyle name="입력 3 25 2" xfId="1647"/>
    <cellStyle name="입력 3 26" xfId="1648"/>
    <cellStyle name="입력 3 26 2" xfId="1649"/>
    <cellStyle name="입력 3 27" xfId="1650"/>
    <cellStyle name="입력 3 27 2" xfId="1651"/>
    <cellStyle name="입력 3 28" xfId="1652"/>
    <cellStyle name="입력 3 28 2" xfId="1653"/>
    <cellStyle name="입력 3 29" xfId="1654"/>
    <cellStyle name="입력 3 29 2" xfId="1655"/>
    <cellStyle name="입력 3 3" xfId="1656"/>
    <cellStyle name="입력 3 3 2" xfId="1657"/>
    <cellStyle name="입력 3 30" xfId="1658"/>
    <cellStyle name="입력 3 30 2" xfId="1659"/>
    <cellStyle name="입력 3 31" xfId="1660"/>
    <cellStyle name="입력 3 31 2" xfId="1661"/>
    <cellStyle name="입력 3 32" xfId="1662"/>
    <cellStyle name="입력 3 32 2" xfId="1663"/>
    <cellStyle name="입력 3 33" xfId="1664"/>
    <cellStyle name="입력 3 33 2" xfId="1665"/>
    <cellStyle name="입력 3 34" xfId="1666"/>
    <cellStyle name="입력 3 34 2" xfId="1667"/>
    <cellStyle name="입력 3 35" xfId="1668"/>
    <cellStyle name="입력 3 35 2" xfId="1669"/>
    <cellStyle name="입력 3 36" xfId="1670"/>
    <cellStyle name="입력 3 36 2" xfId="1671"/>
    <cellStyle name="입력 3 37" xfId="1672"/>
    <cellStyle name="입력 3 37 2" xfId="1673"/>
    <cellStyle name="입력 3 38" xfId="1674"/>
    <cellStyle name="입력 3 38 2" xfId="1675"/>
    <cellStyle name="입력 3 39" xfId="1676"/>
    <cellStyle name="입력 3 39 2" xfId="1677"/>
    <cellStyle name="입력 3 4" xfId="1678"/>
    <cellStyle name="입력 3 4 2" xfId="1679"/>
    <cellStyle name="입력 3 40" xfId="1680"/>
    <cellStyle name="입력 3 40 2" xfId="1681"/>
    <cellStyle name="입력 3 41" xfId="1682"/>
    <cellStyle name="입력 3 41 2" xfId="1683"/>
    <cellStyle name="입력 3 42" xfId="1684"/>
    <cellStyle name="입력 3 42 2" xfId="1685"/>
    <cellStyle name="입력 3 43" xfId="1686"/>
    <cellStyle name="입력 3 43 2" xfId="1687"/>
    <cellStyle name="입력 3 44" xfId="1688"/>
    <cellStyle name="입력 3 44 2" xfId="1689"/>
    <cellStyle name="입력 3 45" xfId="1690"/>
    <cellStyle name="입력 3 45 2" xfId="1691"/>
    <cellStyle name="입력 3 46" xfId="1692"/>
    <cellStyle name="입력 3 47" xfId="1693"/>
    <cellStyle name="입력 3 48" xfId="1694"/>
    <cellStyle name="입력 3 49" xfId="1695"/>
    <cellStyle name="입력 3 5" xfId="1696"/>
    <cellStyle name="입력 3 5 2" xfId="1697"/>
    <cellStyle name="입력 3 50" xfId="1698"/>
    <cellStyle name="입력 3 51" xfId="1699"/>
    <cellStyle name="입력 3 52" xfId="1700"/>
    <cellStyle name="입력 3 53" xfId="1701"/>
    <cellStyle name="입력 3 54" xfId="1702"/>
    <cellStyle name="입력 3 55" xfId="1703"/>
    <cellStyle name="입력 3 56" xfId="1704"/>
    <cellStyle name="입력 3 57" xfId="1705"/>
    <cellStyle name="입력 3 58" xfId="1706"/>
    <cellStyle name="입력 3 59" xfId="1707"/>
    <cellStyle name="입력 3 6" xfId="1708"/>
    <cellStyle name="입력 3 6 2" xfId="1709"/>
    <cellStyle name="입력 3 60" xfId="1710"/>
    <cellStyle name="입력 3 61" xfId="1711"/>
    <cellStyle name="입력 3 62" xfId="1712"/>
    <cellStyle name="입력 3 63" xfId="1713"/>
    <cellStyle name="입력 3 64" xfId="1714"/>
    <cellStyle name="입력 3 65" xfId="1715"/>
    <cellStyle name="입력 3 66" xfId="1716"/>
    <cellStyle name="입력 3 67" xfId="1717"/>
    <cellStyle name="입력 3 68" xfId="1718"/>
    <cellStyle name="입력 3 69" xfId="1719"/>
    <cellStyle name="입력 3 7" xfId="1720"/>
    <cellStyle name="입력 3 7 2" xfId="1721"/>
    <cellStyle name="입력 3 70" xfId="1722"/>
    <cellStyle name="입력 3 71" xfId="1723"/>
    <cellStyle name="입력 3 72" xfId="1724"/>
    <cellStyle name="입력 3 73" xfId="1725"/>
    <cellStyle name="입력 3 74" xfId="1726"/>
    <cellStyle name="입력 3 75" xfId="1727"/>
    <cellStyle name="입력 3 76" xfId="1728"/>
    <cellStyle name="입력 3 77" xfId="1729"/>
    <cellStyle name="입력 3 78" xfId="1730"/>
    <cellStyle name="입력 3 79" xfId="1731"/>
    <cellStyle name="입력 3 8" xfId="1732"/>
    <cellStyle name="입력 3 8 2" xfId="1733"/>
    <cellStyle name="입력 3 80" xfId="1734"/>
    <cellStyle name="입력 3 81" xfId="1735"/>
    <cellStyle name="입력 3 82" xfId="1736"/>
    <cellStyle name="입력 3 83" xfId="1737"/>
    <cellStyle name="입력 3 84" xfId="1738"/>
    <cellStyle name="입력 3 85" xfId="1739"/>
    <cellStyle name="입력 3 86" xfId="1740"/>
    <cellStyle name="입력 3 87" xfId="1741"/>
    <cellStyle name="입력 3 88" xfId="1742"/>
    <cellStyle name="입력 3 9" xfId="1743"/>
    <cellStyle name="입력 3 9 2" xfId="1744"/>
    <cellStyle name="입력 4" xfId="1745"/>
    <cellStyle name="입력 4 10" xfId="1746"/>
    <cellStyle name="입력 4 10 2" xfId="1747"/>
    <cellStyle name="입력 4 11" xfId="1748"/>
    <cellStyle name="입력 4 11 2" xfId="1749"/>
    <cellStyle name="입력 4 12" xfId="1750"/>
    <cellStyle name="입력 4 12 2" xfId="1751"/>
    <cellStyle name="입력 4 13" xfId="1752"/>
    <cellStyle name="입력 4 13 2" xfId="1753"/>
    <cellStyle name="입력 4 14" xfId="1754"/>
    <cellStyle name="입력 4 14 2" xfId="1755"/>
    <cellStyle name="입력 4 15" xfId="1756"/>
    <cellStyle name="입력 4 15 2" xfId="1757"/>
    <cellStyle name="입력 4 16" xfId="1758"/>
    <cellStyle name="입력 4 16 2" xfId="1759"/>
    <cellStyle name="입력 4 17" xfId="1760"/>
    <cellStyle name="입력 4 17 2" xfId="1761"/>
    <cellStyle name="입력 4 18" xfId="1762"/>
    <cellStyle name="입력 4 18 2" xfId="1763"/>
    <cellStyle name="입력 4 19" xfId="1764"/>
    <cellStyle name="입력 4 19 2" xfId="1765"/>
    <cellStyle name="입력 4 2" xfId="1766"/>
    <cellStyle name="입력 4 2 2" xfId="1767"/>
    <cellStyle name="입력 4 20" xfId="1768"/>
    <cellStyle name="입력 4 20 2" xfId="1769"/>
    <cellStyle name="입력 4 21" xfId="1770"/>
    <cellStyle name="입력 4 21 2" xfId="1771"/>
    <cellStyle name="입력 4 22" xfId="1772"/>
    <cellStyle name="입력 4 22 2" xfId="1773"/>
    <cellStyle name="입력 4 23" xfId="1774"/>
    <cellStyle name="입력 4 23 2" xfId="1775"/>
    <cellStyle name="입력 4 24" xfId="1776"/>
    <cellStyle name="입력 4 24 2" xfId="1777"/>
    <cellStyle name="입력 4 25" xfId="1778"/>
    <cellStyle name="입력 4 25 2" xfId="1779"/>
    <cellStyle name="입력 4 26" xfId="1780"/>
    <cellStyle name="입력 4 26 2" xfId="1781"/>
    <cellStyle name="입력 4 27" xfId="1782"/>
    <cellStyle name="입력 4 27 2" xfId="1783"/>
    <cellStyle name="입력 4 28" xfId="1784"/>
    <cellStyle name="입력 4 28 2" xfId="1785"/>
    <cellStyle name="입력 4 29" xfId="1786"/>
    <cellStyle name="입력 4 29 2" xfId="1787"/>
    <cellStyle name="입력 4 3" xfId="1788"/>
    <cellStyle name="입력 4 3 2" xfId="1789"/>
    <cellStyle name="입력 4 30" xfId="1790"/>
    <cellStyle name="입력 4 30 2" xfId="1791"/>
    <cellStyle name="입력 4 31" xfId="1792"/>
    <cellStyle name="입력 4 31 2" xfId="1793"/>
    <cellStyle name="입력 4 32" xfId="1794"/>
    <cellStyle name="입력 4 32 2" xfId="1795"/>
    <cellStyle name="입력 4 33" xfId="1796"/>
    <cellStyle name="입력 4 33 2" xfId="1797"/>
    <cellStyle name="입력 4 34" xfId="1798"/>
    <cellStyle name="입력 4 34 2" xfId="1799"/>
    <cellStyle name="입력 4 35" xfId="1800"/>
    <cellStyle name="입력 4 35 2" xfId="1801"/>
    <cellStyle name="입력 4 36" xfId="1802"/>
    <cellStyle name="입력 4 36 2" xfId="1803"/>
    <cellStyle name="입력 4 37" xfId="1804"/>
    <cellStyle name="입력 4 37 2" xfId="1805"/>
    <cellStyle name="입력 4 38" xfId="1806"/>
    <cellStyle name="입력 4 38 2" xfId="1807"/>
    <cellStyle name="입력 4 39" xfId="1808"/>
    <cellStyle name="입력 4 39 2" xfId="1809"/>
    <cellStyle name="입력 4 4" xfId="1810"/>
    <cellStyle name="입력 4 4 2" xfId="1811"/>
    <cellStyle name="입력 4 40" xfId="1812"/>
    <cellStyle name="입력 4 40 2" xfId="1813"/>
    <cellStyle name="입력 4 41" xfId="1814"/>
    <cellStyle name="입력 4 41 2" xfId="1815"/>
    <cellStyle name="입력 4 42" xfId="1816"/>
    <cellStyle name="입력 4 42 2" xfId="1817"/>
    <cellStyle name="입력 4 43" xfId="1818"/>
    <cellStyle name="입력 4 43 2" xfId="1819"/>
    <cellStyle name="입력 4 44" xfId="1820"/>
    <cellStyle name="입력 4 44 2" xfId="1821"/>
    <cellStyle name="입력 4 45" xfId="1822"/>
    <cellStyle name="입력 4 45 2" xfId="1823"/>
    <cellStyle name="입력 4 46" xfId="1824"/>
    <cellStyle name="입력 4 47" xfId="1825"/>
    <cellStyle name="입력 4 48" xfId="1826"/>
    <cellStyle name="입력 4 49" xfId="1827"/>
    <cellStyle name="입력 4 5" xfId="1828"/>
    <cellStyle name="입력 4 5 2" xfId="1829"/>
    <cellStyle name="입력 4 50" xfId="1830"/>
    <cellStyle name="입력 4 51" xfId="1831"/>
    <cellStyle name="입력 4 52" xfId="1832"/>
    <cellStyle name="입력 4 53" xfId="1833"/>
    <cellStyle name="입력 4 54" xfId="1834"/>
    <cellStyle name="입력 4 55" xfId="1835"/>
    <cellStyle name="입력 4 56" xfId="1836"/>
    <cellStyle name="입력 4 57" xfId="1837"/>
    <cellStyle name="입력 4 58" xfId="1838"/>
    <cellStyle name="입력 4 59" xfId="1839"/>
    <cellStyle name="입력 4 6" xfId="1840"/>
    <cellStyle name="입력 4 6 2" xfId="1841"/>
    <cellStyle name="입력 4 60" xfId="1842"/>
    <cellStyle name="입력 4 61" xfId="1843"/>
    <cellStyle name="입력 4 62" xfId="1844"/>
    <cellStyle name="입력 4 63" xfId="1845"/>
    <cellStyle name="입력 4 64" xfId="1846"/>
    <cellStyle name="입력 4 65" xfId="1847"/>
    <cellStyle name="입력 4 66" xfId="1848"/>
    <cellStyle name="입력 4 67" xfId="1849"/>
    <cellStyle name="입력 4 68" xfId="1850"/>
    <cellStyle name="입력 4 69" xfId="1851"/>
    <cellStyle name="입력 4 7" xfId="1852"/>
    <cellStyle name="입력 4 7 2" xfId="1853"/>
    <cellStyle name="입력 4 70" xfId="1854"/>
    <cellStyle name="입력 4 71" xfId="1855"/>
    <cellStyle name="입력 4 72" xfId="1856"/>
    <cellStyle name="입력 4 73" xfId="1857"/>
    <cellStyle name="입력 4 74" xfId="1858"/>
    <cellStyle name="입력 4 75" xfId="1859"/>
    <cellStyle name="입력 4 76" xfId="1860"/>
    <cellStyle name="입력 4 77" xfId="1861"/>
    <cellStyle name="입력 4 78" xfId="1862"/>
    <cellStyle name="입력 4 79" xfId="1863"/>
    <cellStyle name="입력 4 8" xfId="1864"/>
    <cellStyle name="입력 4 8 2" xfId="1865"/>
    <cellStyle name="입력 4 80" xfId="1866"/>
    <cellStyle name="입력 4 81" xfId="1867"/>
    <cellStyle name="입력 4 82" xfId="1868"/>
    <cellStyle name="입력 4 83" xfId="1869"/>
    <cellStyle name="입력 4 84" xfId="1870"/>
    <cellStyle name="입력 4 85" xfId="1871"/>
    <cellStyle name="입력 4 86" xfId="1872"/>
    <cellStyle name="입력 4 87" xfId="1873"/>
    <cellStyle name="입력 4 88" xfId="1874"/>
    <cellStyle name="입력 4 9" xfId="1875"/>
    <cellStyle name="입력 4 9 2" xfId="1876"/>
    <cellStyle name="입력 5" xfId="1877"/>
    <cellStyle name="입력 6" xfId="1878"/>
    <cellStyle name="자리수" xfId="4766"/>
    <cellStyle name="자리수0" xfId="4767"/>
    <cellStyle name="㘀㠀䠀" xfId="4768"/>
    <cellStyle name="제목 1 2" xfId="1879"/>
    <cellStyle name="제목 1 2 2" xfId="1880"/>
    <cellStyle name="제목 1 2 3" xfId="4769"/>
    <cellStyle name="제목 1 3" xfId="1881"/>
    <cellStyle name="제목 1 4" xfId="1882"/>
    <cellStyle name="제목 1 5" xfId="1883"/>
    <cellStyle name="제목 2 2" xfId="1884"/>
    <cellStyle name="제목 2 2 2" xfId="1885"/>
    <cellStyle name="제목 2 2 3" xfId="4770"/>
    <cellStyle name="제목 2 3" xfId="1886"/>
    <cellStyle name="제목 2 4" xfId="1887"/>
    <cellStyle name="제목 2 5" xfId="1888"/>
    <cellStyle name="제목 3 2" xfId="1889"/>
    <cellStyle name="제목 3 2 2" xfId="1890"/>
    <cellStyle name="제목 3 2 3" xfId="4771"/>
    <cellStyle name="제목 3 3" xfId="1891"/>
    <cellStyle name="제목 3 4" xfId="1892"/>
    <cellStyle name="제목 3 5" xfId="1893"/>
    <cellStyle name="제목 4 2" xfId="1894"/>
    <cellStyle name="제목 4 2 2" xfId="1895"/>
    <cellStyle name="제목 4 2 3" xfId="4772"/>
    <cellStyle name="제목 4 3" xfId="1896"/>
    <cellStyle name="제목 4 4" xfId="1897"/>
    <cellStyle name="제목 4 5" xfId="1898"/>
    <cellStyle name="제목 5" xfId="1899"/>
    <cellStyle name="제목 5 2" xfId="1900"/>
    <cellStyle name="제목 6" xfId="1901"/>
    <cellStyle name="제목 7" xfId="1902"/>
    <cellStyle name="제목 8" xfId="1903"/>
    <cellStyle name="제목1" xfId="4773"/>
    <cellStyle name="좋음 2" xfId="1904"/>
    <cellStyle name="좋음 2 2" xfId="1905"/>
    <cellStyle name="좋음 2 3" xfId="4774"/>
    <cellStyle name="좋음 3" xfId="1906"/>
    <cellStyle name="좋음 4" xfId="1907"/>
    <cellStyle name="좋음 5" xfId="1908"/>
    <cellStyle name="좋음 6" xfId="1909"/>
    <cellStyle name="주의항목" xfId="4775"/>
    <cellStyle name="지정되지 않음" xfId="4776"/>
    <cellStyle name="钎霖_4岿角利" xfId="4777"/>
    <cellStyle name="千分位[0]_ 备 品 备 件" xfId="4778"/>
    <cellStyle name="千分位_ 备 品 备 件" xfId="4779"/>
    <cellStyle name="千位[0]_laroux" xfId="4780"/>
    <cellStyle name="千位_laroux" xfId="4781"/>
    <cellStyle name="千位分隔[0]_08月份" xfId="4782"/>
    <cellStyle name="千位分隔_08月份" xfId="4783"/>
    <cellStyle name="쳾" xfId="4784"/>
    <cellStyle name="출력 2" xfId="1910"/>
    <cellStyle name="출력 2 10" xfId="1911"/>
    <cellStyle name="출력 2 10 2" xfId="1912"/>
    <cellStyle name="출력 2 11" xfId="1913"/>
    <cellStyle name="출력 2 11 2" xfId="1914"/>
    <cellStyle name="출력 2 12" xfId="1915"/>
    <cellStyle name="출력 2 12 2" xfId="1916"/>
    <cellStyle name="출력 2 13" xfId="1917"/>
    <cellStyle name="출력 2 13 2" xfId="1918"/>
    <cellStyle name="출력 2 14" xfId="1919"/>
    <cellStyle name="출력 2 14 2" xfId="1920"/>
    <cellStyle name="출력 2 15" xfId="1921"/>
    <cellStyle name="출력 2 15 2" xfId="1922"/>
    <cellStyle name="출력 2 16" xfId="1923"/>
    <cellStyle name="출력 2 16 2" xfId="1924"/>
    <cellStyle name="출력 2 17" xfId="1925"/>
    <cellStyle name="출력 2 17 2" xfId="1926"/>
    <cellStyle name="출력 2 18" xfId="1927"/>
    <cellStyle name="출력 2 18 2" xfId="1928"/>
    <cellStyle name="출력 2 19" xfId="1929"/>
    <cellStyle name="출력 2 19 2" xfId="1930"/>
    <cellStyle name="출력 2 2" xfId="1931"/>
    <cellStyle name="출력 2 20" xfId="1932"/>
    <cellStyle name="출력 2 20 2" xfId="1933"/>
    <cellStyle name="출력 2 21" xfId="1934"/>
    <cellStyle name="출력 2 21 2" xfId="1935"/>
    <cellStyle name="출력 2 22" xfId="1936"/>
    <cellStyle name="출력 2 22 2" xfId="1937"/>
    <cellStyle name="출력 2 23" xfId="1938"/>
    <cellStyle name="출력 2 23 2" xfId="1939"/>
    <cellStyle name="출력 2 24" xfId="1940"/>
    <cellStyle name="출력 2 24 2" xfId="1941"/>
    <cellStyle name="출력 2 25" xfId="1942"/>
    <cellStyle name="출력 2 25 2" xfId="1943"/>
    <cellStyle name="출력 2 26" xfId="1944"/>
    <cellStyle name="출력 2 26 2" xfId="1945"/>
    <cellStyle name="출력 2 27" xfId="1946"/>
    <cellStyle name="출력 2 27 2" xfId="1947"/>
    <cellStyle name="출력 2 28" xfId="1948"/>
    <cellStyle name="출력 2 28 2" xfId="1949"/>
    <cellStyle name="출력 2 29" xfId="1950"/>
    <cellStyle name="출력 2 29 2" xfId="1951"/>
    <cellStyle name="출력 2 3" xfId="1952"/>
    <cellStyle name="출력 2 3 2" xfId="1953"/>
    <cellStyle name="출력 2 30" xfId="1954"/>
    <cellStyle name="출력 2 30 2" xfId="1955"/>
    <cellStyle name="출력 2 31" xfId="1956"/>
    <cellStyle name="출력 2 31 2" xfId="1957"/>
    <cellStyle name="출력 2 32" xfId="1958"/>
    <cellStyle name="출력 2 32 2" xfId="1959"/>
    <cellStyle name="출력 2 33" xfId="1960"/>
    <cellStyle name="출력 2 33 2" xfId="1961"/>
    <cellStyle name="출력 2 34" xfId="1962"/>
    <cellStyle name="출력 2 34 2" xfId="1963"/>
    <cellStyle name="출력 2 35" xfId="1964"/>
    <cellStyle name="출력 2 35 2" xfId="1965"/>
    <cellStyle name="출력 2 36" xfId="1966"/>
    <cellStyle name="출력 2 36 2" xfId="1967"/>
    <cellStyle name="출력 2 37" xfId="1968"/>
    <cellStyle name="출력 2 37 2" xfId="1969"/>
    <cellStyle name="출력 2 38" xfId="1970"/>
    <cellStyle name="출력 2 38 2" xfId="1971"/>
    <cellStyle name="출력 2 39" xfId="1972"/>
    <cellStyle name="출력 2 39 2" xfId="1973"/>
    <cellStyle name="출력 2 4" xfId="1974"/>
    <cellStyle name="출력 2 4 2" xfId="1975"/>
    <cellStyle name="출력 2 40" xfId="1976"/>
    <cellStyle name="출력 2 40 2" xfId="1977"/>
    <cellStyle name="출력 2 41" xfId="1978"/>
    <cellStyle name="출력 2 41 2" xfId="1979"/>
    <cellStyle name="출력 2 42" xfId="1980"/>
    <cellStyle name="출력 2 42 2" xfId="1981"/>
    <cellStyle name="출력 2 43" xfId="1982"/>
    <cellStyle name="출력 2 43 2" xfId="1983"/>
    <cellStyle name="출력 2 44" xfId="1984"/>
    <cellStyle name="출력 2 44 2" xfId="1985"/>
    <cellStyle name="출력 2 45" xfId="1986"/>
    <cellStyle name="출력 2 45 2" xfId="1987"/>
    <cellStyle name="출력 2 46" xfId="1988"/>
    <cellStyle name="출력 2 46 2" xfId="1989"/>
    <cellStyle name="출력 2 47" xfId="1990"/>
    <cellStyle name="출력 2 48" xfId="1991"/>
    <cellStyle name="출력 2 49" xfId="1992"/>
    <cellStyle name="출력 2 5" xfId="1993"/>
    <cellStyle name="출력 2 5 2" xfId="1994"/>
    <cellStyle name="출력 2 50" xfId="1995"/>
    <cellStyle name="출력 2 51" xfId="1996"/>
    <cellStyle name="출력 2 52" xfId="1997"/>
    <cellStyle name="출력 2 53" xfId="1998"/>
    <cellStyle name="출력 2 54" xfId="1999"/>
    <cellStyle name="출력 2 55" xfId="2000"/>
    <cellStyle name="출력 2 56" xfId="2001"/>
    <cellStyle name="출력 2 57" xfId="2002"/>
    <cellStyle name="출력 2 58" xfId="2003"/>
    <cellStyle name="출력 2 59" xfId="2004"/>
    <cellStyle name="출력 2 6" xfId="2005"/>
    <cellStyle name="출력 2 6 2" xfId="2006"/>
    <cellStyle name="출력 2 60" xfId="2007"/>
    <cellStyle name="출력 2 61" xfId="2008"/>
    <cellStyle name="출력 2 62" xfId="2009"/>
    <cellStyle name="출력 2 63" xfId="2010"/>
    <cellStyle name="출력 2 64" xfId="2011"/>
    <cellStyle name="출력 2 65" xfId="2012"/>
    <cellStyle name="출력 2 66" xfId="2013"/>
    <cellStyle name="출력 2 67" xfId="2014"/>
    <cellStyle name="출력 2 68" xfId="2015"/>
    <cellStyle name="출력 2 69" xfId="2016"/>
    <cellStyle name="출력 2 7" xfId="2017"/>
    <cellStyle name="출력 2 7 2" xfId="2018"/>
    <cellStyle name="출력 2 70" xfId="2019"/>
    <cellStyle name="출력 2 71" xfId="2020"/>
    <cellStyle name="출력 2 72" xfId="2021"/>
    <cellStyle name="출력 2 73" xfId="2022"/>
    <cellStyle name="출력 2 74" xfId="2023"/>
    <cellStyle name="출력 2 75" xfId="2024"/>
    <cellStyle name="출력 2 76" xfId="2025"/>
    <cellStyle name="출력 2 77" xfId="2026"/>
    <cellStyle name="출력 2 78" xfId="2027"/>
    <cellStyle name="출력 2 79" xfId="2028"/>
    <cellStyle name="출력 2 8" xfId="2029"/>
    <cellStyle name="출력 2 8 2" xfId="2030"/>
    <cellStyle name="출력 2 80" xfId="2031"/>
    <cellStyle name="출력 2 81" xfId="2032"/>
    <cellStyle name="출력 2 82" xfId="2033"/>
    <cellStyle name="출력 2 83" xfId="2034"/>
    <cellStyle name="출력 2 84" xfId="2035"/>
    <cellStyle name="출력 2 85" xfId="2036"/>
    <cellStyle name="출력 2 86" xfId="2037"/>
    <cellStyle name="출력 2 87" xfId="2038"/>
    <cellStyle name="출력 2 88" xfId="2039"/>
    <cellStyle name="출력 2 89" xfId="2040"/>
    <cellStyle name="출력 2 9" xfId="2041"/>
    <cellStyle name="출력 2 9 2" xfId="2042"/>
    <cellStyle name="출력 2 90" xfId="4785"/>
    <cellStyle name="출력 3" xfId="2043"/>
    <cellStyle name="출력 3 10" xfId="2044"/>
    <cellStyle name="출력 3 10 2" xfId="2045"/>
    <cellStyle name="출력 3 11" xfId="2046"/>
    <cellStyle name="출력 3 11 2" xfId="2047"/>
    <cellStyle name="출력 3 12" xfId="2048"/>
    <cellStyle name="출력 3 12 2" xfId="2049"/>
    <cellStyle name="출력 3 13" xfId="2050"/>
    <cellStyle name="출력 3 13 2" xfId="2051"/>
    <cellStyle name="출력 3 14" xfId="2052"/>
    <cellStyle name="출력 3 14 2" xfId="2053"/>
    <cellStyle name="출력 3 15" xfId="2054"/>
    <cellStyle name="출력 3 15 2" xfId="2055"/>
    <cellStyle name="출력 3 16" xfId="2056"/>
    <cellStyle name="출력 3 16 2" xfId="2057"/>
    <cellStyle name="출력 3 17" xfId="2058"/>
    <cellStyle name="출력 3 17 2" xfId="2059"/>
    <cellStyle name="출력 3 18" xfId="2060"/>
    <cellStyle name="출력 3 18 2" xfId="2061"/>
    <cellStyle name="출력 3 19" xfId="2062"/>
    <cellStyle name="출력 3 19 2" xfId="2063"/>
    <cellStyle name="출력 3 2" xfId="2064"/>
    <cellStyle name="출력 3 2 2" xfId="2065"/>
    <cellStyle name="출력 3 20" xfId="2066"/>
    <cellStyle name="출력 3 20 2" xfId="2067"/>
    <cellStyle name="출력 3 21" xfId="2068"/>
    <cellStyle name="출력 3 21 2" xfId="2069"/>
    <cellStyle name="출력 3 22" xfId="2070"/>
    <cellStyle name="출력 3 22 2" xfId="2071"/>
    <cellStyle name="출력 3 23" xfId="2072"/>
    <cellStyle name="출력 3 23 2" xfId="2073"/>
    <cellStyle name="출력 3 24" xfId="2074"/>
    <cellStyle name="출력 3 24 2" xfId="2075"/>
    <cellStyle name="출력 3 25" xfId="2076"/>
    <cellStyle name="출력 3 25 2" xfId="2077"/>
    <cellStyle name="출력 3 26" xfId="2078"/>
    <cellStyle name="출력 3 26 2" xfId="2079"/>
    <cellStyle name="출력 3 27" xfId="2080"/>
    <cellStyle name="출력 3 27 2" xfId="2081"/>
    <cellStyle name="출력 3 28" xfId="2082"/>
    <cellStyle name="출력 3 28 2" xfId="2083"/>
    <cellStyle name="출력 3 29" xfId="2084"/>
    <cellStyle name="출력 3 29 2" xfId="2085"/>
    <cellStyle name="출력 3 3" xfId="2086"/>
    <cellStyle name="출력 3 3 2" xfId="2087"/>
    <cellStyle name="출력 3 30" xfId="2088"/>
    <cellStyle name="출력 3 30 2" xfId="2089"/>
    <cellStyle name="출력 3 31" xfId="2090"/>
    <cellStyle name="출력 3 31 2" xfId="2091"/>
    <cellStyle name="출력 3 32" xfId="2092"/>
    <cellStyle name="출력 3 32 2" xfId="2093"/>
    <cellStyle name="출력 3 33" xfId="2094"/>
    <cellStyle name="출력 3 33 2" xfId="2095"/>
    <cellStyle name="출력 3 34" xfId="2096"/>
    <cellStyle name="출력 3 34 2" xfId="2097"/>
    <cellStyle name="출력 3 35" xfId="2098"/>
    <cellStyle name="출력 3 35 2" xfId="2099"/>
    <cellStyle name="출력 3 36" xfId="2100"/>
    <cellStyle name="출력 3 36 2" xfId="2101"/>
    <cellStyle name="출력 3 37" xfId="2102"/>
    <cellStyle name="출력 3 37 2" xfId="2103"/>
    <cellStyle name="출력 3 38" xfId="2104"/>
    <cellStyle name="출력 3 38 2" xfId="2105"/>
    <cellStyle name="출력 3 39" xfId="2106"/>
    <cellStyle name="출력 3 39 2" xfId="2107"/>
    <cellStyle name="출력 3 4" xfId="2108"/>
    <cellStyle name="출력 3 4 2" xfId="2109"/>
    <cellStyle name="출력 3 40" xfId="2110"/>
    <cellStyle name="출력 3 40 2" xfId="2111"/>
    <cellStyle name="출력 3 41" xfId="2112"/>
    <cellStyle name="출력 3 41 2" xfId="2113"/>
    <cellStyle name="출력 3 42" xfId="2114"/>
    <cellStyle name="출력 3 42 2" xfId="2115"/>
    <cellStyle name="출력 3 43" xfId="2116"/>
    <cellStyle name="출력 3 43 2" xfId="2117"/>
    <cellStyle name="출력 3 44" xfId="2118"/>
    <cellStyle name="출력 3 44 2" xfId="2119"/>
    <cellStyle name="출력 3 45" xfId="2120"/>
    <cellStyle name="출력 3 45 2" xfId="2121"/>
    <cellStyle name="출력 3 46" xfId="2122"/>
    <cellStyle name="출력 3 47" xfId="2123"/>
    <cellStyle name="출력 3 48" xfId="2124"/>
    <cellStyle name="출력 3 49" xfId="2125"/>
    <cellStyle name="출력 3 5" xfId="2126"/>
    <cellStyle name="출력 3 5 2" xfId="2127"/>
    <cellStyle name="출력 3 50" xfId="2128"/>
    <cellStyle name="출력 3 51" xfId="2129"/>
    <cellStyle name="출력 3 52" xfId="2130"/>
    <cellStyle name="출력 3 53" xfId="2131"/>
    <cellStyle name="출력 3 54" xfId="2132"/>
    <cellStyle name="출력 3 55" xfId="2133"/>
    <cellStyle name="출력 3 56" xfId="2134"/>
    <cellStyle name="출력 3 57" xfId="2135"/>
    <cellStyle name="출력 3 58" xfId="2136"/>
    <cellStyle name="출력 3 59" xfId="2137"/>
    <cellStyle name="출력 3 6" xfId="2138"/>
    <cellStyle name="출력 3 6 2" xfId="2139"/>
    <cellStyle name="출력 3 60" xfId="2140"/>
    <cellStyle name="출력 3 61" xfId="2141"/>
    <cellStyle name="출력 3 62" xfId="2142"/>
    <cellStyle name="출력 3 63" xfId="2143"/>
    <cellStyle name="출력 3 64" xfId="2144"/>
    <cellStyle name="출력 3 65" xfId="2145"/>
    <cellStyle name="출력 3 66" xfId="2146"/>
    <cellStyle name="출력 3 67" xfId="2147"/>
    <cellStyle name="출력 3 68" xfId="2148"/>
    <cellStyle name="출력 3 69" xfId="2149"/>
    <cellStyle name="출력 3 7" xfId="2150"/>
    <cellStyle name="출력 3 7 2" xfId="2151"/>
    <cellStyle name="출력 3 70" xfId="2152"/>
    <cellStyle name="출력 3 71" xfId="2153"/>
    <cellStyle name="출력 3 72" xfId="2154"/>
    <cellStyle name="출력 3 73" xfId="2155"/>
    <cellStyle name="출력 3 74" xfId="2156"/>
    <cellStyle name="출력 3 75" xfId="2157"/>
    <cellStyle name="출력 3 76" xfId="2158"/>
    <cellStyle name="출력 3 77" xfId="2159"/>
    <cellStyle name="출력 3 78" xfId="2160"/>
    <cellStyle name="출력 3 79" xfId="2161"/>
    <cellStyle name="출력 3 8" xfId="2162"/>
    <cellStyle name="출력 3 8 2" xfId="2163"/>
    <cellStyle name="출력 3 80" xfId="2164"/>
    <cellStyle name="출력 3 81" xfId="2165"/>
    <cellStyle name="출력 3 82" xfId="2166"/>
    <cellStyle name="출력 3 83" xfId="2167"/>
    <cellStyle name="출력 3 84" xfId="2168"/>
    <cellStyle name="출력 3 85" xfId="2169"/>
    <cellStyle name="출력 3 86" xfId="2170"/>
    <cellStyle name="출력 3 87" xfId="2171"/>
    <cellStyle name="출력 3 88" xfId="2172"/>
    <cellStyle name="출력 3 9" xfId="2173"/>
    <cellStyle name="출력 3 9 2" xfId="2174"/>
    <cellStyle name="출력 4" xfId="2175"/>
    <cellStyle name="출력 4 10" xfId="2176"/>
    <cellStyle name="출력 4 10 2" xfId="2177"/>
    <cellStyle name="출력 4 11" xfId="2178"/>
    <cellStyle name="출력 4 11 2" xfId="2179"/>
    <cellStyle name="출력 4 12" xfId="2180"/>
    <cellStyle name="출력 4 12 2" xfId="2181"/>
    <cellStyle name="출력 4 13" xfId="2182"/>
    <cellStyle name="출력 4 13 2" xfId="2183"/>
    <cellStyle name="출력 4 14" xfId="2184"/>
    <cellStyle name="출력 4 14 2" xfId="2185"/>
    <cellStyle name="출력 4 15" xfId="2186"/>
    <cellStyle name="출력 4 15 2" xfId="2187"/>
    <cellStyle name="출력 4 16" xfId="2188"/>
    <cellStyle name="출력 4 16 2" xfId="2189"/>
    <cellStyle name="출력 4 17" xfId="2190"/>
    <cellStyle name="출력 4 17 2" xfId="2191"/>
    <cellStyle name="출력 4 18" xfId="2192"/>
    <cellStyle name="출력 4 18 2" xfId="2193"/>
    <cellStyle name="출력 4 19" xfId="2194"/>
    <cellStyle name="출력 4 19 2" xfId="2195"/>
    <cellStyle name="출력 4 2" xfId="2196"/>
    <cellStyle name="출력 4 2 2" xfId="2197"/>
    <cellStyle name="출력 4 20" xfId="2198"/>
    <cellStyle name="출력 4 20 2" xfId="2199"/>
    <cellStyle name="출력 4 21" xfId="2200"/>
    <cellStyle name="출력 4 21 2" xfId="2201"/>
    <cellStyle name="출력 4 22" xfId="2202"/>
    <cellStyle name="출력 4 22 2" xfId="2203"/>
    <cellStyle name="출력 4 23" xfId="2204"/>
    <cellStyle name="출력 4 23 2" xfId="2205"/>
    <cellStyle name="출력 4 24" xfId="2206"/>
    <cellStyle name="출력 4 24 2" xfId="2207"/>
    <cellStyle name="출력 4 25" xfId="2208"/>
    <cellStyle name="출력 4 25 2" xfId="2209"/>
    <cellStyle name="출력 4 26" xfId="2210"/>
    <cellStyle name="출력 4 26 2" xfId="2211"/>
    <cellStyle name="출력 4 27" xfId="2212"/>
    <cellStyle name="출력 4 27 2" xfId="2213"/>
    <cellStyle name="출력 4 28" xfId="2214"/>
    <cellStyle name="출력 4 28 2" xfId="2215"/>
    <cellStyle name="출력 4 29" xfId="2216"/>
    <cellStyle name="출력 4 29 2" xfId="2217"/>
    <cellStyle name="출력 4 3" xfId="2218"/>
    <cellStyle name="출력 4 3 2" xfId="2219"/>
    <cellStyle name="출력 4 30" xfId="2220"/>
    <cellStyle name="출력 4 30 2" xfId="2221"/>
    <cellStyle name="출력 4 31" xfId="2222"/>
    <cellStyle name="출력 4 31 2" xfId="2223"/>
    <cellStyle name="출력 4 32" xfId="2224"/>
    <cellStyle name="출력 4 32 2" xfId="2225"/>
    <cellStyle name="출력 4 33" xfId="2226"/>
    <cellStyle name="출력 4 33 2" xfId="2227"/>
    <cellStyle name="출력 4 34" xfId="2228"/>
    <cellStyle name="출력 4 34 2" xfId="2229"/>
    <cellStyle name="출력 4 35" xfId="2230"/>
    <cellStyle name="출력 4 35 2" xfId="2231"/>
    <cellStyle name="출력 4 36" xfId="2232"/>
    <cellStyle name="출력 4 36 2" xfId="2233"/>
    <cellStyle name="출력 4 37" xfId="2234"/>
    <cellStyle name="출력 4 37 2" xfId="2235"/>
    <cellStyle name="출력 4 38" xfId="2236"/>
    <cellStyle name="출력 4 38 2" xfId="2237"/>
    <cellStyle name="출력 4 39" xfId="2238"/>
    <cellStyle name="출력 4 39 2" xfId="2239"/>
    <cellStyle name="출력 4 4" xfId="2240"/>
    <cellStyle name="출력 4 4 2" xfId="2241"/>
    <cellStyle name="출력 4 40" xfId="2242"/>
    <cellStyle name="출력 4 40 2" xfId="2243"/>
    <cellStyle name="출력 4 41" xfId="2244"/>
    <cellStyle name="출력 4 41 2" xfId="2245"/>
    <cellStyle name="출력 4 42" xfId="2246"/>
    <cellStyle name="출력 4 42 2" xfId="2247"/>
    <cellStyle name="출력 4 43" xfId="2248"/>
    <cellStyle name="출력 4 43 2" xfId="2249"/>
    <cellStyle name="출력 4 44" xfId="2250"/>
    <cellStyle name="출력 4 44 2" xfId="2251"/>
    <cellStyle name="출력 4 45" xfId="2252"/>
    <cellStyle name="출력 4 45 2" xfId="2253"/>
    <cellStyle name="출력 4 46" xfId="2254"/>
    <cellStyle name="출력 4 47" xfId="2255"/>
    <cellStyle name="출력 4 48" xfId="2256"/>
    <cellStyle name="출력 4 49" xfId="2257"/>
    <cellStyle name="출력 4 5" xfId="2258"/>
    <cellStyle name="출력 4 5 2" xfId="2259"/>
    <cellStyle name="출력 4 50" xfId="2260"/>
    <cellStyle name="출력 4 51" xfId="2261"/>
    <cellStyle name="출력 4 52" xfId="2262"/>
    <cellStyle name="출력 4 53" xfId="2263"/>
    <cellStyle name="출력 4 54" xfId="2264"/>
    <cellStyle name="출력 4 55" xfId="2265"/>
    <cellStyle name="출력 4 56" xfId="2266"/>
    <cellStyle name="출력 4 57" xfId="2267"/>
    <cellStyle name="출력 4 58" xfId="2268"/>
    <cellStyle name="출력 4 59" xfId="2269"/>
    <cellStyle name="출력 4 6" xfId="2270"/>
    <cellStyle name="출력 4 6 2" xfId="2271"/>
    <cellStyle name="출력 4 60" xfId="2272"/>
    <cellStyle name="출력 4 61" xfId="2273"/>
    <cellStyle name="출력 4 62" xfId="2274"/>
    <cellStyle name="출력 4 63" xfId="2275"/>
    <cellStyle name="출력 4 64" xfId="2276"/>
    <cellStyle name="출력 4 65" xfId="2277"/>
    <cellStyle name="출력 4 66" xfId="2278"/>
    <cellStyle name="출력 4 67" xfId="2279"/>
    <cellStyle name="출력 4 68" xfId="2280"/>
    <cellStyle name="출력 4 69" xfId="2281"/>
    <cellStyle name="출력 4 7" xfId="2282"/>
    <cellStyle name="출력 4 7 2" xfId="2283"/>
    <cellStyle name="출력 4 70" xfId="2284"/>
    <cellStyle name="출력 4 71" xfId="2285"/>
    <cellStyle name="출력 4 72" xfId="2286"/>
    <cellStyle name="출력 4 73" xfId="2287"/>
    <cellStyle name="출력 4 74" xfId="2288"/>
    <cellStyle name="출력 4 75" xfId="2289"/>
    <cellStyle name="출력 4 76" xfId="2290"/>
    <cellStyle name="출력 4 77" xfId="2291"/>
    <cellStyle name="출력 4 78" xfId="2292"/>
    <cellStyle name="출력 4 79" xfId="2293"/>
    <cellStyle name="출력 4 8" xfId="2294"/>
    <cellStyle name="출력 4 8 2" xfId="2295"/>
    <cellStyle name="출력 4 80" xfId="2296"/>
    <cellStyle name="출력 4 81" xfId="2297"/>
    <cellStyle name="출력 4 82" xfId="2298"/>
    <cellStyle name="출력 4 83" xfId="2299"/>
    <cellStyle name="출력 4 84" xfId="2300"/>
    <cellStyle name="출력 4 85" xfId="2301"/>
    <cellStyle name="출력 4 86" xfId="2302"/>
    <cellStyle name="출력 4 87" xfId="2303"/>
    <cellStyle name="출력 4 88" xfId="2304"/>
    <cellStyle name="출력 4 9" xfId="2305"/>
    <cellStyle name="출력 4 9 2" xfId="2306"/>
    <cellStyle name="출력 5" xfId="2307"/>
    <cellStyle name="출력 6" xfId="2308"/>
    <cellStyle name="昗弨_ Index" xfId="4786"/>
    <cellStyle name="콤" xfId="4787"/>
    <cellStyle name="콤? [0]" xfId="4788"/>
    <cellStyle name="콤_(최종) PKI부문EAM부문_재무양식(영업전달자료) 9월~12월 매출추정 자료_080911_(최종)" xfId="4789"/>
    <cellStyle name="콤_(최종) PKI부문EAM부문_재무양식(영업전달자료) 9월~12월 매출추정 자료_080911_(최종) (version 1)" xfId="4790"/>
    <cellStyle name="콤냡?&lt;_x000f_$??: `1_1 " xfId="4791"/>
    <cellStyle name="콤마 [" xfId="4792"/>
    <cellStyle name="콤마 [0]_ " xfId="4793"/>
    <cellStyle name="콤마 [0]-총계" xfId="4794"/>
    <cellStyle name="콤마 [0]-합계" xfId="4795"/>
    <cellStyle name="콤마 [0]-합계2" xfId="4796"/>
    <cellStyle name="콤마,_x0005__x0014_" xfId="4797"/>
    <cellStyle name="콤마[0]" xfId="4798"/>
    <cellStyle name="콤마_ " xfId="4799"/>
    <cellStyle name="콤마1" xfId="4800"/>
    <cellStyle name="쾰화_증컿요인 (2(_자금운쇌 " xfId="4801"/>
    <cellStyle name="통" xfId="4802"/>
    <cellStyle name="통_(최종) PKI부문EAM부문_재무양식(영업전달자료) 9월~12월 매출추정 자료_080911_(최종)" xfId="4803"/>
    <cellStyle name="통_(최종) PKI부문EAM부문_재무양식(영업전달자료) 9월~12월 매출추정 자료_080911_(최종) (version 1)" xfId="4804"/>
    <cellStyle name="통화 [" xfId="4805"/>
    <cellStyle name="통화 [0] 2" xfId="7"/>
    <cellStyle name="통화 [0ɝ_laroux_성일개발(주)현금흐름표" xfId="4806"/>
    <cellStyle name="통화[0]" xfId="2309"/>
    <cellStyle name="튡" xfId="4807"/>
    <cellStyle name="팒" xfId="4808"/>
    <cellStyle name="烹拳 [0]_95" xfId="4809"/>
    <cellStyle name="烹拳_95" xfId="4810"/>
    <cellStyle name="퍼센트" xfId="4811"/>
    <cellStyle name="표" xfId="4812"/>
    <cellStyle name="표_(최종) PKI부문EAM부문_재무양식(영업전달자료) 9월~12월 매출추정 자료_080911_(최종)" xfId="4813"/>
    <cellStyle name="표_(최종) PKI부문EAM부문_재무양식(영업전달자료) 9월~12월 매출추정 자료_080911_(최종) (version 1)" xfId="4814"/>
    <cellStyle name="표준" xfId="0" builtinId="0"/>
    <cellStyle name="표준 10" xfId="16"/>
    <cellStyle name="표준 10 2" xfId="2310"/>
    <cellStyle name="표준 10 3" xfId="2311"/>
    <cellStyle name="표준 10 4" xfId="2312"/>
    <cellStyle name="표준 10 5" xfId="2313"/>
    <cellStyle name="표준 10 6" xfId="2314"/>
    <cellStyle name="표준 10 7" xfId="2315"/>
    <cellStyle name="표준 10 8" xfId="2316"/>
    <cellStyle name="표준 10 9" xfId="4815"/>
    <cellStyle name="표준 11" xfId="17"/>
    <cellStyle name="표준 11 2" xfId="2317"/>
    <cellStyle name="표준 11 3" xfId="2318"/>
    <cellStyle name="표준 11 4" xfId="2319"/>
    <cellStyle name="표준 11 5" xfId="2320"/>
    <cellStyle name="표준 12" xfId="2321"/>
    <cellStyle name="표준 12 2" xfId="2322"/>
    <cellStyle name="표준 12 3" xfId="2323"/>
    <cellStyle name="표준 12 4" xfId="2324"/>
    <cellStyle name="표준 12 5" xfId="2325"/>
    <cellStyle name="표준 13" xfId="2326"/>
    <cellStyle name="표준 13 2" xfId="2327"/>
    <cellStyle name="표준 13 3" xfId="2328"/>
    <cellStyle name="표준 13 4" xfId="2329"/>
    <cellStyle name="표준 13 5" xfId="2330"/>
    <cellStyle name="표준 14" xfId="2331"/>
    <cellStyle name="표준 14 2" xfId="2332"/>
    <cellStyle name="표준 15" xfId="2333"/>
    <cellStyle name="표준 15 10" xfId="2334"/>
    <cellStyle name="표준 15 2" xfId="2335"/>
    <cellStyle name="표준 15 3" xfId="2336"/>
    <cellStyle name="표준 15 4" xfId="2337"/>
    <cellStyle name="표준 15 5" xfId="2338"/>
    <cellStyle name="표준 15 6" xfId="2339"/>
    <cellStyle name="표준 15 7" xfId="2340"/>
    <cellStyle name="표준 15 8" xfId="2341"/>
    <cellStyle name="표준 15 9" xfId="2342"/>
    <cellStyle name="표준 16" xfId="2343"/>
    <cellStyle name="표준 16 10" xfId="2344"/>
    <cellStyle name="표준 16 11" xfId="2345"/>
    <cellStyle name="표준 16 2" xfId="2346"/>
    <cellStyle name="표준 16 3" xfId="2347"/>
    <cellStyle name="표준 16 4" xfId="2348"/>
    <cellStyle name="표준 16 5" xfId="2349"/>
    <cellStyle name="표준 16 6" xfId="2350"/>
    <cellStyle name="표준 16 7" xfId="2351"/>
    <cellStyle name="표준 16 8" xfId="2352"/>
    <cellStyle name="표준 16 9" xfId="2353"/>
    <cellStyle name="표준 17" xfId="2354"/>
    <cellStyle name="표준 17 10" xfId="2355"/>
    <cellStyle name="표준 17 11" xfId="2356"/>
    <cellStyle name="표준 17 2" xfId="2357"/>
    <cellStyle name="표준 17 3" xfId="2358"/>
    <cellStyle name="표준 17 4" xfId="2359"/>
    <cellStyle name="표준 17 5" xfId="2360"/>
    <cellStyle name="표준 17 6" xfId="2361"/>
    <cellStyle name="표준 17 7" xfId="2362"/>
    <cellStyle name="표준 17 8" xfId="2363"/>
    <cellStyle name="표준 17 9" xfId="2364"/>
    <cellStyle name="표준 18" xfId="2365"/>
    <cellStyle name="표준 18 2" xfId="2366"/>
    <cellStyle name="표준 19" xfId="2367"/>
    <cellStyle name="표준 19 2" xfId="2368"/>
    <cellStyle name="표준 2" xfId="8"/>
    <cellStyle name="표준 2 10" xfId="2369"/>
    <cellStyle name="표준 2 10 2" xfId="2370"/>
    <cellStyle name="표준 2 11" xfId="2371"/>
    <cellStyle name="표준 2 11 2" xfId="2372"/>
    <cellStyle name="표준 2 12" xfId="2373"/>
    <cellStyle name="표준 2 12 2" xfId="2374"/>
    <cellStyle name="표준 2 13" xfId="2375"/>
    <cellStyle name="표준 2 13 2" xfId="2376"/>
    <cellStyle name="표준 2 14" xfId="2377"/>
    <cellStyle name="표준 2 14 2" xfId="2378"/>
    <cellStyle name="표준 2 15" xfId="2379"/>
    <cellStyle name="표준 2 15 2" xfId="2380"/>
    <cellStyle name="표준 2 16" xfId="2381"/>
    <cellStyle name="표준 2 16 2" xfId="2382"/>
    <cellStyle name="표준 2 17" xfId="2383"/>
    <cellStyle name="표준 2 17 2" xfId="2384"/>
    <cellStyle name="표준 2 18" xfId="2385"/>
    <cellStyle name="표준 2 18 2" xfId="2386"/>
    <cellStyle name="표준 2 19" xfId="2387"/>
    <cellStyle name="표준 2 19 2" xfId="2388"/>
    <cellStyle name="표준 2 2" xfId="19"/>
    <cellStyle name="표준 2 2 10" xfId="2389"/>
    <cellStyle name="표준 2 2 10 2" xfId="2390"/>
    <cellStyle name="표준 2 2 11" xfId="2391"/>
    <cellStyle name="표준 2 2 11 2" xfId="2392"/>
    <cellStyle name="표준 2 2 12" xfId="2393"/>
    <cellStyle name="표준 2 2 12 2" xfId="2394"/>
    <cellStyle name="표준 2 2 13" xfId="2395"/>
    <cellStyle name="표준 2 2 13 2" xfId="2396"/>
    <cellStyle name="표준 2 2 14" xfId="2397"/>
    <cellStyle name="표준 2 2 14 2" xfId="2398"/>
    <cellStyle name="표준 2 2 15" xfId="2399"/>
    <cellStyle name="표준 2 2 15 2" xfId="2400"/>
    <cellStyle name="표준 2 2 16" xfId="2401"/>
    <cellStyle name="표준 2 2 16 2" xfId="2402"/>
    <cellStyle name="표준 2 2 17" xfId="2403"/>
    <cellStyle name="표준 2 2 17 2" xfId="2404"/>
    <cellStyle name="표준 2 2 18" xfId="2405"/>
    <cellStyle name="표준 2 2 18 2" xfId="2406"/>
    <cellStyle name="표준 2 2 19" xfId="2407"/>
    <cellStyle name="표준 2 2 19 2" xfId="2408"/>
    <cellStyle name="표준 2 2 2" xfId="2409"/>
    <cellStyle name="표준 2 2 2 2" xfId="2410"/>
    <cellStyle name="표준 2 2 2 2 2" xfId="2411"/>
    <cellStyle name="표준 2 2 2 2 3" xfId="4817"/>
    <cellStyle name="표준 2 2 2 3" xfId="2412"/>
    <cellStyle name="표준 2 2 2 3 2" xfId="4818"/>
    <cellStyle name="표준 2 2 2 4" xfId="2413"/>
    <cellStyle name="표준 2 2 2 5" xfId="4819"/>
    <cellStyle name="표준 2 2 2_2008_pay_Initech_금융3본부" xfId="4820"/>
    <cellStyle name="표준 2 2 20" xfId="2414"/>
    <cellStyle name="표준 2 2 20 2" xfId="2415"/>
    <cellStyle name="표준 2 2 21" xfId="2416"/>
    <cellStyle name="표준 2 2 21 2" xfId="2417"/>
    <cellStyle name="표준 2 2 22" xfId="2418"/>
    <cellStyle name="표준 2 2 22 2" xfId="2419"/>
    <cellStyle name="표준 2 2 23" xfId="2420"/>
    <cellStyle name="표준 2 2 23 2" xfId="2421"/>
    <cellStyle name="표준 2 2 24" xfId="2422"/>
    <cellStyle name="표준 2 2 24 2" xfId="2423"/>
    <cellStyle name="표준 2 2 25" xfId="2424"/>
    <cellStyle name="표준 2 2 26" xfId="2425"/>
    <cellStyle name="표준 2 2 27" xfId="2426"/>
    <cellStyle name="표준 2 2 28" xfId="2427"/>
    <cellStyle name="표준 2 2 29" xfId="2428"/>
    <cellStyle name="표준 2 2 3" xfId="2429"/>
    <cellStyle name="표준 2 2 3 2" xfId="2430"/>
    <cellStyle name="표준 2 2 3 3" xfId="4821"/>
    <cellStyle name="표준 2 2 30" xfId="2431"/>
    <cellStyle name="표준 2 2 31" xfId="2432"/>
    <cellStyle name="표준 2 2 32" xfId="2433"/>
    <cellStyle name="표준 2 2 33" xfId="2434"/>
    <cellStyle name="표준 2 2 34" xfId="2435"/>
    <cellStyle name="표준 2 2 35" xfId="2436"/>
    <cellStyle name="표준 2 2 36" xfId="2437"/>
    <cellStyle name="표준 2 2 37" xfId="2438"/>
    <cellStyle name="표준 2 2 38" xfId="2439"/>
    <cellStyle name="표준 2 2 39" xfId="2440"/>
    <cellStyle name="표준 2 2 4" xfId="2441"/>
    <cellStyle name="표준 2 2 4 2" xfId="2442"/>
    <cellStyle name="표준 2 2 4 3" xfId="4822"/>
    <cellStyle name="표준 2 2 40" xfId="2443"/>
    <cellStyle name="표준 2 2 41" xfId="2444"/>
    <cellStyle name="표준 2 2 5" xfId="2445"/>
    <cellStyle name="표준 2 2 5 2" xfId="2446"/>
    <cellStyle name="표준 2 2 5 3" xfId="4823"/>
    <cellStyle name="표준 2 2 6" xfId="2447"/>
    <cellStyle name="표준 2 2 6 2" xfId="2448"/>
    <cellStyle name="표준 2 2 7" xfId="2449"/>
    <cellStyle name="표준 2 2 7 2" xfId="2450"/>
    <cellStyle name="표준 2 2 8" xfId="2451"/>
    <cellStyle name="표준 2 2 8 2" xfId="2452"/>
    <cellStyle name="표준 2 2 9" xfId="2453"/>
    <cellStyle name="표준 2 2 9 2" xfId="2454"/>
    <cellStyle name="표준 2 2_2011년 사업계획  Template1" xfId="2455"/>
    <cellStyle name="표준 2 20" xfId="2456"/>
    <cellStyle name="표준 2 20 2" xfId="2457"/>
    <cellStyle name="표준 2 21" xfId="2458"/>
    <cellStyle name="표준 2 22" xfId="2459"/>
    <cellStyle name="표준 2 23" xfId="2460"/>
    <cellStyle name="표준 2 24" xfId="2461"/>
    <cellStyle name="표준 2 25" xfId="2462"/>
    <cellStyle name="표준 2 26" xfId="2463"/>
    <cellStyle name="표준 2 27" xfId="2464"/>
    <cellStyle name="표준 2 28" xfId="2465"/>
    <cellStyle name="표준 2 29" xfId="2466"/>
    <cellStyle name="표준 2 3" xfId="20"/>
    <cellStyle name="표준 2 3 10" xfId="2467"/>
    <cellStyle name="표준 2 3 11" xfId="2468"/>
    <cellStyle name="표준 2 3 2" xfId="2469"/>
    <cellStyle name="표준 2 3 2 2" xfId="2470"/>
    <cellStyle name="표준 2 3 3" xfId="2471"/>
    <cellStyle name="표준 2 3 4" xfId="2472"/>
    <cellStyle name="표준 2 3 5" xfId="2473"/>
    <cellStyle name="표준 2 3 6" xfId="2474"/>
    <cellStyle name="표준 2 3 7" xfId="2475"/>
    <cellStyle name="표준 2 3 8" xfId="2476"/>
    <cellStyle name="표준 2 3 9" xfId="2477"/>
    <cellStyle name="표준 2 30" xfId="2478"/>
    <cellStyle name="표준 2 31" xfId="2479"/>
    <cellStyle name="표준 2 32" xfId="2480"/>
    <cellStyle name="표준 2 33" xfId="2481"/>
    <cellStyle name="표준 2 34" xfId="2482"/>
    <cellStyle name="표준 2 35" xfId="2483"/>
    <cellStyle name="표준 2 36" xfId="2484"/>
    <cellStyle name="표준 2 37" xfId="2485"/>
    <cellStyle name="표준 2 38" xfId="2486"/>
    <cellStyle name="표준 2 39" xfId="2487"/>
    <cellStyle name="표준 2 4" xfId="21"/>
    <cellStyle name="표준 2 4 2" xfId="2488"/>
    <cellStyle name="표준 2 4 2 2" xfId="2489"/>
    <cellStyle name="표준 2 4 3" xfId="2490"/>
    <cellStyle name="표준 2 4 4" xfId="2491"/>
    <cellStyle name="표준 2 4 5" xfId="2492"/>
    <cellStyle name="표준 2 4 6" xfId="2493"/>
    <cellStyle name="표준 2 40" xfId="2494"/>
    <cellStyle name="표준 2 41" xfId="2495"/>
    <cellStyle name="표준 2 42" xfId="2496"/>
    <cellStyle name="표준 2 43" xfId="2497"/>
    <cellStyle name="표준 2 44" xfId="2498"/>
    <cellStyle name="표준 2 45" xfId="2718"/>
    <cellStyle name="표준 2 46" xfId="4816"/>
    <cellStyle name="표준 2 47" xfId="4840"/>
    <cellStyle name="표준 2 48" xfId="18"/>
    <cellStyle name="표준 2 5" xfId="22"/>
    <cellStyle name="표준 2 5 2" xfId="2499"/>
    <cellStyle name="표준 2 5 2 2" xfId="2500"/>
    <cellStyle name="표준 2 5 3" xfId="2501"/>
    <cellStyle name="표준 2 6" xfId="31"/>
    <cellStyle name="표준 2 6 2" xfId="2502"/>
    <cellStyle name="표준 2 7" xfId="2503"/>
    <cellStyle name="표준 2 7 2" xfId="2504"/>
    <cellStyle name="표준 2 8" xfId="2505"/>
    <cellStyle name="표준 2 8 2" xfId="2506"/>
    <cellStyle name="표준 2 9" xfId="2507"/>
    <cellStyle name="표준 2 9 2" xfId="2508"/>
    <cellStyle name="표준 2_(배포양식) 2009년 인원계획_사업계획 (2)" xfId="4824"/>
    <cellStyle name="표준 20" xfId="2509"/>
    <cellStyle name="표준 20 2" xfId="2510"/>
    <cellStyle name="표준 21" xfId="2511"/>
    <cellStyle name="표준 21 2" xfId="2512"/>
    <cellStyle name="표준 22" xfId="2513"/>
    <cellStyle name="표준 22 2" xfId="2514"/>
    <cellStyle name="표준 23" xfId="2515"/>
    <cellStyle name="표준 23 2" xfId="2516"/>
    <cellStyle name="표준 24" xfId="2517"/>
    <cellStyle name="표준 24 2" xfId="2518"/>
    <cellStyle name="표준 25" xfId="2519"/>
    <cellStyle name="표준 25 2" xfId="2520"/>
    <cellStyle name="표준 26" xfId="2521"/>
    <cellStyle name="표준 26 2" xfId="2522"/>
    <cellStyle name="표준 27" xfId="2523"/>
    <cellStyle name="표준 27 2" xfId="2524"/>
    <cellStyle name="표준 28" xfId="2525"/>
    <cellStyle name="표준 28 2" xfId="2526"/>
    <cellStyle name="표준 29" xfId="2527"/>
    <cellStyle name="표준 29 2" xfId="2528"/>
    <cellStyle name="표준 3" xfId="3"/>
    <cellStyle name="표준 3 10" xfId="2529"/>
    <cellStyle name="표준 3 11" xfId="2530"/>
    <cellStyle name="표준 3 12" xfId="2531"/>
    <cellStyle name="표준 3 13" xfId="2532"/>
    <cellStyle name="표준 3 14" xfId="2533"/>
    <cellStyle name="표준 3 15" xfId="2534"/>
    <cellStyle name="표준 3 16" xfId="2535"/>
    <cellStyle name="표준 3 17" xfId="2536"/>
    <cellStyle name="표준 3 18" xfId="2537"/>
    <cellStyle name="표준 3 19" xfId="2538"/>
    <cellStyle name="표준 3 2" xfId="2539"/>
    <cellStyle name="표준 3 2 2" xfId="2540"/>
    <cellStyle name="표준 3 2 2 2" xfId="2541"/>
    <cellStyle name="표준 3 2 3" xfId="2542"/>
    <cellStyle name="표준 3 2 4" xfId="2543"/>
    <cellStyle name="표준 3 2 5" xfId="2544"/>
    <cellStyle name="표준 3 2 6" xfId="2545"/>
    <cellStyle name="표준 3 2 7" xfId="2546"/>
    <cellStyle name="표준 3 2 8" xfId="2547"/>
    <cellStyle name="표준 3 2 9" xfId="4826"/>
    <cellStyle name="표준 3 20" xfId="2548"/>
    <cellStyle name="표준 3 21" xfId="2549"/>
    <cellStyle name="표준 3 22" xfId="2550"/>
    <cellStyle name="표준 3 23" xfId="2551"/>
    <cellStyle name="표준 3 24" xfId="2552"/>
    <cellStyle name="표준 3 25" xfId="2553"/>
    <cellStyle name="표준 3 26" xfId="2554"/>
    <cellStyle name="표준 3 27" xfId="2555"/>
    <cellStyle name="표준 3 28" xfId="2556"/>
    <cellStyle name="표준 3 29" xfId="2557"/>
    <cellStyle name="표준 3 3" xfId="2558"/>
    <cellStyle name="표준 3 3 2" xfId="2559"/>
    <cellStyle name="표준 3 3 3" xfId="2560"/>
    <cellStyle name="표준 3 3 4" xfId="4827"/>
    <cellStyle name="표준 3 30" xfId="4825"/>
    <cellStyle name="표준 3 31" xfId="23"/>
    <cellStyle name="표준 3 4" xfId="2561"/>
    <cellStyle name="표준 3 4 2" xfId="2562"/>
    <cellStyle name="표준 3 4 3" xfId="2563"/>
    <cellStyle name="표준 3 5" xfId="2564"/>
    <cellStyle name="표준 3 6" xfId="2565"/>
    <cellStyle name="표준 3 7" xfId="2566"/>
    <cellStyle name="표준 3 8" xfId="2567"/>
    <cellStyle name="표준 3 9" xfId="2568"/>
    <cellStyle name="표준 30" xfId="2569"/>
    <cellStyle name="표준 30 2" xfId="2570"/>
    <cellStyle name="표준 31" xfId="2571"/>
    <cellStyle name="표준 31 2" xfId="2572"/>
    <cellStyle name="표준 32" xfId="2573"/>
    <cellStyle name="표준 32 2" xfId="2574"/>
    <cellStyle name="표준 33" xfId="2575"/>
    <cellStyle name="표준 33 2" xfId="2576"/>
    <cellStyle name="표준 34" xfId="2577"/>
    <cellStyle name="표준 34 2" xfId="2578"/>
    <cellStyle name="표준 35" xfId="2579"/>
    <cellStyle name="표준 35 2" xfId="2580"/>
    <cellStyle name="표준 36" xfId="2581"/>
    <cellStyle name="표준 36 2" xfId="2582"/>
    <cellStyle name="표준 37" xfId="2583"/>
    <cellStyle name="표준 38" xfId="2584"/>
    <cellStyle name="표준 39" xfId="2585"/>
    <cellStyle name="표준 4" xfId="24"/>
    <cellStyle name="표준 4 10" xfId="2586"/>
    <cellStyle name="표준 4 11" xfId="2587"/>
    <cellStyle name="표준 4 12" xfId="2588"/>
    <cellStyle name="표준 4 13" xfId="2589"/>
    <cellStyle name="표준 4 14" xfId="2590"/>
    <cellStyle name="표준 4 15" xfId="2591"/>
    <cellStyle name="표준 4 16" xfId="2592"/>
    <cellStyle name="표준 4 17" xfId="2593"/>
    <cellStyle name="표준 4 18" xfId="2594"/>
    <cellStyle name="표준 4 19" xfId="2595"/>
    <cellStyle name="표준 4 2" xfId="25"/>
    <cellStyle name="표준 4 2 10" xfId="2596"/>
    <cellStyle name="표준 4 2 11" xfId="2597"/>
    <cellStyle name="표준 4 2 2" xfId="2598"/>
    <cellStyle name="표준 4 2 3" xfId="2599"/>
    <cellStyle name="표준 4 2 4" xfId="2600"/>
    <cellStyle name="표준 4 2 5" xfId="2601"/>
    <cellStyle name="표준 4 2 6" xfId="2602"/>
    <cellStyle name="표준 4 2 7" xfId="2603"/>
    <cellStyle name="표준 4 2 8" xfId="2604"/>
    <cellStyle name="표준 4 2 9" xfId="2605"/>
    <cellStyle name="표준 4 20" xfId="2606"/>
    <cellStyle name="표준 4 21" xfId="2607"/>
    <cellStyle name="표준 4 22" xfId="2608"/>
    <cellStyle name="표준 4 23" xfId="2609"/>
    <cellStyle name="표준 4 24" xfId="4828"/>
    <cellStyle name="표준 4 3" xfId="2610"/>
    <cellStyle name="표준 4 3 2" xfId="2611"/>
    <cellStyle name="표준 4 3 3" xfId="2612"/>
    <cellStyle name="표준 4 4" xfId="2613"/>
    <cellStyle name="표준 4 4 2" xfId="2614"/>
    <cellStyle name="표준 4 4 3" xfId="2615"/>
    <cellStyle name="표준 4 5" xfId="2616"/>
    <cellStyle name="표준 4 6" xfId="2617"/>
    <cellStyle name="표준 4 7" xfId="2618"/>
    <cellStyle name="표준 4 8" xfId="2619"/>
    <cellStyle name="표준 4 9" xfId="2620"/>
    <cellStyle name="표준 40" xfId="2621"/>
    <cellStyle name="표준 41" xfId="2622"/>
    <cellStyle name="표준 42" xfId="2623"/>
    <cellStyle name="표준 43" xfId="2624"/>
    <cellStyle name="표준 44" xfId="2625"/>
    <cellStyle name="표준 45" xfId="2626"/>
    <cellStyle name="표준 46" xfId="2627"/>
    <cellStyle name="표준 47" xfId="2628"/>
    <cellStyle name="표준 48" xfId="2629"/>
    <cellStyle name="표준 49" xfId="2630"/>
    <cellStyle name="표준 5" xfId="26"/>
    <cellStyle name="표준 5 10" xfId="2631"/>
    <cellStyle name="표준 5 11" xfId="2632"/>
    <cellStyle name="표준 5 12" xfId="2633"/>
    <cellStyle name="표준 5 13" xfId="4829"/>
    <cellStyle name="표준 5 2" xfId="2634"/>
    <cellStyle name="표준 5 2 2" xfId="2635"/>
    <cellStyle name="표준 5 2 3" xfId="2636"/>
    <cellStyle name="표준 5 2 4" xfId="2637"/>
    <cellStyle name="표준 5 2 5" xfId="2638"/>
    <cellStyle name="표준 5 3" xfId="2639"/>
    <cellStyle name="표준 5 4" xfId="2640"/>
    <cellStyle name="표준 5 5" xfId="2641"/>
    <cellStyle name="표준 5 6" xfId="2642"/>
    <cellStyle name="표준 5 7" xfId="2643"/>
    <cellStyle name="표준 5 8" xfId="2644"/>
    <cellStyle name="표준 5 9" xfId="2645"/>
    <cellStyle name="표준 50" xfId="2646"/>
    <cellStyle name="표준 51" xfId="2647"/>
    <cellStyle name="표준 52" xfId="2648"/>
    <cellStyle name="표준 53" xfId="2649"/>
    <cellStyle name="표준 54" xfId="2650"/>
    <cellStyle name="표준 55" xfId="2651"/>
    <cellStyle name="표준 56" xfId="2652"/>
    <cellStyle name="표준 57" xfId="2653"/>
    <cellStyle name="표준 58" xfId="2654"/>
    <cellStyle name="표준 59" xfId="2655"/>
    <cellStyle name="표준 6" xfId="27"/>
    <cellStyle name="표준 6 2" xfId="2656"/>
    <cellStyle name="표준 6 3" xfId="2657"/>
    <cellStyle name="표준 6 4" xfId="2658"/>
    <cellStyle name="표준 6 5" xfId="2659"/>
    <cellStyle name="표준 6 6" xfId="2660"/>
    <cellStyle name="표준 6 7" xfId="2661"/>
    <cellStyle name="표준 6 8" xfId="2662"/>
    <cellStyle name="표준 60" xfId="2663"/>
    <cellStyle name="표준 61" xfId="2664"/>
    <cellStyle name="표준 62" xfId="2665"/>
    <cellStyle name="표준 63" xfId="2666"/>
    <cellStyle name="표준 64" xfId="2667"/>
    <cellStyle name="표준 65" xfId="2668"/>
    <cellStyle name="표준 66" xfId="2669"/>
    <cellStyle name="표준 67" xfId="2670"/>
    <cellStyle name="표준 68" xfId="2671"/>
    <cellStyle name="표준 69" xfId="2672"/>
    <cellStyle name="표준 7" xfId="28"/>
    <cellStyle name="표준 7 10" xfId="2673"/>
    <cellStyle name="표준 7 11" xfId="2674"/>
    <cellStyle name="표준 7 12" xfId="2675"/>
    <cellStyle name="표준 7 13" xfId="2676"/>
    <cellStyle name="표준 7 14" xfId="2677"/>
    <cellStyle name="표준 7 15" xfId="2678"/>
    <cellStyle name="표준 7 16" xfId="2679"/>
    <cellStyle name="표준 7 17" xfId="2680"/>
    <cellStyle name="표준 7 18" xfId="4830"/>
    <cellStyle name="표준 7 2" xfId="2681"/>
    <cellStyle name="표준 7 3" xfId="2682"/>
    <cellStyle name="표준 7 4" xfId="2683"/>
    <cellStyle name="표준 7 5" xfId="2684"/>
    <cellStyle name="표준 7 6" xfId="2685"/>
    <cellStyle name="표준 7 7" xfId="2686"/>
    <cellStyle name="표준 7 8" xfId="2687"/>
    <cellStyle name="표준 7 9" xfId="2688"/>
    <cellStyle name="표준 70" xfId="2689"/>
    <cellStyle name="표준 71" xfId="2690"/>
    <cellStyle name="표준 72" xfId="2691"/>
    <cellStyle name="표준 73" xfId="2692"/>
    <cellStyle name="표준 74" xfId="2693"/>
    <cellStyle name="표준 75" xfId="2694"/>
    <cellStyle name="표준 76" xfId="2695"/>
    <cellStyle name="표준 77" xfId="2696"/>
    <cellStyle name="표준 78" xfId="2697"/>
    <cellStyle name="표준 79" xfId="2698"/>
    <cellStyle name="표준 8" xfId="29"/>
    <cellStyle name="표준 8 2" xfId="2699"/>
    <cellStyle name="표준 8 3" xfId="2700"/>
    <cellStyle name="표준 8 4" xfId="2701"/>
    <cellStyle name="표준 8 5" xfId="2702"/>
    <cellStyle name="표준 8 6" xfId="2703"/>
    <cellStyle name="표준 8 7" xfId="2704"/>
    <cellStyle name="표준 8 8" xfId="2705"/>
    <cellStyle name="표준 8 9" xfId="4831"/>
    <cellStyle name="표준 80" xfId="2706"/>
    <cellStyle name="표준 81" xfId="2707"/>
    <cellStyle name="표준 82" xfId="2708"/>
    <cellStyle name="표준 83" xfId="2709"/>
    <cellStyle name="표준 84" xfId="13"/>
    <cellStyle name="표준 85" xfId="4890"/>
    <cellStyle name="표준 86" xfId="4877"/>
    <cellStyle name="표준 87" xfId="4878"/>
    <cellStyle name="표준 88" xfId="12"/>
    <cellStyle name="표준 89" xfId="4892"/>
    <cellStyle name="표준 9" xfId="30"/>
    <cellStyle name="표준 9 2" xfId="2710"/>
    <cellStyle name="표준 9 3" xfId="2711"/>
    <cellStyle name="표준 9 4" xfId="2712"/>
    <cellStyle name="표준 9 5" xfId="2713"/>
    <cellStyle name="표준 9 6" xfId="2714"/>
    <cellStyle name="표준 9 7" xfId="2715"/>
    <cellStyle name="표준 9 8" xfId="2716"/>
    <cellStyle name="표준 9 9" xfId="4832"/>
    <cellStyle name="표준 90" xfId="4893"/>
    <cellStyle name="표준 91" xfId="4895"/>
    <cellStyle name="標準_(01)タイムクリエイトＰＬ単年度1" xfId="4833"/>
    <cellStyle name="표준_광주_경남은행신BIS_수지차_20060816_061116-수지차양식" xfId="11"/>
    <cellStyle name="표준_사원별급여현황" xfId="9"/>
    <cellStyle name="표준_외환은행_인력투입계획_최종_우체국 차세대 인력투입계획 및 제안가격_윌비_20061026_080114-수지차-우리은행CRM구축_Ver 1.0" xfId="4894"/>
    <cellStyle name="표준_직급별인건비" xfId="10"/>
    <cellStyle name="표준체" xfId="4834"/>
    <cellStyle name="푤貫롸몰[0]_RESULTS" xfId="4835"/>
    <cellStyle name="푤貫롸몰_RESULTS" xfId="4836"/>
    <cellStyle name="합산" xfId="4837"/>
    <cellStyle name="화폐기호" xfId="4838"/>
    <cellStyle name="화폐기호0" xfId="4839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593025</xdr:colOff>
      <xdr:row>26</xdr:row>
      <xdr:rowOff>162708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38025" cy="5611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2:ER314"/>
  <sheetViews>
    <sheetView showGridLines="0" tabSelected="1" zoomScale="85" zoomScaleNormal="85" workbookViewId="0"/>
  </sheetViews>
  <sheetFormatPr defaultRowHeight="21" customHeight="1" outlineLevelRow="1"/>
  <cols>
    <col min="1" max="1" width="4.125" style="117" customWidth="1"/>
    <col min="2" max="37" width="4.125" style="66" customWidth="1"/>
    <col min="38" max="38" width="4.875" style="66" customWidth="1"/>
    <col min="39" max="39" width="5" style="66" customWidth="1"/>
    <col min="40" max="73" width="4.125" style="66" customWidth="1"/>
    <col min="74" max="89" width="4.125" style="66" hidden="1" customWidth="1"/>
    <col min="90" max="93" width="4.125" style="66" customWidth="1"/>
    <col min="94" max="95" width="4.375" style="66" customWidth="1"/>
    <col min="96" max="114" width="4.125" style="66" customWidth="1"/>
    <col min="115" max="119" width="4.125" style="67" customWidth="1"/>
    <col min="120" max="135" width="4.125" style="66" customWidth="1"/>
    <col min="136" max="138" width="4.125" style="157" customWidth="1"/>
    <col min="139" max="141" width="4.125" style="66" customWidth="1"/>
    <col min="142" max="142" width="13.125" style="66" bestFit="1" customWidth="1"/>
    <col min="143" max="145" width="9" style="66"/>
    <col min="146" max="148" width="9" style="66" hidden="1" customWidth="1"/>
    <col min="149" max="16384" width="9" style="66"/>
  </cols>
  <sheetData>
    <row r="2" spans="1:138" s="62" customFormat="1" ht="21" customHeight="1">
      <c r="A2" s="131"/>
      <c r="B2" s="62" t="s">
        <v>202</v>
      </c>
      <c r="DK2" s="63"/>
      <c r="DL2" s="63"/>
      <c r="DM2" s="63"/>
      <c r="DN2" s="63"/>
      <c r="DO2" s="63"/>
      <c r="EF2" s="156"/>
      <c r="EG2" s="156"/>
      <c r="EH2" s="156"/>
    </row>
    <row r="3" spans="1:138" s="62" customFormat="1" ht="21" customHeight="1" thickBot="1">
      <c r="A3" s="131"/>
      <c r="P3" s="64"/>
      <c r="Q3" s="64"/>
      <c r="R3" s="64"/>
      <c r="S3" s="64"/>
      <c r="T3" s="65"/>
      <c r="U3" s="65"/>
      <c r="V3" s="65"/>
      <c r="W3" s="65"/>
      <c r="X3" s="65"/>
      <c r="DK3" s="63"/>
      <c r="DL3" s="63"/>
      <c r="DM3" s="63"/>
      <c r="DN3" s="63"/>
      <c r="DO3" s="63"/>
      <c r="EF3" s="156"/>
      <c r="EG3" s="156"/>
      <c r="EH3" s="156"/>
    </row>
    <row r="4" spans="1:138" s="62" customFormat="1" ht="21" customHeight="1" thickTop="1" thickBot="1">
      <c r="A4" s="131"/>
      <c r="B4" s="183" t="s">
        <v>46</v>
      </c>
      <c r="C4" s="184"/>
      <c r="D4" s="184"/>
      <c r="E4" s="184"/>
      <c r="F4" s="185">
        <v>46021</v>
      </c>
      <c r="G4" s="186"/>
      <c r="H4" s="186"/>
      <c r="I4" s="186"/>
      <c r="J4" s="187"/>
      <c r="P4" s="64"/>
      <c r="Q4" s="64"/>
      <c r="R4" s="64"/>
      <c r="S4" s="64"/>
      <c r="T4" s="65"/>
      <c r="U4" s="65"/>
      <c r="V4" s="65"/>
      <c r="W4" s="65"/>
      <c r="X4" s="65"/>
      <c r="DK4" s="63"/>
      <c r="DL4" s="63"/>
      <c r="DM4" s="63"/>
      <c r="DN4" s="63"/>
      <c r="DO4" s="63"/>
      <c r="EF4" s="156"/>
      <c r="EG4" s="156"/>
      <c r="EH4" s="156"/>
    </row>
    <row r="5" spans="1:138" ht="21" customHeight="1" thickTop="1"/>
    <row r="6" spans="1:138" s="69" customFormat="1" ht="21" customHeight="1">
      <c r="A6" s="117"/>
      <c r="B6" s="68" t="s">
        <v>22</v>
      </c>
      <c r="DK6" s="70"/>
      <c r="DL6" s="70"/>
      <c r="DM6" s="70"/>
      <c r="DN6" s="70"/>
      <c r="DO6" s="70"/>
      <c r="EF6" s="157"/>
      <c r="EG6" s="157"/>
      <c r="EH6" s="157"/>
    </row>
    <row r="7" spans="1:138" ht="8.25" customHeight="1"/>
    <row r="8" spans="1:138" ht="21" customHeight="1">
      <c r="B8" s="171" t="s">
        <v>0</v>
      </c>
      <c r="C8" s="172"/>
      <c r="D8" s="172"/>
      <c r="E8" s="172"/>
      <c r="F8" s="172"/>
      <c r="G8" s="188" t="s">
        <v>264</v>
      </c>
      <c r="H8" s="174"/>
      <c r="I8" s="174"/>
      <c r="J8" s="174"/>
      <c r="K8" s="174"/>
      <c r="L8" s="174"/>
      <c r="M8" s="174"/>
      <c r="N8" s="174"/>
      <c r="O8" s="174"/>
      <c r="P8" s="174"/>
      <c r="Q8" s="175"/>
      <c r="R8" s="71"/>
      <c r="S8" s="72"/>
      <c r="T8" s="72"/>
      <c r="U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138" ht="21" customHeight="1">
      <c r="B9" s="171" t="s">
        <v>1</v>
      </c>
      <c r="C9" s="172"/>
      <c r="D9" s="172"/>
      <c r="E9" s="172"/>
      <c r="F9" s="172"/>
      <c r="G9" s="176" t="s">
        <v>265</v>
      </c>
      <c r="H9" s="174"/>
      <c r="I9" s="174"/>
      <c r="J9" s="174"/>
      <c r="K9" s="174"/>
      <c r="L9" s="174"/>
      <c r="M9" s="174"/>
      <c r="N9" s="174"/>
      <c r="O9" s="174"/>
      <c r="P9" s="174"/>
      <c r="Q9" s="175"/>
      <c r="R9" s="73"/>
      <c r="S9" s="72"/>
      <c r="T9" s="72"/>
      <c r="U9" s="72"/>
      <c r="V9" s="72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</row>
    <row r="10" spans="1:138" ht="21" customHeight="1">
      <c r="B10" s="177" t="s">
        <v>247</v>
      </c>
      <c r="C10" s="178"/>
      <c r="D10" s="178"/>
      <c r="E10" s="178"/>
      <c r="F10" s="178"/>
      <c r="G10" s="179" t="s">
        <v>268</v>
      </c>
      <c r="H10" s="174"/>
      <c r="I10" s="174"/>
      <c r="J10" s="174"/>
      <c r="K10" s="174"/>
      <c r="L10" s="174"/>
      <c r="M10" s="174"/>
      <c r="N10" s="174"/>
      <c r="O10" s="174"/>
      <c r="P10" s="174"/>
      <c r="Q10" s="175"/>
    </row>
    <row r="11" spans="1:138" ht="21" customHeight="1">
      <c r="B11" s="177" t="s">
        <v>248</v>
      </c>
      <c r="C11" s="178"/>
      <c r="D11" s="178"/>
      <c r="E11" s="178"/>
      <c r="F11" s="178"/>
      <c r="G11" s="180" t="s">
        <v>295</v>
      </c>
      <c r="H11" s="181"/>
      <c r="I11" s="181"/>
      <c r="J11" s="181"/>
      <c r="K11" s="181"/>
      <c r="L11" s="181"/>
      <c r="M11" s="181"/>
      <c r="N11" s="181"/>
      <c r="O11" s="181"/>
      <c r="P11" s="181"/>
      <c r="Q11" s="182"/>
    </row>
    <row r="12" spans="1:138" ht="21" customHeight="1">
      <c r="B12" s="171" t="s">
        <v>2</v>
      </c>
      <c r="C12" s="172"/>
      <c r="D12" s="172"/>
      <c r="E12" s="172"/>
      <c r="F12" s="172"/>
      <c r="G12" s="176" t="s">
        <v>266</v>
      </c>
      <c r="H12" s="174"/>
      <c r="I12" s="174"/>
      <c r="J12" s="174"/>
      <c r="K12" s="174"/>
      <c r="L12" s="174"/>
      <c r="M12" s="174"/>
      <c r="N12" s="174"/>
      <c r="O12" s="174"/>
      <c r="P12" s="174"/>
      <c r="Q12" s="175"/>
    </row>
    <row r="13" spans="1:138" ht="21" customHeight="1">
      <c r="B13" s="171" t="s">
        <v>3</v>
      </c>
      <c r="C13" s="172"/>
      <c r="D13" s="172"/>
      <c r="E13" s="172"/>
      <c r="F13" s="172"/>
      <c r="G13" s="173">
        <f>P46</f>
        <v>685300000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75"/>
    </row>
    <row r="14" spans="1:138" ht="21" customHeight="1">
      <c r="B14" s="171" t="s">
        <v>4</v>
      </c>
      <c r="C14" s="172"/>
      <c r="D14" s="172"/>
      <c r="E14" s="172"/>
      <c r="F14" s="172"/>
      <c r="G14" s="176" t="s">
        <v>263</v>
      </c>
      <c r="H14" s="174"/>
      <c r="I14" s="174"/>
      <c r="J14" s="174"/>
      <c r="K14" s="174"/>
      <c r="L14" s="174"/>
      <c r="M14" s="174"/>
      <c r="N14" s="174"/>
      <c r="O14" s="174"/>
      <c r="P14" s="174"/>
      <c r="Q14" s="175"/>
    </row>
    <row r="15" spans="1:138" ht="21" customHeight="1">
      <c r="B15" s="171" t="s">
        <v>5</v>
      </c>
      <c r="C15" s="172"/>
      <c r="D15" s="172"/>
      <c r="E15" s="172"/>
      <c r="F15" s="172"/>
      <c r="G15" s="176" t="s">
        <v>267</v>
      </c>
      <c r="H15" s="174"/>
      <c r="I15" s="174"/>
      <c r="J15" s="174"/>
      <c r="K15" s="174"/>
      <c r="L15" s="174"/>
      <c r="M15" s="174"/>
      <c r="N15" s="174"/>
      <c r="O15" s="174"/>
      <c r="P15" s="174"/>
      <c r="Q15" s="175"/>
    </row>
    <row r="17" spans="1:138" s="69" customFormat="1" ht="21" customHeight="1">
      <c r="A17" s="117"/>
      <c r="B17" s="68" t="s">
        <v>6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DK17" s="70"/>
      <c r="DL17" s="70"/>
      <c r="DM17" s="70"/>
      <c r="DN17" s="70"/>
      <c r="DO17" s="70"/>
      <c r="EF17" s="157"/>
      <c r="EG17" s="157"/>
      <c r="EH17" s="157"/>
    </row>
    <row r="18" spans="1:138" ht="8.25" customHeight="1"/>
    <row r="19" spans="1:138" ht="21" customHeight="1">
      <c r="B19" s="75" t="s">
        <v>252</v>
      </c>
      <c r="AA19" s="76" t="s">
        <v>49</v>
      </c>
      <c r="BC19" s="76"/>
    </row>
    <row r="20" spans="1:138" ht="8.25" customHeight="1"/>
    <row r="21" spans="1:138" ht="30" customHeight="1">
      <c r="B21" s="168" t="s">
        <v>249</v>
      </c>
      <c r="C21" s="168"/>
      <c r="D21" s="168"/>
      <c r="E21" s="168"/>
      <c r="F21" s="168"/>
      <c r="G21" s="168"/>
      <c r="H21" s="168"/>
      <c r="I21" s="168"/>
      <c r="J21" s="170">
        <f>AV32-AV29</f>
        <v>-24329279</v>
      </c>
      <c r="K21" s="170"/>
      <c r="L21" s="170"/>
      <c r="M21" s="170"/>
      <c r="N21" s="170"/>
      <c r="O21" s="168" t="s">
        <v>251</v>
      </c>
      <c r="P21" s="168"/>
      <c r="Q21" s="168"/>
      <c r="R21" s="168"/>
      <c r="S21" s="168"/>
      <c r="T21" s="168"/>
      <c r="U21" s="168"/>
      <c r="V21" s="168"/>
      <c r="W21" s="169">
        <f>AZ32-AZ29</f>
        <v>-3.5501647453669932E-2</v>
      </c>
      <c r="X21" s="169"/>
      <c r="Y21" s="169"/>
      <c r="Z21" s="169"/>
      <c r="AA21" s="169"/>
    </row>
    <row r="22" spans="1:138" s="161" customFormat="1" ht="20.100000000000001" customHeight="1">
      <c r="A22" s="160"/>
      <c r="B22" s="163" t="s">
        <v>255</v>
      </c>
      <c r="C22" s="164"/>
      <c r="D22" s="164"/>
      <c r="E22" s="164"/>
      <c r="F22" s="164"/>
      <c r="G22" s="164"/>
      <c r="H22" s="164"/>
      <c r="I22" s="164"/>
      <c r="J22" s="165"/>
      <c r="K22" s="165"/>
      <c r="L22" s="165"/>
      <c r="M22" s="165"/>
      <c r="N22" s="164"/>
      <c r="O22" s="164"/>
      <c r="P22" s="164"/>
      <c r="Q22" s="164"/>
      <c r="R22" s="164"/>
      <c r="S22" s="164"/>
      <c r="T22" s="164"/>
      <c r="U22" s="164"/>
      <c r="V22" s="166"/>
      <c r="W22" s="167"/>
      <c r="X22" s="167"/>
      <c r="Y22" s="167"/>
      <c r="Z22" s="167"/>
      <c r="AA22" s="167"/>
      <c r="DK22" s="162"/>
      <c r="DL22" s="162"/>
      <c r="DM22" s="162"/>
      <c r="DN22" s="162"/>
      <c r="DO22" s="162"/>
      <c r="EF22" s="160"/>
      <c r="EG22" s="160"/>
      <c r="EH22" s="160"/>
    </row>
    <row r="23" spans="1:138" ht="20.100000000000001" customHeight="1"/>
    <row r="24" spans="1:138" ht="21" customHeight="1">
      <c r="B24" s="75" t="s">
        <v>253</v>
      </c>
      <c r="BC24" s="76" t="s">
        <v>49</v>
      </c>
    </row>
    <row r="25" spans="1:138" ht="8.25" customHeight="1" thickBot="1"/>
    <row r="26" spans="1:138" ht="21" customHeight="1" thickTop="1">
      <c r="B26" s="197" t="s">
        <v>9</v>
      </c>
      <c r="C26" s="198"/>
      <c r="D26" s="198"/>
      <c r="E26" s="198"/>
      <c r="F26" s="198"/>
      <c r="G26" s="199"/>
      <c r="H26" s="194" t="s">
        <v>3</v>
      </c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 t="s">
        <v>10</v>
      </c>
      <c r="U26" s="194"/>
      <c r="V26" s="194"/>
      <c r="W26" s="194"/>
      <c r="X26" s="194" t="s">
        <v>11</v>
      </c>
      <c r="Y26" s="194"/>
      <c r="Z26" s="194"/>
      <c r="AA26" s="194"/>
      <c r="AB26" s="194"/>
      <c r="AC26" s="194"/>
      <c r="AD26" s="194"/>
      <c r="AE26" s="194"/>
      <c r="AF26" s="194" t="s">
        <v>12</v>
      </c>
      <c r="AG26" s="194"/>
      <c r="AH26" s="194"/>
      <c r="AI26" s="194"/>
      <c r="AJ26" s="194"/>
      <c r="AK26" s="194"/>
      <c r="AL26" s="194"/>
      <c r="AM26" s="194"/>
      <c r="AN26" s="194" t="s">
        <v>13</v>
      </c>
      <c r="AO26" s="194"/>
      <c r="AP26" s="194"/>
      <c r="AQ26" s="203"/>
      <c r="AR26" s="659" t="s">
        <v>300</v>
      </c>
      <c r="AS26" s="194"/>
      <c r="AT26" s="194"/>
      <c r="AU26" s="203"/>
      <c r="AV26" s="191" t="s">
        <v>14</v>
      </c>
      <c r="AW26" s="192"/>
      <c r="AX26" s="192"/>
      <c r="AY26" s="192"/>
      <c r="AZ26" s="192"/>
      <c r="BA26" s="192"/>
      <c r="BB26" s="192"/>
      <c r="BC26" s="193"/>
    </row>
    <row r="27" spans="1:138" ht="21" customHeight="1">
      <c r="B27" s="200"/>
      <c r="C27" s="201"/>
      <c r="D27" s="201"/>
      <c r="E27" s="201"/>
      <c r="F27" s="201"/>
      <c r="G27" s="202"/>
      <c r="H27" s="194" t="s">
        <v>198</v>
      </c>
      <c r="I27" s="194"/>
      <c r="J27" s="194"/>
      <c r="K27" s="194"/>
      <c r="L27" s="194" t="s">
        <v>7</v>
      </c>
      <c r="M27" s="194"/>
      <c r="N27" s="194"/>
      <c r="O27" s="194"/>
      <c r="P27" s="194" t="s">
        <v>8</v>
      </c>
      <c r="Q27" s="194"/>
      <c r="R27" s="194"/>
      <c r="S27" s="194"/>
      <c r="T27" s="194"/>
      <c r="U27" s="194"/>
      <c r="V27" s="194"/>
      <c r="W27" s="194"/>
      <c r="X27" s="194" t="s">
        <v>15</v>
      </c>
      <c r="Y27" s="194"/>
      <c r="Z27" s="194"/>
      <c r="AA27" s="194"/>
      <c r="AB27" s="194" t="s">
        <v>16</v>
      </c>
      <c r="AC27" s="194"/>
      <c r="AD27" s="194"/>
      <c r="AE27" s="194"/>
      <c r="AF27" s="194" t="s">
        <v>15</v>
      </c>
      <c r="AG27" s="194"/>
      <c r="AH27" s="194"/>
      <c r="AI27" s="194"/>
      <c r="AJ27" s="194" t="s">
        <v>16</v>
      </c>
      <c r="AK27" s="194"/>
      <c r="AL27" s="194"/>
      <c r="AM27" s="194"/>
      <c r="AN27" s="194"/>
      <c r="AO27" s="194"/>
      <c r="AP27" s="194"/>
      <c r="AQ27" s="203"/>
      <c r="AR27" s="194"/>
      <c r="AS27" s="194"/>
      <c r="AT27" s="194"/>
      <c r="AU27" s="203"/>
      <c r="AV27" s="195" t="s">
        <v>16</v>
      </c>
      <c r="AW27" s="194"/>
      <c r="AX27" s="194"/>
      <c r="AY27" s="194"/>
      <c r="AZ27" s="194" t="s">
        <v>17</v>
      </c>
      <c r="BA27" s="194"/>
      <c r="BB27" s="194"/>
      <c r="BC27" s="196"/>
    </row>
    <row r="28" spans="1:138" ht="3" customHeight="1">
      <c r="AV28" s="93"/>
      <c r="AW28" s="74"/>
      <c r="AX28" s="74"/>
      <c r="AY28" s="74"/>
      <c r="AZ28" s="74"/>
      <c r="BA28" s="74"/>
      <c r="BB28" s="74"/>
      <c r="BC28" s="94"/>
    </row>
    <row r="29" spans="1:138" ht="21" customHeight="1">
      <c r="B29" s="189" t="s">
        <v>18</v>
      </c>
      <c r="C29" s="189"/>
      <c r="D29" s="189"/>
      <c r="E29" s="632" t="s">
        <v>241</v>
      </c>
      <c r="F29" s="632"/>
      <c r="G29" s="632"/>
      <c r="H29" s="633">
        <f>P42</f>
        <v>0</v>
      </c>
      <c r="I29" s="633"/>
      <c r="J29" s="633"/>
      <c r="K29" s="633"/>
      <c r="L29" s="633">
        <f>P45</f>
        <v>685300000</v>
      </c>
      <c r="M29" s="633"/>
      <c r="N29" s="633"/>
      <c r="O29" s="633"/>
      <c r="P29" s="633">
        <f>+L29+H29</f>
        <v>685300000</v>
      </c>
      <c r="Q29" s="633"/>
      <c r="R29" s="633"/>
      <c r="S29" s="633"/>
      <c r="T29" s="633">
        <f>P50+P48</f>
        <v>4000000</v>
      </c>
      <c r="U29" s="633"/>
      <c r="V29" s="633"/>
      <c r="W29" s="633"/>
      <c r="X29" s="634">
        <f>P54*100%</f>
        <v>32.25</v>
      </c>
      <c r="Y29" s="634"/>
      <c r="Z29" s="634"/>
      <c r="AA29" s="634"/>
      <c r="AB29" s="633">
        <f>P55+P56</f>
        <v>392678500</v>
      </c>
      <c r="AC29" s="633"/>
      <c r="AD29" s="633"/>
      <c r="AE29" s="633"/>
      <c r="AF29" s="634">
        <f>P58*100%</f>
        <v>24</v>
      </c>
      <c r="AG29" s="634"/>
      <c r="AH29" s="634"/>
      <c r="AI29" s="634"/>
      <c r="AJ29" s="633">
        <f>+P59+P60</f>
        <v>117980000</v>
      </c>
      <c r="AK29" s="633"/>
      <c r="AL29" s="633"/>
      <c r="AM29" s="633"/>
      <c r="AN29" s="633">
        <f>P66</f>
        <v>41381250</v>
      </c>
      <c r="AO29" s="633"/>
      <c r="AP29" s="633"/>
      <c r="AQ29" s="635"/>
      <c r="AR29" s="633">
        <f>T66</f>
        <v>0</v>
      </c>
      <c r="AS29" s="633"/>
      <c r="AT29" s="633"/>
      <c r="AU29" s="635"/>
      <c r="AV29" s="636">
        <f>P29-T29-AB29-AJ29-AN29-P68</f>
        <v>129260250</v>
      </c>
      <c r="AW29" s="633"/>
      <c r="AX29" s="633"/>
      <c r="AY29" s="633"/>
      <c r="AZ29" s="637">
        <f>AV29/P29</f>
        <v>0.18861848825331973</v>
      </c>
      <c r="BA29" s="637"/>
      <c r="BB29" s="637"/>
      <c r="BC29" s="638"/>
    </row>
    <row r="30" spans="1:138" ht="21" customHeight="1">
      <c r="B30" s="190"/>
      <c r="C30" s="190"/>
      <c r="D30" s="190"/>
      <c r="E30" s="190" t="s">
        <v>242</v>
      </c>
      <c r="F30" s="190"/>
      <c r="G30" s="190"/>
      <c r="H30" s="204">
        <f>T42</f>
        <v>0</v>
      </c>
      <c r="I30" s="204"/>
      <c r="J30" s="204"/>
      <c r="K30" s="204"/>
      <c r="L30" s="204">
        <f>T45</f>
        <v>0</v>
      </c>
      <c r="M30" s="204"/>
      <c r="N30" s="204"/>
      <c r="O30" s="204"/>
      <c r="P30" s="204">
        <f>+L30+H30</f>
        <v>0</v>
      </c>
      <c r="Q30" s="204"/>
      <c r="R30" s="204"/>
      <c r="S30" s="204"/>
      <c r="T30" s="204">
        <f>+T48+T50</f>
        <v>0</v>
      </c>
      <c r="U30" s="204"/>
      <c r="V30" s="204"/>
      <c r="W30" s="204"/>
      <c r="X30" s="209">
        <f>T54*100%</f>
        <v>0</v>
      </c>
      <c r="Y30" s="209"/>
      <c r="Z30" s="209"/>
      <c r="AA30" s="209"/>
      <c r="AB30" s="204">
        <f>+T55+T56</f>
        <v>0</v>
      </c>
      <c r="AC30" s="204"/>
      <c r="AD30" s="204"/>
      <c r="AE30" s="204"/>
      <c r="AF30" s="209"/>
      <c r="AG30" s="209"/>
      <c r="AH30" s="209"/>
      <c r="AI30" s="209"/>
      <c r="AJ30" s="204">
        <f>+T59+T60</f>
        <v>0</v>
      </c>
      <c r="AK30" s="204"/>
      <c r="AL30" s="204"/>
      <c r="AM30" s="204"/>
      <c r="AN30" s="204">
        <f>T66</f>
        <v>0</v>
      </c>
      <c r="AO30" s="204"/>
      <c r="AP30" s="204"/>
      <c r="AQ30" s="205"/>
      <c r="AR30" s="204"/>
      <c r="AS30" s="204"/>
      <c r="AT30" s="204"/>
      <c r="AU30" s="205"/>
      <c r="AV30" s="206">
        <f>P30-T30-AB30-AJ30-AN30-P69</f>
        <v>0</v>
      </c>
      <c r="AW30" s="204"/>
      <c r="AX30" s="204"/>
      <c r="AY30" s="204"/>
      <c r="AZ30" s="207" t="str">
        <f>IFERROR(AV30/P30,"")</f>
        <v/>
      </c>
      <c r="BA30" s="207"/>
      <c r="BB30" s="207"/>
      <c r="BC30" s="208"/>
    </row>
    <row r="31" spans="1:138" ht="3" customHeight="1" thickBot="1">
      <c r="AV31" s="93"/>
      <c r="AW31" s="74"/>
      <c r="AX31" s="74"/>
      <c r="AY31" s="74"/>
      <c r="AZ31" s="74"/>
      <c r="BA31" s="74"/>
      <c r="BB31" s="74"/>
      <c r="BC31" s="94"/>
    </row>
    <row r="32" spans="1:138" ht="24.75" customHeight="1" thickTop="1">
      <c r="B32" s="639" t="s">
        <v>296</v>
      </c>
      <c r="C32" s="640"/>
      <c r="D32" s="641"/>
      <c r="E32" s="642" t="s">
        <v>297</v>
      </c>
      <c r="F32" s="642"/>
      <c r="G32" s="642"/>
      <c r="H32" s="643">
        <f>X42</f>
        <v>0</v>
      </c>
      <c r="I32" s="643"/>
      <c r="J32" s="643"/>
      <c r="K32" s="643"/>
      <c r="L32" s="643">
        <f>X45</f>
        <v>685300000</v>
      </c>
      <c r="M32" s="643"/>
      <c r="N32" s="643"/>
      <c r="O32" s="643"/>
      <c r="P32" s="643">
        <f t="shared" ref="P32:P33" si="0">+L32+H32</f>
        <v>685300000</v>
      </c>
      <c r="Q32" s="643"/>
      <c r="R32" s="643"/>
      <c r="S32" s="643"/>
      <c r="T32" s="643">
        <f>X48+X50</f>
        <v>0</v>
      </c>
      <c r="U32" s="643"/>
      <c r="V32" s="643"/>
      <c r="W32" s="643"/>
      <c r="X32" s="644">
        <f>X54</f>
        <v>37.570000000000007</v>
      </c>
      <c r="Y32" s="644"/>
      <c r="Z32" s="644"/>
      <c r="AA32" s="644"/>
      <c r="AB32" s="643">
        <f>X55</f>
        <v>425126900</v>
      </c>
      <c r="AC32" s="643"/>
      <c r="AD32" s="643"/>
      <c r="AE32" s="643"/>
      <c r="AF32" s="644">
        <f>X58</f>
        <v>3</v>
      </c>
      <c r="AG32" s="644"/>
      <c r="AH32" s="644"/>
      <c r="AI32" s="644"/>
      <c r="AJ32" s="643">
        <f>X59</f>
        <v>121619354</v>
      </c>
      <c r="AK32" s="643"/>
      <c r="AL32" s="643"/>
      <c r="AM32" s="643"/>
      <c r="AN32" s="643">
        <f>X66</f>
        <v>33622775</v>
      </c>
      <c r="AO32" s="643"/>
      <c r="AP32" s="643"/>
      <c r="AQ32" s="645"/>
      <c r="AR32" s="643">
        <f>AB66</f>
        <v>0</v>
      </c>
      <c r="AS32" s="643"/>
      <c r="AT32" s="643"/>
      <c r="AU32" s="645"/>
      <c r="AV32" s="646">
        <f>P32-T32-AB32-AJ32-AN32-T68-AR32</f>
        <v>104930971</v>
      </c>
      <c r="AW32" s="643"/>
      <c r="AX32" s="643"/>
      <c r="AY32" s="643"/>
      <c r="AZ32" s="647">
        <f>AV32/P32</f>
        <v>0.15311684079964979</v>
      </c>
      <c r="BA32" s="647"/>
      <c r="BB32" s="647"/>
      <c r="BC32" s="648"/>
    </row>
    <row r="33" spans="2:119" ht="24.75" customHeight="1" thickBot="1">
      <c r="B33" s="649" t="s">
        <v>298</v>
      </c>
      <c r="C33" s="650"/>
      <c r="D33" s="651"/>
      <c r="E33" s="652" t="s">
        <v>299</v>
      </c>
      <c r="F33" s="652"/>
      <c r="G33" s="652"/>
      <c r="H33" s="653">
        <f>H32</f>
        <v>0</v>
      </c>
      <c r="I33" s="653"/>
      <c r="J33" s="653"/>
      <c r="K33" s="653"/>
      <c r="L33" s="653">
        <f>L32</f>
        <v>685300000</v>
      </c>
      <c r="M33" s="653"/>
      <c r="N33" s="653"/>
      <c r="O33" s="653"/>
      <c r="P33" s="653">
        <f t="shared" si="0"/>
        <v>685300000</v>
      </c>
      <c r="Q33" s="653"/>
      <c r="R33" s="653"/>
      <c r="S33" s="653"/>
      <c r="T33" s="653">
        <f>T32</f>
        <v>0</v>
      </c>
      <c r="U33" s="653"/>
      <c r="V33" s="653"/>
      <c r="W33" s="653"/>
      <c r="X33" s="654">
        <f>X32</f>
        <v>37.570000000000007</v>
      </c>
      <c r="Y33" s="654"/>
      <c r="Z33" s="654"/>
      <c r="AA33" s="654"/>
      <c r="AB33" s="653">
        <f>AB32</f>
        <v>425126900</v>
      </c>
      <c r="AC33" s="653"/>
      <c r="AD33" s="653"/>
      <c r="AE33" s="653"/>
      <c r="AF33" s="654">
        <f>AF32</f>
        <v>3</v>
      </c>
      <c r="AG33" s="654"/>
      <c r="AH33" s="654"/>
      <c r="AI33" s="654"/>
      <c r="AJ33" s="653">
        <f>AJ32</f>
        <v>121619354</v>
      </c>
      <c r="AK33" s="653"/>
      <c r="AL33" s="653"/>
      <c r="AM33" s="653"/>
      <c r="AN33" s="653">
        <f>AN32</f>
        <v>33622775</v>
      </c>
      <c r="AO33" s="653"/>
      <c r="AP33" s="653"/>
      <c r="AQ33" s="655"/>
      <c r="AR33" s="653"/>
      <c r="AS33" s="653"/>
      <c r="AT33" s="653"/>
      <c r="AU33" s="653"/>
      <c r="AV33" s="656">
        <f>P33-T33-AB33-AJ33-AN33-T69-AR33</f>
        <v>104930971</v>
      </c>
      <c r="AW33" s="653"/>
      <c r="AX33" s="653"/>
      <c r="AY33" s="653"/>
      <c r="AZ33" s="657">
        <f>AV33/P33</f>
        <v>0.15311684079964979</v>
      </c>
      <c r="BA33" s="657"/>
      <c r="BB33" s="657"/>
      <c r="BC33" s="658"/>
    </row>
    <row r="34" spans="2:119" ht="21" customHeight="1" thickTop="1"/>
    <row r="35" spans="2:119" ht="21" customHeight="1">
      <c r="B35" s="75" t="s">
        <v>254</v>
      </c>
      <c r="X35" s="137"/>
      <c r="Z35" s="76"/>
      <c r="AA35" s="76" t="s">
        <v>49</v>
      </c>
      <c r="CM35" s="67"/>
      <c r="CN35" s="67"/>
      <c r="CO35" s="67"/>
      <c r="CP35" s="67"/>
      <c r="CQ35" s="67"/>
      <c r="DK35" s="66"/>
      <c r="DL35" s="66"/>
      <c r="DM35" s="66"/>
      <c r="DN35" s="66"/>
      <c r="DO35" s="66"/>
    </row>
    <row r="36" spans="2:119" ht="8.25" customHeight="1">
      <c r="CM36" s="67"/>
      <c r="CN36" s="67"/>
      <c r="CO36" s="67"/>
      <c r="CP36" s="67"/>
      <c r="CQ36" s="67"/>
      <c r="DK36" s="66"/>
      <c r="DL36" s="66"/>
      <c r="DM36" s="66"/>
      <c r="DN36" s="66"/>
      <c r="DO36" s="66"/>
    </row>
    <row r="37" spans="2:119" ht="21" customHeight="1">
      <c r="B37" s="197" t="s">
        <v>44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9"/>
      <c r="P37" s="239" t="s">
        <v>236</v>
      </c>
      <c r="Q37" s="198"/>
      <c r="R37" s="198"/>
      <c r="S37" s="199"/>
      <c r="T37" s="239" t="s">
        <v>237</v>
      </c>
      <c r="U37" s="198"/>
      <c r="V37" s="198"/>
      <c r="W37" s="199"/>
      <c r="X37" s="197" t="s">
        <v>235</v>
      </c>
      <c r="Y37" s="198"/>
      <c r="Z37" s="198"/>
      <c r="AA37" s="199"/>
      <c r="CO37" s="67"/>
      <c r="CP37" s="67"/>
      <c r="CQ37" s="67"/>
      <c r="CR37" s="67"/>
      <c r="CS37" s="67"/>
      <c r="DK37" s="66"/>
      <c r="DL37" s="66"/>
      <c r="DM37" s="66"/>
      <c r="DN37" s="66"/>
      <c r="DO37" s="66"/>
    </row>
    <row r="38" spans="2:119" ht="21" customHeight="1">
      <c r="B38" s="200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2"/>
      <c r="P38" s="200"/>
      <c r="Q38" s="201"/>
      <c r="R38" s="201"/>
      <c r="S38" s="202"/>
      <c r="T38" s="200"/>
      <c r="U38" s="201"/>
      <c r="V38" s="201"/>
      <c r="W38" s="202"/>
      <c r="X38" s="200"/>
      <c r="Y38" s="201"/>
      <c r="Z38" s="201"/>
      <c r="AA38" s="202"/>
      <c r="CO38" s="67"/>
      <c r="CP38" s="67"/>
      <c r="CQ38" s="67"/>
      <c r="CR38" s="67"/>
      <c r="CS38" s="67"/>
      <c r="DK38" s="66"/>
      <c r="DL38" s="66"/>
      <c r="DM38" s="66"/>
      <c r="DN38" s="66"/>
      <c r="DO38" s="66"/>
    </row>
    <row r="39" spans="2:119" ht="3" customHeight="1">
      <c r="CO39" s="67"/>
      <c r="CP39" s="67"/>
      <c r="CQ39" s="67"/>
      <c r="CR39" s="67"/>
      <c r="CS39" s="67"/>
      <c r="DK39" s="66"/>
      <c r="DL39" s="66"/>
      <c r="DM39" s="66"/>
      <c r="DN39" s="66"/>
      <c r="DO39" s="66"/>
    </row>
    <row r="40" spans="2:119" ht="21" customHeight="1">
      <c r="B40" s="210" t="s">
        <v>23</v>
      </c>
      <c r="C40" s="211"/>
      <c r="D40" s="211"/>
      <c r="E40" s="212"/>
      <c r="F40" s="216" t="s">
        <v>24</v>
      </c>
      <c r="G40" s="217"/>
      <c r="H40" s="217"/>
      <c r="I40" s="218"/>
      <c r="J40" s="222" t="s">
        <v>25</v>
      </c>
      <c r="K40" s="223"/>
      <c r="L40" s="223"/>
      <c r="M40" s="223"/>
      <c r="N40" s="223"/>
      <c r="O40" s="224"/>
      <c r="P40" s="225">
        <f>T90</f>
        <v>0</v>
      </c>
      <c r="Q40" s="226"/>
      <c r="R40" s="226"/>
      <c r="S40" s="227"/>
      <c r="T40" s="225">
        <f>P40</f>
        <v>0</v>
      </c>
      <c r="U40" s="226"/>
      <c r="V40" s="226"/>
      <c r="W40" s="227"/>
      <c r="X40" s="228">
        <f>P40</f>
        <v>0</v>
      </c>
      <c r="Y40" s="229"/>
      <c r="Z40" s="229"/>
      <c r="AA40" s="230"/>
      <c r="CO40" s="67"/>
      <c r="CP40" s="67"/>
      <c r="CQ40" s="67"/>
      <c r="CR40" s="67"/>
      <c r="CS40" s="67"/>
      <c r="DK40" s="66"/>
      <c r="DL40" s="66"/>
      <c r="DM40" s="66"/>
      <c r="DN40" s="66"/>
      <c r="DO40" s="66"/>
    </row>
    <row r="41" spans="2:119" ht="21" customHeight="1">
      <c r="B41" s="213"/>
      <c r="C41" s="214"/>
      <c r="D41" s="214"/>
      <c r="E41" s="215"/>
      <c r="F41" s="219"/>
      <c r="G41" s="220"/>
      <c r="H41" s="220"/>
      <c r="I41" s="221"/>
      <c r="J41" s="231" t="s">
        <v>26</v>
      </c>
      <c r="K41" s="232"/>
      <c r="L41" s="232"/>
      <c r="M41" s="232"/>
      <c r="N41" s="232"/>
      <c r="O41" s="233"/>
      <c r="P41" s="205">
        <f>T103</f>
        <v>0</v>
      </c>
      <c r="Q41" s="234"/>
      <c r="R41" s="234"/>
      <c r="S41" s="235"/>
      <c r="T41" s="205">
        <f>P41</f>
        <v>0</v>
      </c>
      <c r="U41" s="234"/>
      <c r="V41" s="234"/>
      <c r="W41" s="235"/>
      <c r="X41" s="236">
        <f>T41</f>
        <v>0</v>
      </c>
      <c r="Y41" s="237"/>
      <c r="Z41" s="237"/>
      <c r="AA41" s="238"/>
      <c r="CO41" s="67"/>
      <c r="CP41" s="67"/>
      <c r="CQ41" s="67"/>
      <c r="CR41" s="67"/>
      <c r="CS41" s="67"/>
      <c r="DK41" s="66"/>
      <c r="DL41" s="66"/>
      <c r="DM41" s="66"/>
      <c r="DN41" s="66"/>
      <c r="DO41" s="66"/>
    </row>
    <row r="42" spans="2:119" ht="21" customHeight="1">
      <c r="B42" s="213"/>
      <c r="C42" s="214"/>
      <c r="D42" s="214"/>
      <c r="E42" s="215"/>
      <c r="F42" s="78"/>
      <c r="G42" s="79"/>
      <c r="H42" s="79"/>
      <c r="I42" s="79"/>
      <c r="J42" s="246" t="s">
        <v>27</v>
      </c>
      <c r="K42" s="246"/>
      <c r="L42" s="246"/>
      <c r="M42" s="246"/>
      <c r="N42" s="246"/>
      <c r="O42" s="247"/>
      <c r="P42" s="248">
        <f>SUM(P40:S41)</f>
        <v>0</v>
      </c>
      <c r="Q42" s="249"/>
      <c r="R42" s="249"/>
      <c r="S42" s="250"/>
      <c r="T42" s="248">
        <f t="shared" ref="T42" si="1">SUM(T40:W41)</f>
        <v>0</v>
      </c>
      <c r="U42" s="249"/>
      <c r="V42" s="249"/>
      <c r="W42" s="250"/>
      <c r="X42" s="248">
        <f t="shared" ref="X42" si="2">SUM(X40:AA41)</f>
        <v>0</v>
      </c>
      <c r="Y42" s="249"/>
      <c r="Z42" s="249"/>
      <c r="AA42" s="250"/>
      <c r="CO42" s="67"/>
      <c r="CP42" s="67"/>
      <c r="CQ42" s="67"/>
      <c r="CR42" s="67"/>
      <c r="CS42" s="67"/>
      <c r="DK42" s="66"/>
      <c r="DL42" s="66"/>
      <c r="DM42" s="66"/>
      <c r="DN42" s="66"/>
      <c r="DO42" s="66"/>
    </row>
    <row r="43" spans="2:119" ht="21" customHeight="1">
      <c r="B43" s="213"/>
      <c r="C43" s="214"/>
      <c r="D43" s="214"/>
      <c r="E43" s="215"/>
      <c r="F43" s="216" t="s">
        <v>7</v>
      </c>
      <c r="G43" s="217"/>
      <c r="H43" s="217"/>
      <c r="I43" s="218"/>
      <c r="J43" s="222" t="s">
        <v>28</v>
      </c>
      <c r="K43" s="223"/>
      <c r="L43" s="223"/>
      <c r="M43" s="223"/>
      <c r="N43" s="223"/>
      <c r="O43" s="224"/>
      <c r="P43" s="225">
        <v>685300000</v>
      </c>
      <c r="Q43" s="226"/>
      <c r="R43" s="226"/>
      <c r="S43" s="227"/>
      <c r="T43" s="225"/>
      <c r="U43" s="226"/>
      <c r="V43" s="226"/>
      <c r="W43" s="227"/>
      <c r="X43" s="228">
        <f>P43</f>
        <v>685300000</v>
      </c>
      <c r="Y43" s="229"/>
      <c r="Z43" s="229"/>
      <c r="AA43" s="230"/>
      <c r="CO43" s="67"/>
      <c r="CP43" s="67"/>
      <c r="CQ43" s="67"/>
      <c r="CR43" s="67"/>
      <c r="CS43" s="67"/>
      <c r="DK43" s="66"/>
      <c r="DL43" s="66"/>
      <c r="DM43" s="66"/>
      <c r="DN43" s="66"/>
      <c r="DO43" s="66"/>
    </row>
    <row r="44" spans="2:119" ht="21" customHeight="1">
      <c r="B44" s="213"/>
      <c r="C44" s="214"/>
      <c r="D44" s="214"/>
      <c r="E44" s="215"/>
      <c r="F44" s="219"/>
      <c r="G44" s="220"/>
      <c r="H44" s="220"/>
      <c r="I44" s="221"/>
      <c r="J44" s="231" t="s">
        <v>29</v>
      </c>
      <c r="K44" s="232"/>
      <c r="L44" s="232"/>
      <c r="M44" s="232"/>
      <c r="N44" s="232"/>
      <c r="O44" s="233"/>
      <c r="P44" s="205">
        <v>0</v>
      </c>
      <c r="Q44" s="234"/>
      <c r="R44" s="234"/>
      <c r="S44" s="235"/>
      <c r="T44" s="205"/>
      <c r="U44" s="234"/>
      <c r="V44" s="234"/>
      <c r="W44" s="235"/>
      <c r="X44" s="236">
        <f>P44</f>
        <v>0</v>
      </c>
      <c r="Y44" s="237"/>
      <c r="Z44" s="237"/>
      <c r="AA44" s="238"/>
      <c r="CO44" s="67"/>
      <c r="CP44" s="67"/>
      <c r="CQ44" s="67"/>
      <c r="CR44" s="67"/>
      <c r="CS44" s="67"/>
      <c r="DK44" s="66"/>
      <c r="DL44" s="66"/>
      <c r="DM44" s="66"/>
      <c r="DN44" s="66"/>
      <c r="DO44" s="66"/>
    </row>
    <row r="45" spans="2:119" ht="21" customHeight="1">
      <c r="B45" s="213"/>
      <c r="C45" s="214"/>
      <c r="D45" s="214"/>
      <c r="E45" s="215"/>
      <c r="F45" s="78"/>
      <c r="G45" s="79"/>
      <c r="H45" s="79"/>
      <c r="I45" s="79"/>
      <c r="J45" s="246" t="s">
        <v>27</v>
      </c>
      <c r="K45" s="246"/>
      <c r="L45" s="246"/>
      <c r="M45" s="246"/>
      <c r="N45" s="246"/>
      <c r="O45" s="247"/>
      <c r="P45" s="248">
        <f>SUM(P43:S44)</f>
        <v>685300000</v>
      </c>
      <c r="Q45" s="249"/>
      <c r="R45" s="249"/>
      <c r="S45" s="250"/>
      <c r="T45" s="251">
        <f t="shared" ref="T45" si="3">SUM(T43:W44)</f>
        <v>0</v>
      </c>
      <c r="U45" s="252"/>
      <c r="V45" s="252"/>
      <c r="W45" s="253"/>
      <c r="X45" s="248">
        <f t="shared" ref="X45" si="4">SUM(X43:AA44)</f>
        <v>685300000</v>
      </c>
      <c r="Y45" s="249"/>
      <c r="Z45" s="249"/>
      <c r="AA45" s="250"/>
      <c r="CO45" s="67"/>
      <c r="CP45" s="67"/>
      <c r="CQ45" s="67"/>
      <c r="CR45" s="67"/>
      <c r="CS45" s="67"/>
      <c r="DK45" s="66"/>
      <c r="DL45" s="66"/>
      <c r="DM45" s="66"/>
      <c r="DN45" s="66"/>
      <c r="DO45" s="66"/>
    </row>
    <row r="46" spans="2:119" ht="21" customHeight="1">
      <c r="B46" s="80"/>
      <c r="C46" s="81"/>
      <c r="D46" s="81"/>
      <c r="E46" s="81"/>
      <c r="F46" s="82" t="s">
        <v>30</v>
      </c>
      <c r="G46" s="82"/>
      <c r="H46" s="82"/>
      <c r="I46" s="82"/>
      <c r="J46" s="82"/>
      <c r="K46" s="82"/>
      <c r="L46" s="82"/>
      <c r="M46" s="82"/>
      <c r="N46" s="82"/>
      <c r="O46" s="83"/>
      <c r="P46" s="240">
        <f>+P42+P45</f>
        <v>685300000</v>
      </c>
      <c r="Q46" s="241"/>
      <c r="R46" s="241"/>
      <c r="S46" s="242"/>
      <c r="T46" s="243">
        <f t="shared" ref="T46" si="5">+T42+T45</f>
        <v>0</v>
      </c>
      <c r="U46" s="244"/>
      <c r="V46" s="244"/>
      <c r="W46" s="245"/>
      <c r="X46" s="240">
        <f t="shared" ref="X46" si="6">+X42+X45</f>
        <v>685300000</v>
      </c>
      <c r="Y46" s="241"/>
      <c r="Z46" s="241"/>
      <c r="AA46" s="242"/>
      <c r="CO46" s="67"/>
      <c r="CP46" s="67"/>
      <c r="CQ46" s="67"/>
      <c r="CR46" s="67"/>
      <c r="CS46" s="67"/>
      <c r="DK46" s="66"/>
      <c r="DL46" s="66"/>
      <c r="DM46" s="66"/>
      <c r="DN46" s="66"/>
      <c r="DO46" s="66"/>
    </row>
    <row r="47" spans="2:119" ht="3" customHeight="1"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77"/>
      <c r="Q47" s="77"/>
      <c r="R47" s="77"/>
      <c r="S47" s="77"/>
      <c r="T47" s="130"/>
      <c r="U47" s="130"/>
      <c r="V47" s="130"/>
      <c r="W47" s="130"/>
      <c r="X47" s="135"/>
      <c r="Y47" s="135"/>
      <c r="Z47" s="135"/>
      <c r="AA47" s="136"/>
      <c r="CO47" s="67"/>
      <c r="CP47" s="67"/>
      <c r="CQ47" s="67"/>
      <c r="CR47" s="67"/>
      <c r="CS47" s="67"/>
      <c r="DK47" s="66"/>
      <c r="DL47" s="66"/>
      <c r="DM47" s="66"/>
      <c r="DN47" s="66"/>
      <c r="DO47" s="66"/>
    </row>
    <row r="48" spans="2:119" ht="21" customHeight="1">
      <c r="B48" s="210" t="s">
        <v>223</v>
      </c>
      <c r="C48" s="211"/>
      <c r="D48" s="211"/>
      <c r="E48" s="212"/>
      <c r="F48" s="216" t="s">
        <v>25</v>
      </c>
      <c r="G48" s="217"/>
      <c r="H48" s="217"/>
      <c r="I48" s="218"/>
      <c r="J48" s="254" t="s">
        <v>31</v>
      </c>
      <c r="K48" s="255"/>
      <c r="L48" s="255"/>
      <c r="M48" s="255"/>
      <c r="N48" s="255"/>
      <c r="O48" s="256"/>
      <c r="P48" s="257"/>
      <c r="Q48" s="258"/>
      <c r="R48" s="258"/>
      <c r="S48" s="259"/>
      <c r="T48" s="260">
        <f>P48</f>
        <v>0</v>
      </c>
      <c r="U48" s="261"/>
      <c r="V48" s="261"/>
      <c r="W48" s="262"/>
      <c r="X48" s="263">
        <f>T48</f>
        <v>0</v>
      </c>
      <c r="Y48" s="264"/>
      <c r="Z48" s="264"/>
      <c r="AA48" s="265"/>
      <c r="CO48" s="67"/>
      <c r="CP48" s="67"/>
      <c r="CQ48" s="67"/>
      <c r="CR48" s="67"/>
      <c r="CS48" s="67"/>
      <c r="DK48" s="66"/>
      <c r="DL48" s="66"/>
      <c r="DM48" s="66"/>
      <c r="DN48" s="66"/>
      <c r="DO48" s="66"/>
    </row>
    <row r="49" spans="2:119" ht="21" customHeight="1">
      <c r="B49" s="213"/>
      <c r="C49" s="214"/>
      <c r="D49" s="214"/>
      <c r="E49" s="215"/>
      <c r="F49" s="78"/>
      <c r="G49" s="79"/>
      <c r="H49" s="79"/>
      <c r="I49" s="79"/>
      <c r="J49" s="246" t="s">
        <v>32</v>
      </c>
      <c r="K49" s="246"/>
      <c r="L49" s="246"/>
      <c r="M49" s="246"/>
      <c r="N49" s="246"/>
      <c r="O49" s="247"/>
      <c r="P49" s="248">
        <f>+P40-P48</f>
        <v>0</v>
      </c>
      <c r="Q49" s="249"/>
      <c r="R49" s="249"/>
      <c r="S49" s="250"/>
      <c r="T49" s="251">
        <f>+T40-T48</f>
        <v>0</v>
      </c>
      <c r="U49" s="252"/>
      <c r="V49" s="252"/>
      <c r="W49" s="253"/>
      <c r="X49" s="248">
        <f>+X40-X48</f>
        <v>0</v>
      </c>
      <c r="Y49" s="249"/>
      <c r="Z49" s="249"/>
      <c r="AA49" s="250"/>
      <c r="CO49" s="67"/>
      <c r="CP49" s="67"/>
      <c r="CQ49" s="67"/>
      <c r="CR49" s="67"/>
      <c r="CS49" s="67"/>
      <c r="DK49" s="66"/>
      <c r="DL49" s="66"/>
      <c r="DM49" s="66"/>
      <c r="DN49" s="66"/>
      <c r="DO49" s="66"/>
    </row>
    <row r="50" spans="2:119" ht="21" customHeight="1">
      <c r="B50" s="213"/>
      <c r="C50" s="214"/>
      <c r="D50" s="214"/>
      <c r="E50" s="215"/>
      <c r="F50" s="216" t="s">
        <v>26</v>
      </c>
      <c r="G50" s="217"/>
      <c r="H50" s="217"/>
      <c r="I50" s="218"/>
      <c r="J50" s="254" t="s">
        <v>33</v>
      </c>
      <c r="K50" s="255"/>
      <c r="L50" s="255"/>
      <c r="M50" s="255"/>
      <c r="N50" s="255"/>
      <c r="O50" s="256"/>
      <c r="P50" s="257">
        <f>AB103</f>
        <v>4000000</v>
      </c>
      <c r="Q50" s="258"/>
      <c r="R50" s="258"/>
      <c r="S50" s="259"/>
      <c r="T50" s="260">
        <f>AF103</f>
        <v>0</v>
      </c>
      <c r="U50" s="261"/>
      <c r="V50" s="261"/>
      <c r="W50" s="262"/>
      <c r="X50" s="263">
        <f>AJ103</f>
        <v>0</v>
      </c>
      <c r="Y50" s="264"/>
      <c r="Z50" s="264"/>
      <c r="AA50" s="265"/>
      <c r="CO50" s="67"/>
      <c r="CP50" s="67"/>
      <c r="CQ50" s="67"/>
      <c r="CR50" s="67"/>
      <c r="CS50" s="67"/>
      <c r="DK50" s="66"/>
      <c r="DL50" s="66"/>
      <c r="DM50" s="66"/>
      <c r="DN50" s="66"/>
      <c r="DO50" s="66"/>
    </row>
    <row r="51" spans="2:119" ht="21" customHeight="1">
      <c r="B51" s="213"/>
      <c r="C51" s="214"/>
      <c r="D51" s="214"/>
      <c r="E51" s="215"/>
      <c r="F51" s="78"/>
      <c r="G51" s="79"/>
      <c r="H51" s="79"/>
      <c r="I51" s="79"/>
      <c r="J51" s="246" t="s">
        <v>32</v>
      </c>
      <c r="K51" s="246"/>
      <c r="L51" s="246"/>
      <c r="M51" s="246"/>
      <c r="N51" s="246"/>
      <c r="O51" s="247"/>
      <c r="P51" s="248">
        <f>+P41-P50</f>
        <v>-4000000</v>
      </c>
      <c r="Q51" s="249"/>
      <c r="R51" s="249"/>
      <c r="S51" s="250"/>
      <c r="T51" s="251">
        <f>+T41-T50</f>
        <v>0</v>
      </c>
      <c r="U51" s="252"/>
      <c r="V51" s="252"/>
      <c r="W51" s="253"/>
      <c r="X51" s="248">
        <f>+X41-X50</f>
        <v>0</v>
      </c>
      <c r="Y51" s="249"/>
      <c r="Z51" s="249"/>
      <c r="AA51" s="250"/>
      <c r="CO51" s="67"/>
      <c r="CP51" s="67"/>
      <c r="CQ51" s="67"/>
      <c r="CR51" s="67"/>
      <c r="CS51" s="67"/>
      <c r="DK51" s="66"/>
      <c r="DL51" s="66"/>
      <c r="DM51" s="66"/>
      <c r="DN51" s="66"/>
      <c r="DO51" s="66"/>
    </row>
    <row r="52" spans="2:119" ht="21" customHeight="1">
      <c r="B52" s="80"/>
      <c r="C52" s="81"/>
      <c r="D52" s="81"/>
      <c r="E52" s="81"/>
      <c r="F52" s="82" t="s">
        <v>34</v>
      </c>
      <c r="G52" s="82"/>
      <c r="H52" s="82"/>
      <c r="I52" s="82"/>
      <c r="J52" s="82"/>
      <c r="K52" s="82"/>
      <c r="L52" s="82"/>
      <c r="M52" s="82"/>
      <c r="N52" s="82"/>
      <c r="O52" s="83"/>
      <c r="P52" s="240">
        <f>+P49+P51</f>
        <v>-4000000</v>
      </c>
      <c r="Q52" s="241"/>
      <c r="R52" s="241"/>
      <c r="S52" s="242"/>
      <c r="T52" s="243">
        <f t="shared" ref="T52" si="7">+T49+T51</f>
        <v>0</v>
      </c>
      <c r="U52" s="244"/>
      <c r="V52" s="244"/>
      <c r="W52" s="245"/>
      <c r="X52" s="240">
        <f t="shared" ref="X52" si="8">+X49+X51</f>
        <v>0</v>
      </c>
      <c r="Y52" s="241"/>
      <c r="Z52" s="241"/>
      <c r="AA52" s="242"/>
      <c r="CO52" s="67"/>
      <c r="CP52" s="67"/>
      <c r="CQ52" s="67"/>
      <c r="CR52" s="67"/>
      <c r="CS52" s="67"/>
      <c r="DK52" s="66"/>
      <c r="DL52" s="66"/>
      <c r="DM52" s="66"/>
      <c r="DN52" s="66"/>
      <c r="DO52" s="66"/>
    </row>
    <row r="53" spans="2:119" ht="3" customHeight="1"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77"/>
      <c r="Q53" s="77"/>
      <c r="R53" s="77"/>
      <c r="S53" s="77"/>
      <c r="T53" s="130"/>
      <c r="U53" s="130"/>
      <c r="V53" s="130"/>
      <c r="W53" s="130"/>
      <c r="X53" s="135"/>
      <c r="Y53" s="135"/>
      <c r="Z53" s="135"/>
      <c r="AA53" s="136"/>
      <c r="CO53" s="67"/>
      <c r="CP53" s="67"/>
      <c r="CQ53" s="67"/>
      <c r="CR53" s="67"/>
      <c r="CS53" s="67"/>
      <c r="DK53" s="66"/>
      <c r="DL53" s="66"/>
      <c r="DM53" s="66"/>
      <c r="DN53" s="66"/>
      <c r="DO53" s="66"/>
    </row>
    <row r="54" spans="2:119" ht="21" customHeight="1">
      <c r="B54" s="210" t="s">
        <v>224</v>
      </c>
      <c r="C54" s="211"/>
      <c r="D54" s="211"/>
      <c r="E54" s="212"/>
      <c r="F54" s="216" t="s">
        <v>28</v>
      </c>
      <c r="G54" s="217"/>
      <c r="H54" s="217"/>
      <c r="I54" s="218"/>
      <c r="J54" s="222" t="s">
        <v>15</v>
      </c>
      <c r="K54" s="223"/>
      <c r="L54" s="223"/>
      <c r="M54" s="223"/>
      <c r="N54" s="223"/>
      <c r="O54" s="224"/>
      <c r="P54" s="281">
        <f>AL154</f>
        <v>32.25</v>
      </c>
      <c r="Q54" s="282"/>
      <c r="R54" s="282"/>
      <c r="S54" s="283"/>
      <c r="T54" s="284"/>
      <c r="U54" s="285"/>
      <c r="V54" s="285"/>
      <c r="W54" s="286"/>
      <c r="X54" s="287">
        <f>AL155</f>
        <v>37.570000000000007</v>
      </c>
      <c r="Y54" s="288"/>
      <c r="Z54" s="288"/>
      <c r="AA54" s="289"/>
      <c r="CO54" s="67"/>
      <c r="CP54" s="67"/>
      <c r="CQ54" s="67"/>
      <c r="CR54" s="67"/>
      <c r="CS54" s="67"/>
      <c r="DK54" s="66"/>
      <c r="DL54" s="66"/>
      <c r="DM54" s="66"/>
      <c r="DN54" s="66"/>
      <c r="DO54" s="66"/>
    </row>
    <row r="55" spans="2:119" ht="21" customHeight="1">
      <c r="B55" s="213"/>
      <c r="C55" s="214"/>
      <c r="D55" s="214"/>
      <c r="E55" s="215"/>
      <c r="F55" s="219"/>
      <c r="G55" s="220"/>
      <c r="H55" s="220"/>
      <c r="I55" s="221"/>
      <c r="J55" s="269" t="s">
        <v>36</v>
      </c>
      <c r="K55" s="270"/>
      <c r="L55" s="270"/>
      <c r="M55" s="270"/>
      <c r="N55" s="270"/>
      <c r="O55" s="271"/>
      <c r="P55" s="272">
        <f>CK154</f>
        <v>392678500</v>
      </c>
      <c r="Q55" s="273"/>
      <c r="R55" s="273"/>
      <c r="S55" s="274"/>
      <c r="T55" s="275"/>
      <c r="U55" s="276"/>
      <c r="V55" s="276"/>
      <c r="W55" s="277"/>
      <c r="X55" s="278">
        <f>CK155</f>
        <v>425126900</v>
      </c>
      <c r="Y55" s="279"/>
      <c r="Z55" s="279"/>
      <c r="AA55" s="280"/>
      <c r="CO55" s="67"/>
      <c r="CP55" s="67"/>
      <c r="CQ55" s="67"/>
      <c r="CR55" s="67"/>
      <c r="CS55" s="67"/>
      <c r="DK55" s="66"/>
      <c r="DL55" s="66"/>
      <c r="DM55" s="66"/>
      <c r="DN55" s="66"/>
      <c r="DO55" s="66"/>
    </row>
    <row r="56" spans="2:119" ht="21" hidden="1" customHeight="1">
      <c r="B56" s="213"/>
      <c r="C56" s="214"/>
      <c r="D56" s="214"/>
      <c r="E56" s="215"/>
      <c r="F56" s="219"/>
      <c r="G56" s="220"/>
      <c r="H56" s="220"/>
      <c r="I56" s="221"/>
      <c r="J56" s="231" t="s">
        <v>199</v>
      </c>
      <c r="K56" s="232"/>
      <c r="L56" s="232"/>
      <c r="M56" s="232"/>
      <c r="N56" s="232"/>
      <c r="O56" s="233"/>
      <c r="P56" s="205">
        <f>P55*0%</f>
        <v>0</v>
      </c>
      <c r="Q56" s="234"/>
      <c r="R56" s="234"/>
      <c r="S56" s="235"/>
      <c r="T56" s="266"/>
      <c r="U56" s="267"/>
      <c r="V56" s="267"/>
      <c r="W56" s="268"/>
      <c r="X56" s="236"/>
      <c r="Y56" s="237"/>
      <c r="Z56" s="237"/>
      <c r="AA56" s="238"/>
      <c r="CO56" s="67"/>
      <c r="CP56" s="67"/>
      <c r="CQ56" s="67"/>
      <c r="CR56" s="67"/>
      <c r="CS56" s="67"/>
      <c r="DK56" s="66"/>
      <c r="DL56" s="66"/>
      <c r="DM56" s="66"/>
      <c r="DN56" s="66"/>
      <c r="DO56" s="66"/>
    </row>
    <row r="57" spans="2:119" ht="21" customHeight="1">
      <c r="B57" s="213"/>
      <c r="C57" s="214"/>
      <c r="D57" s="214"/>
      <c r="E57" s="215"/>
      <c r="F57" s="78"/>
      <c r="G57" s="79"/>
      <c r="H57" s="79"/>
      <c r="I57" s="79"/>
      <c r="J57" s="246" t="s">
        <v>32</v>
      </c>
      <c r="K57" s="246"/>
      <c r="L57" s="246"/>
      <c r="M57" s="246"/>
      <c r="N57" s="246"/>
      <c r="O57" s="247"/>
      <c r="P57" s="248">
        <f>+P43-P55-P56</f>
        <v>292621500</v>
      </c>
      <c r="Q57" s="249"/>
      <c r="R57" s="249"/>
      <c r="S57" s="250"/>
      <c r="T57" s="251">
        <f>+T43-T55-T56</f>
        <v>0</v>
      </c>
      <c r="U57" s="252"/>
      <c r="V57" s="252"/>
      <c r="W57" s="253"/>
      <c r="X57" s="248">
        <f>+X43-X55-X56</f>
        <v>260173100</v>
      </c>
      <c r="Y57" s="249"/>
      <c r="Z57" s="249"/>
      <c r="AA57" s="250"/>
      <c r="CO57" s="67"/>
      <c r="CP57" s="67"/>
      <c r="CQ57" s="67"/>
      <c r="CR57" s="67"/>
      <c r="CS57" s="67"/>
      <c r="DK57" s="66"/>
      <c r="DL57" s="66"/>
      <c r="DM57" s="66"/>
      <c r="DN57" s="66"/>
      <c r="DO57" s="66"/>
    </row>
    <row r="58" spans="2:119" ht="21" customHeight="1">
      <c r="B58" s="213"/>
      <c r="C58" s="214"/>
      <c r="D58" s="214"/>
      <c r="E58" s="215"/>
      <c r="F58" s="216" t="s">
        <v>35</v>
      </c>
      <c r="G58" s="217"/>
      <c r="H58" s="217"/>
      <c r="I58" s="218"/>
      <c r="J58" s="222" t="s">
        <v>15</v>
      </c>
      <c r="K58" s="223"/>
      <c r="L58" s="223"/>
      <c r="M58" s="223"/>
      <c r="N58" s="223"/>
      <c r="O58" s="224"/>
      <c r="P58" s="290">
        <f>AL156</f>
        <v>24</v>
      </c>
      <c r="Q58" s="291"/>
      <c r="R58" s="291"/>
      <c r="S58" s="292"/>
      <c r="T58" s="293"/>
      <c r="U58" s="294"/>
      <c r="V58" s="294"/>
      <c r="W58" s="295"/>
      <c r="X58" s="296">
        <f>AL157+Z224</f>
        <v>3</v>
      </c>
      <c r="Y58" s="297"/>
      <c r="Z58" s="297"/>
      <c r="AA58" s="298"/>
      <c r="CO58" s="67"/>
      <c r="CP58" s="67"/>
      <c r="CQ58" s="67"/>
      <c r="CR58" s="67"/>
      <c r="CS58" s="67"/>
      <c r="DK58" s="66"/>
      <c r="DL58" s="66"/>
      <c r="DM58" s="66"/>
      <c r="DN58" s="66"/>
      <c r="DO58" s="66"/>
    </row>
    <row r="59" spans="2:119" ht="21" customHeight="1">
      <c r="B59" s="213"/>
      <c r="C59" s="214"/>
      <c r="D59" s="214"/>
      <c r="E59" s="215"/>
      <c r="F59" s="219"/>
      <c r="G59" s="220"/>
      <c r="H59" s="220"/>
      <c r="I59" s="221"/>
      <c r="J59" s="269" t="s">
        <v>37</v>
      </c>
      <c r="K59" s="270"/>
      <c r="L59" s="270"/>
      <c r="M59" s="270"/>
      <c r="N59" s="270"/>
      <c r="O59" s="271"/>
      <c r="P59" s="272">
        <f>CK156</f>
        <v>117980000</v>
      </c>
      <c r="Q59" s="273"/>
      <c r="R59" s="273"/>
      <c r="S59" s="274"/>
      <c r="T59" s="275"/>
      <c r="U59" s="276"/>
      <c r="V59" s="276"/>
      <c r="W59" s="277"/>
      <c r="X59" s="278">
        <f>CK157+Z225</f>
        <v>121619354</v>
      </c>
      <c r="Y59" s="279"/>
      <c r="Z59" s="279"/>
      <c r="AA59" s="280"/>
      <c r="CO59" s="67"/>
      <c r="CP59" s="67"/>
      <c r="CQ59" s="67"/>
      <c r="CR59" s="67"/>
      <c r="CS59" s="67"/>
      <c r="DK59" s="66"/>
      <c r="DL59" s="66"/>
      <c r="DM59" s="66"/>
      <c r="DN59" s="66"/>
      <c r="DO59" s="66"/>
    </row>
    <row r="60" spans="2:119" ht="21" hidden="1" customHeight="1">
      <c r="B60" s="213"/>
      <c r="C60" s="214"/>
      <c r="D60" s="214"/>
      <c r="E60" s="215"/>
      <c r="F60" s="219"/>
      <c r="G60" s="220"/>
      <c r="H60" s="220"/>
      <c r="I60" s="221"/>
      <c r="J60" s="231" t="s">
        <v>200</v>
      </c>
      <c r="K60" s="232"/>
      <c r="L60" s="232"/>
      <c r="M60" s="232"/>
      <c r="N60" s="232"/>
      <c r="O60" s="233"/>
      <c r="P60" s="205">
        <f>P59*0%</f>
        <v>0</v>
      </c>
      <c r="Q60" s="234"/>
      <c r="R60" s="234"/>
      <c r="S60" s="235"/>
      <c r="T60" s="266"/>
      <c r="U60" s="267"/>
      <c r="V60" s="267"/>
      <c r="W60" s="268"/>
      <c r="X60" s="236"/>
      <c r="Y60" s="237"/>
      <c r="Z60" s="237"/>
      <c r="AA60" s="238"/>
      <c r="CO60" s="67"/>
      <c r="CP60" s="67"/>
      <c r="CQ60" s="67"/>
      <c r="CR60" s="67"/>
      <c r="CS60" s="67"/>
      <c r="DK60" s="66"/>
      <c r="DL60" s="66"/>
      <c r="DM60" s="66"/>
      <c r="DN60" s="66"/>
      <c r="DO60" s="66"/>
    </row>
    <row r="61" spans="2:119" ht="21" customHeight="1">
      <c r="B61" s="213"/>
      <c r="C61" s="214"/>
      <c r="D61" s="214"/>
      <c r="E61" s="215"/>
      <c r="F61" s="78"/>
      <c r="G61" s="79"/>
      <c r="H61" s="79"/>
      <c r="I61" s="79"/>
      <c r="J61" s="246" t="s">
        <v>32</v>
      </c>
      <c r="K61" s="246"/>
      <c r="L61" s="246"/>
      <c r="M61" s="246"/>
      <c r="N61" s="246"/>
      <c r="O61" s="247"/>
      <c r="P61" s="248">
        <f>+P44-P59-P60</f>
        <v>-117980000</v>
      </c>
      <c r="Q61" s="249"/>
      <c r="R61" s="249"/>
      <c r="S61" s="250"/>
      <c r="T61" s="251">
        <f>+T44-T59-T60</f>
        <v>0</v>
      </c>
      <c r="U61" s="252"/>
      <c r="V61" s="252"/>
      <c r="W61" s="253"/>
      <c r="X61" s="248">
        <f>+X44-X59-X60</f>
        <v>-121619354</v>
      </c>
      <c r="Y61" s="249"/>
      <c r="Z61" s="249"/>
      <c r="AA61" s="250"/>
      <c r="CO61" s="67"/>
      <c r="CP61" s="67"/>
      <c r="CQ61" s="67"/>
      <c r="CR61" s="67"/>
      <c r="CS61" s="67"/>
      <c r="DK61" s="66"/>
      <c r="DL61" s="66"/>
      <c r="DM61" s="66"/>
      <c r="DN61" s="66"/>
      <c r="DO61" s="66"/>
    </row>
    <row r="62" spans="2:119" ht="21" customHeight="1">
      <c r="B62" s="80"/>
      <c r="C62" s="81"/>
      <c r="D62" s="81"/>
      <c r="E62" s="81"/>
      <c r="F62" s="85" t="s">
        <v>38</v>
      </c>
      <c r="G62" s="85"/>
      <c r="H62" s="85"/>
      <c r="I62" s="85"/>
      <c r="J62" s="85"/>
      <c r="K62" s="85"/>
      <c r="L62" s="85"/>
      <c r="M62" s="85"/>
      <c r="N62" s="85"/>
      <c r="O62" s="86"/>
      <c r="P62" s="240">
        <f>+P57+P61</f>
        <v>174641500</v>
      </c>
      <c r="Q62" s="241"/>
      <c r="R62" s="241"/>
      <c r="S62" s="242"/>
      <c r="T62" s="243">
        <f t="shared" ref="T62" si="9">+T57+T61</f>
        <v>0</v>
      </c>
      <c r="U62" s="244"/>
      <c r="V62" s="244"/>
      <c r="W62" s="245"/>
      <c r="X62" s="240">
        <f t="shared" ref="X62" si="10">+X57+X61</f>
        <v>138553746</v>
      </c>
      <c r="Y62" s="241"/>
      <c r="Z62" s="241"/>
      <c r="AA62" s="242"/>
      <c r="CO62" s="67"/>
      <c r="CP62" s="67"/>
      <c r="CQ62" s="67"/>
      <c r="CR62" s="67"/>
      <c r="CS62" s="67"/>
      <c r="DK62" s="66"/>
      <c r="DL62" s="66"/>
      <c r="DM62" s="66"/>
      <c r="DN62" s="66"/>
      <c r="DO62" s="66"/>
    </row>
    <row r="63" spans="2:119" ht="3" customHeight="1">
      <c r="P63" s="77"/>
      <c r="Q63" s="77"/>
      <c r="R63" s="77"/>
      <c r="S63" s="77"/>
      <c r="T63" s="130"/>
      <c r="U63" s="130"/>
      <c r="V63" s="130"/>
      <c r="W63" s="130"/>
      <c r="X63" s="135"/>
      <c r="Y63" s="135"/>
      <c r="Z63" s="135"/>
      <c r="AA63" s="136"/>
      <c r="CO63" s="67"/>
      <c r="CP63" s="67"/>
      <c r="CQ63" s="67"/>
      <c r="CR63" s="67"/>
      <c r="CS63" s="67"/>
      <c r="DK63" s="66"/>
      <c r="DL63" s="66"/>
      <c r="DM63" s="66"/>
      <c r="DN63" s="66"/>
      <c r="DO63" s="66"/>
    </row>
    <row r="64" spans="2:119" ht="21" customHeight="1">
      <c r="B64" s="210" t="s">
        <v>39</v>
      </c>
      <c r="C64" s="211"/>
      <c r="D64" s="211"/>
      <c r="E64" s="212"/>
      <c r="F64" s="142" t="s">
        <v>40</v>
      </c>
      <c r="G64" s="87"/>
      <c r="H64" s="87"/>
      <c r="I64" s="87"/>
      <c r="J64" s="87"/>
      <c r="K64" s="87"/>
      <c r="L64" s="87"/>
      <c r="M64" s="87"/>
      <c r="N64" s="87"/>
      <c r="O64" s="88"/>
      <c r="P64" s="257">
        <v>1381250</v>
      </c>
      <c r="Q64" s="258"/>
      <c r="R64" s="258"/>
      <c r="S64" s="259"/>
      <c r="T64" s="260"/>
      <c r="U64" s="261"/>
      <c r="V64" s="261"/>
      <c r="W64" s="262"/>
      <c r="X64" s="263">
        <f>P255</f>
        <v>33622775</v>
      </c>
      <c r="Y64" s="264"/>
      <c r="Z64" s="264"/>
      <c r="AA64" s="265"/>
      <c r="CO64" s="67"/>
      <c r="CP64" s="67"/>
      <c r="CQ64" s="67"/>
      <c r="CR64" s="67"/>
      <c r="CS64" s="67"/>
      <c r="DK64" s="66"/>
      <c r="DL64" s="66"/>
      <c r="DM64" s="66"/>
      <c r="DN64" s="66"/>
      <c r="DO64" s="66"/>
    </row>
    <row r="65" spans="1:138" ht="21" customHeight="1">
      <c r="B65" s="213"/>
      <c r="C65" s="214"/>
      <c r="D65" s="214"/>
      <c r="E65" s="215"/>
      <c r="F65" s="142" t="s">
        <v>41</v>
      </c>
      <c r="G65" s="87"/>
      <c r="H65" s="87"/>
      <c r="I65" s="87"/>
      <c r="J65" s="87"/>
      <c r="K65" s="87"/>
      <c r="L65" s="87"/>
      <c r="M65" s="87"/>
      <c r="N65" s="87"/>
      <c r="O65" s="88"/>
      <c r="P65" s="257">
        <v>40000000</v>
      </c>
      <c r="Q65" s="258"/>
      <c r="R65" s="258"/>
      <c r="S65" s="259"/>
      <c r="T65" s="260"/>
      <c r="U65" s="261"/>
      <c r="V65" s="261"/>
      <c r="W65" s="262"/>
      <c r="X65" s="263"/>
      <c r="Y65" s="264"/>
      <c r="Z65" s="264"/>
      <c r="AA65" s="265"/>
      <c r="CO65" s="67"/>
      <c r="CP65" s="67"/>
      <c r="CQ65" s="67"/>
      <c r="CR65" s="67"/>
      <c r="CS65" s="67"/>
      <c r="DK65" s="66"/>
      <c r="DL65" s="66"/>
      <c r="DM65" s="66"/>
      <c r="DN65" s="66"/>
      <c r="DO65" s="66"/>
    </row>
    <row r="66" spans="1:138" ht="21" customHeight="1">
      <c r="B66" s="80"/>
      <c r="C66" s="81"/>
      <c r="D66" s="81"/>
      <c r="E66" s="81"/>
      <c r="F66" s="85" t="s">
        <v>42</v>
      </c>
      <c r="G66" s="85"/>
      <c r="H66" s="85"/>
      <c r="I66" s="85"/>
      <c r="J66" s="85"/>
      <c r="K66" s="85"/>
      <c r="L66" s="85"/>
      <c r="M66" s="85"/>
      <c r="N66" s="85"/>
      <c r="O66" s="86"/>
      <c r="P66" s="240">
        <f>+P64+P65</f>
        <v>41381250</v>
      </c>
      <c r="Q66" s="241"/>
      <c r="R66" s="241"/>
      <c r="S66" s="242"/>
      <c r="T66" s="243">
        <f>+T64+T65</f>
        <v>0</v>
      </c>
      <c r="U66" s="244"/>
      <c r="V66" s="244"/>
      <c r="W66" s="245"/>
      <c r="X66" s="240">
        <f>X64+X65</f>
        <v>33622775</v>
      </c>
      <c r="Y66" s="241"/>
      <c r="Z66" s="241"/>
      <c r="AA66" s="242"/>
      <c r="CO66" s="67"/>
      <c r="CP66" s="67"/>
      <c r="CQ66" s="67"/>
      <c r="CR66" s="67"/>
      <c r="CS66" s="67"/>
      <c r="DK66" s="66"/>
      <c r="DL66" s="66"/>
      <c r="DM66" s="66"/>
      <c r="DN66" s="66"/>
      <c r="DO66" s="66"/>
    </row>
    <row r="67" spans="1:138" ht="3" customHeight="1">
      <c r="P67" s="77"/>
      <c r="Q67" s="77"/>
      <c r="R67" s="77"/>
      <c r="S67" s="77"/>
      <c r="T67" s="130"/>
      <c r="U67" s="130"/>
      <c r="V67" s="130"/>
      <c r="W67" s="130"/>
      <c r="X67" s="77"/>
      <c r="Y67" s="77"/>
      <c r="Z67" s="77"/>
      <c r="AA67" s="77"/>
      <c r="CO67" s="67"/>
      <c r="CP67" s="67"/>
      <c r="CQ67" s="67"/>
      <c r="CR67" s="67"/>
      <c r="CS67" s="67"/>
      <c r="DK67" s="66"/>
      <c r="DL67" s="66"/>
      <c r="DM67" s="66"/>
      <c r="DN67" s="66"/>
      <c r="DO67" s="66"/>
    </row>
    <row r="68" spans="1:138" ht="21" hidden="1" customHeight="1">
      <c r="B68" s="89" t="s">
        <v>206</v>
      </c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6"/>
      <c r="P68" s="240">
        <f>+P46*0%</f>
        <v>0</v>
      </c>
      <c r="Q68" s="241"/>
      <c r="R68" s="241"/>
      <c r="S68" s="242"/>
      <c r="T68" s="243">
        <f>P68</f>
        <v>0</v>
      </c>
      <c r="U68" s="244"/>
      <c r="V68" s="244"/>
      <c r="W68" s="245"/>
      <c r="X68" s="240">
        <f>T68</f>
        <v>0</v>
      </c>
      <c r="Y68" s="241"/>
      <c r="Z68" s="241"/>
      <c r="AA68" s="242"/>
      <c r="CO68" s="67"/>
      <c r="CP68" s="67"/>
      <c r="CQ68" s="67"/>
      <c r="CR68" s="67"/>
      <c r="CS68" s="67"/>
      <c r="DK68" s="66"/>
      <c r="DL68" s="66"/>
      <c r="DM68" s="66"/>
      <c r="DN68" s="66"/>
      <c r="DO68" s="66"/>
    </row>
    <row r="69" spans="1:138" ht="3" hidden="1" customHeight="1">
      <c r="B69" s="84"/>
      <c r="P69" s="77"/>
      <c r="Q69" s="77"/>
      <c r="R69" s="77"/>
      <c r="S69" s="77"/>
      <c r="T69" s="130"/>
      <c r="U69" s="130"/>
      <c r="V69" s="130"/>
      <c r="W69" s="130"/>
      <c r="X69" s="77"/>
      <c r="Y69" s="77"/>
      <c r="Z69" s="77"/>
      <c r="AA69" s="77"/>
      <c r="CO69" s="67"/>
      <c r="CP69" s="67"/>
      <c r="CQ69" s="67"/>
      <c r="CR69" s="67"/>
      <c r="CS69" s="67"/>
      <c r="DK69" s="66"/>
      <c r="DL69" s="66"/>
      <c r="DM69" s="66"/>
      <c r="DN69" s="66"/>
      <c r="DO69" s="66"/>
    </row>
    <row r="70" spans="1:138" ht="21" customHeight="1">
      <c r="B70" s="89" t="s">
        <v>43</v>
      </c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6"/>
      <c r="P70" s="240">
        <f>+P52+P62+-P66-P68</f>
        <v>129260250</v>
      </c>
      <c r="Q70" s="241"/>
      <c r="R70" s="241"/>
      <c r="S70" s="242"/>
      <c r="T70" s="243">
        <f>+T52+T62+-T66-T68</f>
        <v>0</v>
      </c>
      <c r="U70" s="244"/>
      <c r="V70" s="244"/>
      <c r="W70" s="245"/>
      <c r="X70" s="240">
        <f>+X52+X62+-X66-X68</f>
        <v>104930971</v>
      </c>
      <c r="Y70" s="241"/>
      <c r="Z70" s="241"/>
      <c r="AA70" s="242"/>
      <c r="CO70" s="67"/>
      <c r="CP70" s="67"/>
      <c r="CQ70" s="67"/>
      <c r="CR70" s="67"/>
      <c r="CS70" s="67"/>
      <c r="DK70" s="66"/>
      <c r="DL70" s="66"/>
      <c r="DM70" s="66"/>
      <c r="DN70" s="66"/>
      <c r="DO70" s="66"/>
    </row>
    <row r="71" spans="1:138" ht="21" customHeight="1">
      <c r="CY71" s="67"/>
      <c r="CZ71" s="67"/>
      <c r="DA71" s="67"/>
      <c r="DB71" s="67"/>
      <c r="DC71" s="67"/>
      <c r="DK71" s="66"/>
      <c r="DL71" s="66"/>
      <c r="DM71" s="66"/>
      <c r="DN71" s="66"/>
      <c r="DO71" s="66"/>
    </row>
    <row r="72" spans="1:138" s="69" customFormat="1" ht="21" customHeight="1">
      <c r="A72" s="117"/>
      <c r="B72" s="68" t="s">
        <v>47</v>
      </c>
      <c r="Q72" s="90"/>
      <c r="R72" s="90"/>
      <c r="S72" s="70"/>
      <c r="CY72" s="70"/>
      <c r="CZ72" s="70"/>
      <c r="DA72" s="70"/>
      <c r="DB72" s="70"/>
      <c r="DC72" s="70"/>
      <c r="EF72" s="157"/>
      <c r="EG72" s="157"/>
      <c r="EH72" s="157"/>
    </row>
    <row r="73" spans="1:138" ht="8.25" customHeight="1">
      <c r="DG73" s="67"/>
      <c r="DH73" s="67"/>
      <c r="DI73" s="67"/>
      <c r="DJ73" s="67"/>
      <c r="DL73" s="66"/>
      <c r="DM73" s="66"/>
      <c r="DN73" s="66"/>
      <c r="DO73" s="66"/>
    </row>
    <row r="74" spans="1:138" ht="21" customHeight="1">
      <c r="B74" s="75" t="s">
        <v>48</v>
      </c>
      <c r="AO74" s="76"/>
      <c r="AU74" s="76" t="s">
        <v>49</v>
      </c>
      <c r="DC74" s="67"/>
      <c r="DD74" s="67"/>
      <c r="DE74" s="67"/>
      <c r="DF74" s="67"/>
      <c r="DG74" s="67"/>
      <c r="DK74" s="66"/>
      <c r="DL74" s="66"/>
      <c r="DM74" s="66"/>
      <c r="DN74" s="66"/>
      <c r="DO74" s="66"/>
      <c r="EB74" s="157"/>
      <c r="EC74" s="157"/>
      <c r="ED74" s="157"/>
      <c r="EF74" s="66"/>
      <c r="EG74" s="66"/>
      <c r="EH74" s="66"/>
    </row>
    <row r="75" spans="1:138" ht="8.25" customHeight="1" thickBot="1">
      <c r="DC75" s="67"/>
      <c r="DD75" s="67"/>
      <c r="DE75" s="67"/>
      <c r="DF75" s="67"/>
      <c r="DG75" s="67"/>
      <c r="DK75" s="66"/>
      <c r="DL75" s="66"/>
      <c r="DM75" s="66"/>
      <c r="DN75" s="66"/>
      <c r="DO75" s="66"/>
      <c r="EB75" s="157"/>
      <c r="EC75" s="157"/>
      <c r="ED75" s="157"/>
      <c r="EF75" s="66"/>
      <c r="EG75" s="66"/>
      <c r="EH75" s="66"/>
    </row>
    <row r="76" spans="1:138" ht="21" customHeight="1" thickTop="1">
      <c r="B76" s="194" t="s">
        <v>9</v>
      </c>
      <c r="C76" s="194"/>
      <c r="D76" s="194"/>
      <c r="E76" s="197" t="s">
        <v>51</v>
      </c>
      <c r="F76" s="198"/>
      <c r="G76" s="198"/>
      <c r="H76" s="91" t="s">
        <v>52</v>
      </c>
      <c r="I76" s="91"/>
      <c r="J76" s="91"/>
      <c r="K76" s="91"/>
      <c r="L76" s="91"/>
      <c r="M76" s="91"/>
      <c r="N76" s="91"/>
      <c r="O76" s="91"/>
      <c r="P76" s="203" t="s">
        <v>23</v>
      </c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203" t="s">
        <v>50</v>
      </c>
      <c r="AC76" s="311"/>
      <c r="AD76" s="311"/>
      <c r="AE76" s="311"/>
      <c r="AF76" s="311"/>
      <c r="AG76" s="311"/>
      <c r="AH76" s="311"/>
      <c r="AI76" s="311"/>
      <c r="AJ76" s="311"/>
      <c r="AK76" s="311"/>
      <c r="AL76" s="311"/>
      <c r="AM76" s="311"/>
      <c r="AN76" s="319" t="s">
        <v>250</v>
      </c>
      <c r="AO76" s="320"/>
      <c r="AP76" s="320"/>
      <c r="AQ76" s="321"/>
      <c r="AR76" s="198" t="s">
        <v>58</v>
      </c>
      <c r="AS76" s="198"/>
      <c r="AT76" s="198"/>
      <c r="AU76" s="199"/>
      <c r="DI76" s="67"/>
      <c r="DJ76" s="67"/>
      <c r="DN76" s="66"/>
      <c r="DO76" s="66"/>
      <c r="EB76" s="157"/>
      <c r="EC76" s="157"/>
      <c r="ED76" s="157"/>
      <c r="EF76" s="66"/>
      <c r="EG76" s="66"/>
      <c r="EH76" s="66"/>
    </row>
    <row r="77" spans="1:138" ht="21" customHeight="1">
      <c r="B77" s="194"/>
      <c r="C77" s="194"/>
      <c r="D77" s="194"/>
      <c r="E77" s="200"/>
      <c r="F77" s="201"/>
      <c r="G77" s="201"/>
      <c r="H77" s="92"/>
      <c r="I77" s="92"/>
      <c r="J77" s="92"/>
      <c r="K77" s="92"/>
      <c r="L77" s="92"/>
      <c r="M77" s="92"/>
      <c r="N77" s="92"/>
      <c r="O77" s="92"/>
      <c r="P77" s="310" t="s">
        <v>238</v>
      </c>
      <c r="Q77" s="311"/>
      <c r="R77" s="311"/>
      <c r="S77" s="312"/>
      <c r="T77" s="310" t="s">
        <v>234</v>
      </c>
      <c r="U77" s="311"/>
      <c r="V77" s="311"/>
      <c r="W77" s="312"/>
      <c r="X77" s="203" t="s">
        <v>19</v>
      </c>
      <c r="Y77" s="311"/>
      <c r="Z77" s="311"/>
      <c r="AA77" s="311"/>
      <c r="AB77" s="310" t="s">
        <v>238</v>
      </c>
      <c r="AC77" s="311"/>
      <c r="AD77" s="311"/>
      <c r="AE77" s="312"/>
      <c r="AF77" s="310" t="s">
        <v>234</v>
      </c>
      <c r="AG77" s="311"/>
      <c r="AH77" s="311"/>
      <c r="AI77" s="312"/>
      <c r="AJ77" s="203" t="s">
        <v>19</v>
      </c>
      <c r="AK77" s="311"/>
      <c r="AL77" s="311"/>
      <c r="AM77" s="311"/>
      <c r="AN77" s="322"/>
      <c r="AO77" s="201"/>
      <c r="AP77" s="201"/>
      <c r="AQ77" s="323"/>
      <c r="AR77" s="201"/>
      <c r="AS77" s="201"/>
      <c r="AT77" s="201"/>
      <c r="AU77" s="202"/>
      <c r="DI77" s="67"/>
      <c r="DJ77" s="67"/>
      <c r="DN77" s="66"/>
      <c r="DO77" s="66"/>
      <c r="EB77" s="157"/>
      <c r="EC77" s="157"/>
      <c r="ED77" s="157"/>
      <c r="EF77" s="66"/>
      <c r="EG77" s="66"/>
      <c r="EH77" s="66"/>
    </row>
    <row r="78" spans="1:138" ht="3" customHeight="1">
      <c r="AB78" s="148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93"/>
      <c r="AO78" s="74"/>
      <c r="AP78" s="74"/>
      <c r="AQ78" s="94"/>
      <c r="DI78" s="67"/>
      <c r="DJ78" s="67"/>
      <c r="DN78" s="66"/>
      <c r="DO78" s="66"/>
      <c r="EB78" s="157"/>
      <c r="EC78" s="157"/>
      <c r="ED78" s="157"/>
      <c r="EF78" s="66"/>
      <c r="EG78" s="66"/>
      <c r="EH78" s="66"/>
    </row>
    <row r="79" spans="1:138" ht="21" customHeight="1">
      <c r="B79" s="313" t="s">
        <v>53</v>
      </c>
      <c r="C79" s="314"/>
      <c r="D79" s="314"/>
      <c r="E79" s="95"/>
      <c r="F79" s="95"/>
      <c r="G79" s="95"/>
      <c r="H79" s="96"/>
      <c r="I79" s="97"/>
      <c r="J79" s="97"/>
      <c r="K79" s="97"/>
      <c r="L79" s="97"/>
      <c r="M79" s="97"/>
      <c r="N79" s="97"/>
      <c r="O79" s="97"/>
      <c r="P79" s="306"/>
      <c r="Q79" s="307"/>
      <c r="R79" s="307"/>
      <c r="S79" s="308"/>
      <c r="T79" s="306"/>
      <c r="U79" s="307"/>
      <c r="V79" s="307"/>
      <c r="W79" s="308"/>
      <c r="X79" s="300">
        <f>T79</f>
        <v>0</v>
      </c>
      <c r="Y79" s="302"/>
      <c r="Z79" s="302"/>
      <c r="AA79" s="302"/>
      <c r="AB79" s="309"/>
      <c r="AC79" s="309"/>
      <c r="AD79" s="309"/>
      <c r="AE79" s="309"/>
      <c r="AF79" s="309"/>
      <c r="AG79" s="309"/>
      <c r="AH79" s="309"/>
      <c r="AI79" s="309"/>
      <c r="AJ79" s="299"/>
      <c r="AK79" s="299"/>
      <c r="AL79" s="299"/>
      <c r="AM79" s="300"/>
      <c r="AN79" s="301">
        <f t="shared" ref="AN79:AN89" si="11">+X79-AJ79</f>
        <v>0</v>
      </c>
      <c r="AO79" s="302"/>
      <c r="AP79" s="302"/>
      <c r="AQ79" s="303"/>
      <c r="AR79" s="304"/>
      <c r="AS79" s="304"/>
      <c r="AT79" s="304"/>
      <c r="AU79" s="305"/>
      <c r="DI79" s="67"/>
      <c r="DJ79" s="67"/>
      <c r="DN79" s="66"/>
      <c r="DO79" s="66"/>
      <c r="EB79" s="157"/>
      <c r="EC79" s="157"/>
      <c r="ED79" s="157"/>
      <c r="EF79" s="66"/>
      <c r="EG79" s="66"/>
      <c r="EH79" s="66"/>
    </row>
    <row r="80" spans="1:138" ht="21" customHeight="1">
      <c r="B80" s="315"/>
      <c r="C80" s="316"/>
      <c r="D80" s="316"/>
      <c r="E80" s="98"/>
      <c r="F80" s="98"/>
      <c r="G80" s="98"/>
      <c r="H80" s="96"/>
      <c r="I80" s="97"/>
      <c r="J80" s="97"/>
      <c r="K80" s="97"/>
      <c r="L80" s="97"/>
      <c r="M80" s="97"/>
      <c r="N80" s="97"/>
      <c r="O80" s="97"/>
      <c r="P80" s="306"/>
      <c r="Q80" s="307"/>
      <c r="R80" s="307"/>
      <c r="S80" s="308"/>
      <c r="T80" s="306"/>
      <c r="U80" s="307"/>
      <c r="V80" s="307"/>
      <c r="W80" s="308"/>
      <c r="X80" s="300">
        <f>T80</f>
        <v>0</v>
      </c>
      <c r="Y80" s="302"/>
      <c r="Z80" s="302"/>
      <c r="AA80" s="302"/>
      <c r="AB80" s="309"/>
      <c r="AC80" s="309"/>
      <c r="AD80" s="309"/>
      <c r="AE80" s="309"/>
      <c r="AF80" s="309"/>
      <c r="AG80" s="309"/>
      <c r="AH80" s="309"/>
      <c r="AI80" s="309"/>
      <c r="AJ80" s="299"/>
      <c r="AK80" s="299"/>
      <c r="AL80" s="299"/>
      <c r="AM80" s="300"/>
      <c r="AN80" s="301">
        <f t="shared" si="11"/>
        <v>0</v>
      </c>
      <c r="AO80" s="302"/>
      <c r="AP80" s="302"/>
      <c r="AQ80" s="303"/>
      <c r="AR80" s="304"/>
      <c r="AS80" s="304"/>
      <c r="AT80" s="304"/>
      <c r="AU80" s="305"/>
      <c r="DI80" s="67"/>
      <c r="DJ80" s="67"/>
      <c r="DN80" s="66"/>
      <c r="DO80" s="66"/>
      <c r="EB80" s="157"/>
      <c r="EC80" s="157"/>
      <c r="ED80" s="157"/>
      <c r="EF80" s="66"/>
      <c r="EG80" s="66"/>
      <c r="EH80" s="66"/>
    </row>
    <row r="81" spans="1:138" ht="21" customHeight="1">
      <c r="B81" s="315"/>
      <c r="C81" s="316"/>
      <c r="D81" s="316"/>
      <c r="E81" s="98"/>
      <c r="F81" s="98"/>
      <c r="G81" s="98"/>
      <c r="H81" s="96"/>
      <c r="I81" s="97"/>
      <c r="J81" s="97"/>
      <c r="K81" s="97"/>
      <c r="L81" s="97"/>
      <c r="M81" s="97"/>
      <c r="N81" s="97"/>
      <c r="O81" s="97"/>
      <c r="P81" s="306"/>
      <c r="Q81" s="307"/>
      <c r="R81" s="307"/>
      <c r="S81" s="308"/>
      <c r="T81" s="306"/>
      <c r="U81" s="307"/>
      <c r="V81" s="307"/>
      <c r="W81" s="308"/>
      <c r="X81" s="300">
        <f t="shared" ref="X81:X89" si="12">T81</f>
        <v>0</v>
      </c>
      <c r="Y81" s="302"/>
      <c r="Z81" s="302"/>
      <c r="AA81" s="302"/>
      <c r="AB81" s="309"/>
      <c r="AC81" s="309"/>
      <c r="AD81" s="309"/>
      <c r="AE81" s="309"/>
      <c r="AF81" s="309"/>
      <c r="AG81" s="309"/>
      <c r="AH81" s="309"/>
      <c r="AI81" s="309"/>
      <c r="AJ81" s="299"/>
      <c r="AK81" s="299"/>
      <c r="AL81" s="299"/>
      <c r="AM81" s="300"/>
      <c r="AN81" s="301">
        <f t="shared" si="11"/>
        <v>0</v>
      </c>
      <c r="AO81" s="302"/>
      <c r="AP81" s="302"/>
      <c r="AQ81" s="303"/>
      <c r="AR81" s="304"/>
      <c r="AS81" s="304"/>
      <c r="AT81" s="304"/>
      <c r="AU81" s="305"/>
      <c r="DI81" s="67"/>
      <c r="DJ81" s="67"/>
      <c r="DN81" s="66"/>
      <c r="DO81" s="66"/>
      <c r="EB81" s="157"/>
      <c r="EC81" s="157"/>
      <c r="ED81" s="157"/>
      <c r="EF81" s="66"/>
      <c r="EG81" s="66"/>
      <c r="EH81" s="66"/>
    </row>
    <row r="82" spans="1:138" ht="21" customHeight="1">
      <c r="B82" s="315"/>
      <c r="C82" s="316"/>
      <c r="D82" s="316"/>
      <c r="E82" s="98"/>
      <c r="F82" s="98"/>
      <c r="G82" s="98"/>
      <c r="H82" s="96"/>
      <c r="I82" s="97"/>
      <c r="J82" s="97"/>
      <c r="K82" s="97"/>
      <c r="L82" s="97"/>
      <c r="M82" s="97"/>
      <c r="N82" s="97"/>
      <c r="O82" s="97"/>
      <c r="P82" s="306"/>
      <c r="Q82" s="307"/>
      <c r="R82" s="307"/>
      <c r="S82" s="308"/>
      <c r="T82" s="306"/>
      <c r="U82" s="307"/>
      <c r="V82" s="307"/>
      <c r="W82" s="308"/>
      <c r="X82" s="300">
        <f t="shared" si="12"/>
        <v>0</v>
      </c>
      <c r="Y82" s="302"/>
      <c r="Z82" s="302"/>
      <c r="AA82" s="302"/>
      <c r="AB82" s="309"/>
      <c r="AC82" s="309"/>
      <c r="AD82" s="309"/>
      <c r="AE82" s="309"/>
      <c r="AF82" s="309"/>
      <c r="AG82" s="309"/>
      <c r="AH82" s="309"/>
      <c r="AI82" s="309"/>
      <c r="AJ82" s="299"/>
      <c r="AK82" s="299"/>
      <c r="AL82" s="299"/>
      <c r="AM82" s="300"/>
      <c r="AN82" s="301">
        <f t="shared" si="11"/>
        <v>0</v>
      </c>
      <c r="AO82" s="302"/>
      <c r="AP82" s="302"/>
      <c r="AQ82" s="303"/>
      <c r="AR82" s="99"/>
      <c r="AS82" s="99"/>
      <c r="AT82" s="99"/>
      <c r="AU82" s="100"/>
      <c r="DI82" s="67"/>
      <c r="DJ82" s="67"/>
      <c r="DN82" s="66"/>
      <c r="DO82" s="66"/>
      <c r="EB82" s="157"/>
      <c r="EC82" s="157"/>
      <c r="ED82" s="157"/>
      <c r="EF82" s="66"/>
      <c r="EG82" s="66"/>
      <c r="EH82" s="66"/>
    </row>
    <row r="83" spans="1:138" ht="21" customHeight="1">
      <c r="B83" s="315"/>
      <c r="C83" s="316"/>
      <c r="D83" s="316"/>
      <c r="E83" s="98"/>
      <c r="F83" s="98"/>
      <c r="G83" s="98"/>
      <c r="H83" s="96"/>
      <c r="I83" s="97"/>
      <c r="J83" s="97"/>
      <c r="K83" s="97"/>
      <c r="L83" s="97"/>
      <c r="M83" s="97"/>
      <c r="N83" s="97"/>
      <c r="O83" s="97"/>
      <c r="P83" s="306"/>
      <c r="Q83" s="307"/>
      <c r="R83" s="307"/>
      <c r="S83" s="308"/>
      <c r="T83" s="306"/>
      <c r="U83" s="307"/>
      <c r="V83" s="307"/>
      <c r="W83" s="308"/>
      <c r="X83" s="300">
        <f t="shared" si="12"/>
        <v>0</v>
      </c>
      <c r="Y83" s="302"/>
      <c r="Z83" s="302"/>
      <c r="AA83" s="302"/>
      <c r="AB83" s="309"/>
      <c r="AC83" s="309"/>
      <c r="AD83" s="309"/>
      <c r="AE83" s="309"/>
      <c r="AF83" s="309"/>
      <c r="AG83" s="309"/>
      <c r="AH83" s="309"/>
      <c r="AI83" s="309"/>
      <c r="AJ83" s="299"/>
      <c r="AK83" s="299"/>
      <c r="AL83" s="299"/>
      <c r="AM83" s="300"/>
      <c r="AN83" s="301">
        <f t="shared" si="11"/>
        <v>0</v>
      </c>
      <c r="AO83" s="302"/>
      <c r="AP83" s="302"/>
      <c r="AQ83" s="303"/>
      <c r="AR83" s="99"/>
      <c r="AS83" s="99"/>
      <c r="AT83" s="99"/>
      <c r="AU83" s="100"/>
      <c r="DI83" s="67"/>
      <c r="DJ83" s="67"/>
      <c r="DN83" s="66"/>
      <c r="DO83" s="66"/>
      <c r="EB83" s="157"/>
      <c r="EC83" s="157"/>
      <c r="ED83" s="157"/>
      <c r="EF83" s="66"/>
      <c r="EG83" s="66"/>
      <c r="EH83" s="66"/>
    </row>
    <row r="84" spans="1:138" ht="21" customHeight="1">
      <c r="B84" s="315"/>
      <c r="C84" s="316"/>
      <c r="D84" s="316"/>
      <c r="E84" s="98"/>
      <c r="F84" s="98"/>
      <c r="G84" s="98"/>
      <c r="H84" s="96"/>
      <c r="I84" s="97"/>
      <c r="J84" s="97"/>
      <c r="K84" s="97"/>
      <c r="L84" s="97"/>
      <c r="M84" s="97"/>
      <c r="N84" s="97"/>
      <c r="O84" s="97"/>
      <c r="P84" s="306"/>
      <c r="Q84" s="307"/>
      <c r="R84" s="307"/>
      <c r="S84" s="308"/>
      <c r="T84" s="306"/>
      <c r="U84" s="307"/>
      <c r="V84" s="307"/>
      <c r="W84" s="308"/>
      <c r="X84" s="300">
        <f t="shared" si="12"/>
        <v>0</v>
      </c>
      <c r="Y84" s="302"/>
      <c r="Z84" s="302"/>
      <c r="AA84" s="302"/>
      <c r="AB84" s="309"/>
      <c r="AC84" s="309"/>
      <c r="AD84" s="309"/>
      <c r="AE84" s="309"/>
      <c r="AF84" s="309"/>
      <c r="AG84" s="309"/>
      <c r="AH84" s="309"/>
      <c r="AI84" s="309"/>
      <c r="AJ84" s="299"/>
      <c r="AK84" s="299"/>
      <c r="AL84" s="299"/>
      <c r="AM84" s="300"/>
      <c r="AN84" s="301">
        <f t="shared" si="11"/>
        <v>0</v>
      </c>
      <c r="AO84" s="302"/>
      <c r="AP84" s="302"/>
      <c r="AQ84" s="303"/>
      <c r="AR84" s="99"/>
      <c r="AS84" s="99"/>
      <c r="AT84" s="99"/>
      <c r="AU84" s="100"/>
      <c r="DI84" s="67"/>
      <c r="DJ84" s="67"/>
      <c r="DN84" s="66"/>
      <c r="DO84" s="66"/>
      <c r="EB84" s="157"/>
      <c r="EC84" s="157"/>
      <c r="ED84" s="157"/>
      <c r="EF84" s="66"/>
      <c r="EG84" s="66"/>
      <c r="EH84" s="66"/>
    </row>
    <row r="85" spans="1:138" ht="21" customHeight="1">
      <c r="B85" s="315"/>
      <c r="C85" s="316"/>
      <c r="D85" s="316"/>
      <c r="E85" s="98"/>
      <c r="F85" s="98"/>
      <c r="G85" s="98"/>
      <c r="H85" s="96"/>
      <c r="I85" s="97"/>
      <c r="J85" s="101"/>
      <c r="K85" s="101"/>
      <c r="L85" s="101"/>
      <c r="M85" s="101"/>
      <c r="N85" s="101"/>
      <c r="O85" s="101"/>
      <c r="P85" s="306"/>
      <c r="Q85" s="307"/>
      <c r="R85" s="307"/>
      <c r="S85" s="308"/>
      <c r="T85" s="306"/>
      <c r="U85" s="307"/>
      <c r="V85" s="307"/>
      <c r="W85" s="308"/>
      <c r="X85" s="300">
        <f t="shared" si="12"/>
        <v>0</v>
      </c>
      <c r="Y85" s="302"/>
      <c r="Z85" s="302"/>
      <c r="AA85" s="302"/>
      <c r="AB85" s="309"/>
      <c r="AC85" s="309"/>
      <c r="AD85" s="309"/>
      <c r="AE85" s="309"/>
      <c r="AF85" s="309"/>
      <c r="AG85" s="309"/>
      <c r="AH85" s="309"/>
      <c r="AI85" s="309"/>
      <c r="AJ85" s="299"/>
      <c r="AK85" s="299"/>
      <c r="AL85" s="299"/>
      <c r="AM85" s="300"/>
      <c r="AN85" s="301">
        <f t="shared" si="11"/>
        <v>0</v>
      </c>
      <c r="AO85" s="302"/>
      <c r="AP85" s="302"/>
      <c r="AQ85" s="303"/>
      <c r="AR85" s="99"/>
      <c r="AS85" s="99"/>
      <c r="AT85" s="99"/>
      <c r="AU85" s="100"/>
      <c r="DI85" s="67"/>
      <c r="DJ85" s="67"/>
      <c r="DN85" s="66"/>
      <c r="DO85" s="66"/>
      <c r="EB85" s="157"/>
      <c r="EC85" s="157"/>
      <c r="ED85" s="157"/>
      <c r="EF85" s="66"/>
      <c r="EG85" s="66"/>
      <c r="EH85" s="66"/>
    </row>
    <row r="86" spans="1:138" ht="21" customHeight="1">
      <c r="B86" s="315"/>
      <c r="C86" s="316"/>
      <c r="D86" s="316"/>
      <c r="E86" s="98"/>
      <c r="F86" s="98"/>
      <c r="G86" s="98"/>
      <c r="H86" s="96"/>
      <c r="I86" s="97"/>
      <c r="J86" s="101"/>
      <c r="K86" s="101"/>
      <c r="L86" s="101"/>
      <c r="M86" s="101"/>
      <c r="N86" s="101"/>
      <c r="O86" s="101"/>
      <c r="P86" s="306"/>
      <c r="Q86" s="307"/>
      <c r="R86" s="307"/>
      <c r="S86" s="308"/>
      <c r="T86" s="306"/>
      <c r="U86" s="307"/>
      <c r="V86" s="307"/>
      <c r="W86" s="308"/>
      <c r="X86" s="300">
        <f t="shared" si="12"/>
        <v>0</v>
      </c>
      <c r="Y86" s="302"/>
      <c r="Z86" s="302"/>
      <c r="AA86" s="302"/>
      <c r="AB86" s="309"/>
      <c r="AC86" s="309"/>
      <c r="AD86" s="309"/>
      <c r="AE86" s="309"/>
      <c r="AF86" s="309"/>
      <c r="AG86" s="309"/>
      <c r="AH86" s="309"/>
      <c r="AI86" s="309"/>
      <c r="AJ86" s="299"/>
      <c r="AK86" s="299"/>
      <c r="AL86" s="299"/>
      <c r="AM86" s="300"/>
      <c r="AN86" s="301">
        <f t="shared" si="11"/>
        <v>0</v>
      </c>
      <c r="AO86" s="302"/>
      <c r="AP86" s="302"/>
      <c r="AQ86" s="303"/>
      <c r="AR86" s="99"/>
      <c r="AS86" s="99"/>
      <c r="AT86" s="99"/>
      <c r="AU86" s="100"/>
      <c r="DI86" s="67"/>
      <c r="DJ86" s="67"/>
      <c r="DN86" s="66"/>
      <c r="DO86" s="66"/>
      <c r="EB86" s="157"/>
      <c r="EC86" s="157"/>
      <c r="ED86" s="157"/>
      <c r="EF86" s="66"/>
      <c r="EG86" s="66"/>
      <c r="EH86" s="66"/>
    </row>
    <row r="87" spans="1:138" ht="21" customHeight="1">
      <c r="B87" s="315"/>
      <c r="C87" s="316"/>
      <c r="D87" s="316"/>
      <c r="E87" s="98"/>
      <c r="F87" s="98"/>
      <c r="G87" s="98"/>
      <c r="H87" s="96"/>
      <c r="I87" s="101"/>
      <c r="J87" s="101"/>
      <c r="K87" s="101"/>
      <c r="L87" s="101"/>
      <c r="M87" s="101"/>
      <c r="N87" s="101"/>
      <c r="O87" s="101"/>
      <c r="P87" s="306"/>
      <c r="Q87" s="307"/>
      <c r="R87" s="307"/>
      <c r="S87" s="308"/>
      <c r="T87" s="306"/>
      <c r="U87" s="307"/>
      <c r="V87" s="307"/>
      <c r="W87" s="308"/>
      <c r="X87" s="300">
        <f t="shared" si="12"/>
        <v>0</v>
      </c>
      <c r="Y87" s="302"/>
      <c r="Z87" s="302"/>
      <c r="AA87" s="302"/>
      <c r="AB87" s="309"/>
      <c r="AC87" s="309"/>
      <c r="AD87" s="309"/>
      <c r="AE87" s="309"/>
      <c r="AF87" s="309"/>
      <c r="AG87" s="309"/>
      <c r="AH87" s="309"/>
      <c r="AI87" s="309"/>
      <c r="AJ87" s="299"/>
      <c r="AK87" s="299"/>
      <c r="AL87" s="299"/>
      <c r="AM87" s="300"/>
      <c r="AN87" s="301">
        <f t="shared" si="11"/>
        <v>0</v>
      </c>
      <c r="AO87" s="302"/>
      <c r="AP87" s="302"/>
      <c r="AQ87" s="303"/>
      <c r="AR87" s="99"/>
      <c r="AS87" s="99"/>
      <c r="AT87" s="99"/>
      <c r="AU87" s="100"/>
      <c r="DI87" s="67"/>
      <c r="DJ87" s="67"/>
      <c r="DN87" s="66"/>
      <c r="DO87" s="66"/>
      <c r="EB87" s="157"/>
      <c r="EC87" s="157"/>
      <c r="ED87" s="157"/>
      <c r="EF87" s="66"/>
      <c r="EG87" s="66"/>
      <c r="EH87" s="66"/>
    </row>
    <row r="88" spans="1:138" ht="21" customHeight="1">
      <c r="B88" s="315"/>
      <c r="C88" s="316"/>
      <c r="D88" s="316"/>
      <c r="E88" s="98"/>
      <c r="F88" s="98"/>
      <c r="G88" s="98"/>
      <c r="H88" s="102"/>
      <c r="I88" s="97"/>
      <c r="J88" s="97"/>
      <c r="K88" s="97"/>
      <c r="L88" s="97"/>
      <c r="M88" s="97"/>
      <c r="N88" s="97"/>
      <c r="O88" s="97"/>
      <c r="P88" s="306"/>
      <c r="Q88" s="307"/>
      <c r="R88" s="307"/>
      <c r="S88" s="308"/>
      <c r="T88" s="306">
        <v>0</v>
      </c>
      <c r="U88" s="307"/>
      <c r="V88" s="307"/>
      <c r="W88" s="308"/>
      <c r="X88" s="300">
        <f t="shared" si="12"/>
        <v>0</v>
      </c>
      <c r="Y88" s="302"/>
      <c r="Z88" s="302"/>
      <c r="AA88" s="302"/>
      <c r="AB88" s="309"/>
      <c r="AC88" s="309"/>
      <c r="AD88" s="309"/>
      <c r="AE88" s="309"/>
      <c r="AF88" s="309"/>
      <c r="AG88" s="309"/>
      <c r="AH88" s="309"/>
      <c r="AI88" s="309"/>
      <c r="AJ88" s="299"/>
      <c r="AK88" s="299"/>
      <c r="AL88" s="299"/>
      <c r="AM88" s="300"/>
      <c r="AN88" s="301">
        <f t="shared" si="11"/>
        <v>0</v>
      </c>
      <c r="AO88" s="302"/>
      <c r="AP88" s="302"/>
      <c r="AQ88" s="303"/>
      <c r="AR88" s="304"/>
      <c r="AS88" s="304"/>
      <c r="AT88" s="304"/>
      <c r="AU88" s="305"/>
      <c r="DI88" s="67"/>
      <c r="DJ88" s="67"/>
      <c r="DN88" s="66"/>
      <c r="DO88" s="66"/>
      <c r="EB88" s="157"/>
      <c r="EC88" s="157"/>
      <c r="ED88" s="157"/>
      <c r="EF88" s="66"/>
      <c r="EG88" s="66"/>
      <c r="EH88" s="66"/>
    </row>
    <row r="89" spans="1:138" ht="21" customHeight="1">
      <c r="B89" s="315"/>
      <c r="C89" s="316"/>
      <c r="D89" s="316"/>
      <c r="E89" s="98"/>
      <c r="F89" s="98"/>
      <c r="G89" s="98"/>
      <c r="H89" s="102"/>
      <c r="I89" s="97"/>
      <c r="J89" s="97"/>
      <c r="K89" s="97"/>
      <c r="L89" s="97"/>
      <c r="M89" s="97"/>
      <c r="N89" s="97"/>
      <c r="O89" s="97"/>
      <c r="P89" s="306">
        <v>0</v>
      </c>
      <c r="Q89" s="307"/>
      <c r="R89" s="307"/>
      <c r="S89" s="308"/>
      <c r="T89" s="306">
        <v>0</v>
      </c>
      <c r="U89" s="307"/>
      <c r="V89" s="307"/>
      <c r="W89" s="308"/>
      <c r="X89" s="300">
        <f t="shared" si="12"/>
        <v>0</v>
      </c>
      <c r="Y89" s="302"/>
      <c r="Z89" s="302"/>
      <c r="AA89" s="302"/>
      <c r="AB89" s="309"/>
      <c r="AC89" s="309"/>
      <c r="AD89" s="309"/>
      <c r="AE89" s="309"/>
      <c r="AF89" s="309"/>
      <c r="AG89" s="309"/>
      <c r="AH89" s="309"/>
      <c r="AI89" s="309"/>
      <c r="AJ89" s="299"/>
      <c r="AK89" s="299"/>
      <c r="AL89" s="299"/>
      <c r="AM89" s="300"/>
      <c r="AN89" s="301">
        <f t="shared" si="11"/>
        <v>0</v>
      </c>
      <c r="AO89" s="302"/>
      <c r="AP89" s="302"/>
      <c r="AQ89" s="303"/>
      <c r="AR89" s="304"/>
      <c r="AS89" s="304"/>
      <c r="AT89" s="304"/>
      <c r="AU89" s="305"/>
      <c r="AY89" s="103"/>
      <c r="AZ89" s="103"/>
      <c r="DI89" s="67"/>
      <c r="DJ89" s="67"/>
      <c r="DN89" s="66"/>
      <c r="DO89" s="66"/>
      <c r="EB89" s="157"/>
      <c r="EC89" s="157"/>
      <c r="ED89" s="157"/>
      <c r="EF89" s="66"/>
      <c r="EG89" s="66"/>
      <c r="EH89" s="66"/>
    </row>
    <row r="90" spans="1:138" ht="21" customHeight="1">
      <c r="B90" s="317"/>
      <c r="C90" s="318"/>
      <c r="D90" s="318"/>
      <c r="E90" s="104"/>
      <c r="F90" s="104"/>
      <c r="G90" s="104"/>
      <c r="H90" s="105" t="s">
        <v>55</v>
      </c>
      <c r="I90" s="105"/>
      <c r="J90" s="105"/>
      <c r="K90" s="105"/>
      <c r="L90" s="105"/>
      <c r="M90" s="105"/>
      <c r="N90" s="105"/>
      <c r="O90" s="105"/>
      <c r="P90" s="331">
        <f>SUM(P79:S89)</f>
        <v>0</v>
      </c>
      <c r="Q90" s="325"/>
      <c r="R90" s="325"/>
      <c r="S90" s="332"/>
      <c r="T90" s="331">
        <f>SUM(T79:W89)</f>
        <v>0</v>
      </c>
      <c r="U90" s="325"/>
      <c r="V90" s="325"/>
      <c r="W90" s="332"/>
      <c r="X90" s="331">
        <f t="shared" ref="X90" si="13">SUM(X79:AA89)</f>
        <v>0</v>
      </c>
      <c r="Y90" s="325"/>
      <c r="Z90" s="325"/>
      <c r="AA90" s="325"/>
      <c r="AB90" s="333">
        <f t="shared" ref="AB90" si="14">SUM(AB79:AE89)</f>
        <v>0</v>
      </c>
      <c r="AC90" s="333"/>
      <c r="AD90" s="333"/>
      <c r="AE90" s="333"/>
      <c r="AF90" s="333">
        <f t="shared" ref="AF90" si="15">SUM(AF79:AI89)</f>
        <v>0</v>
      </c>
      <c r="AG90" s="333"/>
      <c r="AH90" s="333"/>
      <c r="AI90" s="333"/>
      <c r="AJ90" s="333">
        <f t="shared" ref="AJ90" si="16">SUM(AJ79:AM89)</f>
        <v>0</v>
      </c>
      <c r="AK90" s="333"/>
      <c r="AL90" s="333"/>
      <c r="AM90" s="331"/>
      <c r="AN90" s="324">
        <f t="shared" ref="AN90" si="17">SUM(AN79:AQ89)</f>
        <v>0</v>
      </c>
      <c r="AO90" s="325"/>
      <c r="AP90" s="325"/>
      <c r="AQ90" s="326"/>
      <c r="AR90" s="327"/>
      <c r="AS90" s="327"/>
      <c r="AT90" s="327"/>
      <c r="AU90" s="328"/>
      <c r="AY90" s="103"/>
      <c r="AZ90" s="103"/>
      <c r="DI90" s="67"/>
      <c r="DJ90" s="67"/>
      <c r="DN90" s="66"/>
      <c r="DO90" s="66"/>
      <c r="EB90" s="157"/>
      <c r="EC90" s="157"/>
      <c r="ED90" s="157"/>
      <c r="EF90" s="66"/>
      <c r="EG90" s="66"/>
      <c r="EH90" s="66"/>
    </row>
    <row r="91" spans="1:138" s="74" customFormat="1" ht="3" customHeight="1">
      <c r="A91" s="143"/>
      <c r="H91" s="144"/>
      <c r="I91" s="144"/>
      <c r="J91" s="144"/>
      <c r="K91" s="144"/>
      <c r="L91" s="144"/>
      <c r="M91" s="144"/>
      <c r="N91" s="144"/>
      <c r="O91" s="144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9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51"/>
      <c r="AO91" s="145"/>
      <c r="AP91" s="145"/>
      <c r="AQ91" s="152"/>
      <c r="AR91" s="146"/>
      <c r="AS91" s="146"/>
      <c r="AT91" s="146"/>
      <c r="AU91" s="146"/>
      <c r="AX91" s="103"/>
      <c r="AY91" s="103"/>
      <c r="AZ91" s="103"/>
      <c r="DI91" s="147"/>
      <c r="DJ91" s="147"/>
      <c r="DK91" s="147"/>
      <c r="DL91" s="147"/>
      <c r="DM91" s="147"/>
      <c r="EB91" s="158"/>
      <c r="EC91" s="158"/>
      <c r="ED91" s="158"/>
    </row>
    <row r="92" spans="1:138" ht="21" customHeight="1">
      <c r="B92" s="216" t="s">
        <v>54</v>
      </c>
      <c r="C92" s="217"/>
      <c r="D92" s="218"/>
      <c r="E92" s="97" t="s">
        <v>269</v>
      </c>
      <c r="F92" s="97"/>
      <c r="G92" s="97"/>
      <c r="H92" s="102" t="s">
        <v>270</v>
      </c>
      <c r="I92" s="97"/>
      <c r="J92" s="97"/>
      <c r="K92" s="97"/>
      <c r="L92" s="97"/>
      <c r="M92" s="97"/>
      <c r="N92" s="97"/>
      <c r="O92" s="97"/>
      <c r="P92" s="306"/>
      <c r="Q92" s="307"/>
      <c r="R92" s="307"/>
      <c r="S92" s="308"/>
      <c r="T92" s="306"/>
      <c r="U92" s="307"/>
      <c r="V92" s="307"/>
      <c r="W92" s="308"/>
      <c r="X92" s="300">
        <f>T92</f>
        <v>0</v>
      </c>
      <c r="Y92" s="302"/>
      <c r="Z92" s="302"/>
      <c r="AA92" s="302"/>
      <c r="AB92" s="306">
        <v>4000000</v>
      </c>
      <c r="AC92" s="307"/>
      <c r="AD92" s="307"/>
      <c r="AE92" s="308"/>
      <c r="AF92" s="309"/>
      <c r="AG92" s="309"/>
      <c r="AH92" s="309"/>
      <c r="AI92" s="309"/>
      <c r="AJ92" s="299"/>
      <c r="AK92" s="299"/>
      <c r="AL92" s="299"/>
      <c r="AM92" s="300"/>
      <c r="AN92" s="301">
        <f>+X92-AJ92</f>
        <v>0</v>
      </c>
      <c r="AO92" s="302"/>
      <c r="AP92" s="302"/>
      <c r="AQ92" s="303"/>
      <c r="AR92" s="304"/>
      <c r="AS92" s="304"/>
      <c r="AT92" s="304"/>
      <c r="AU92" s="305"/>
      <c r="AX92" s="103"/>
      <c r="AY92" s="106"/>
      <c r="AZ92" s="103"/>
      <c r="DI92" s="67"/>
      <c r="DJ92" s="67"/>
      <c r="DN92" s="66"/>
      <c r="DO92" s="66"/>
      <c r="EB92" s="157"/>
      <c r="EC92" s="157"/>
      <c r="ED92" s="157"/>
      <c r="EF92" s="66"/>
      <c r="EG92" s="66"/>
      <c r="EH92" s="66"/>
    </row>
    <row r="93" spans="1:138" ht="21" customHeight="1">
      <c r="B93" s="219"/>
      <c r="C93" s="220"/>
      <c r="D93" s="221"/>
      <c r="E93" s="97"/>
      <c r="F93" s="97"/>
      <c r="G93" s="97"/>
      <c r="H93" s="102"/>
      <c r="I93" s="97"/>
      <c r="J93" s="97"/>
      <c r="K93" s="97"/>
      <c r="L93" s="97"/>
      <c r="M93" s="97"/>
      <c r="N93" s="97"/>
      <c r="O93" s="97"/>
      <c r="P93" s="306"/>
      <c r="Q93" s="307"/>
      <c r="R93" s="307"/>
      <c r="S93" s="308"/>
      <c r="T93" s="306"/>
      <c r="U93" s="307"/>
      <c r="V93" s="307"/>
      <c r="W93" s="308"/>
      <c r="X93" s="300">
        <f>T93</f>
        <v>0</v>
      </c>
      <c r="Y93" s="302"/>
      <c r="Z93" s="302"/>
      <c r="AA93" s="302"/>
      <c r="AB93" s="306"/>
      <c r="AC93" s="307"/>
      <c r="AD93" s="307"/>
      <c r="AE93" s="308"/>
      <c r="AF93" s="309"/>
      <c r="AG93" s="309"/>
      <c r="AH93" s="309"/>
      <c r="AI93" s="309"/>
      <c r="AJ93" s="299"/>
      <c r="AK93" s="299"/>
      <c r="AL93" s="299"/>
      <c r="AM93" s="300"/>
      <c r="AN93" s="301">
        <f>+X93-AJ93</f>
        <v>0</v>
      </c>
      <c r="AO93" s="302"/>
      <c r="AP93" s="302"/>
      <c r="AQ93" s="303"/>
      <c r="AR93" s="304"/>
      <c r="AS93" s="304"/>
      <c r="AT93" s="304"/>
      <c r="AU93" s="305"/>
      <c r="AX93" s="103"/>
      <c r="AY93" s="106"/>
      <c r="AZ93" s="103"/>
      <c r="DI93" s="67"/>
      <c r="DJ93" s="67"/>
      <c r="DN93" s="66"/>
      <c r="DO93" s="66"/>
      <c r="EB93" s="157"/>
      <c r="EC93" s="157"/>
      <c r="ED93" s="157"/>
      <c r="EF93" s="66"/>
      <c r="EG93" s="66"/>
      <c r="EH93" s="66"/>
    </row>
    <row r="94" spans="1:138" ht="21" customHeight="1">
      <c r="B94" s="219"/>
      <c r="C94" s="220"/>
      <c r="D94" s="221"/>
      <c r="E94" s="97"/>
      <c r="F94" s="97"/>
      <c r="G94" s="97"/>
      <c r="H94" s="102"/>
      <c r="I94" s="97"/>
      <c r="J94" s="97"/>
      <c r="K94" s="97"/>
      <c r="L94" s="97"/>
      <c r="M94" s="97"/>
      <c r="N94" s="97"/>
      <c r="O94" s="97"/>
      <c r="P94" s="306"/>
      <c r="Q94" s="307"/>
      <c r="R94" s="307"/>
      <c r="S94" s="308"/>
      <c r="T94" s="306"/>
      <c r="U94" s="307"/>
      <c r="V94" s="307"/>
      <c r="W94" s="308"/>
      <c r="X94" s="300"/>
      <c r="Y94" s="302"/>
      <c r="Z94" s="302"/>
      <c r="AA94" s="302"/>
      <c r="AB94" s="306"/>
      <c r="AC94" s="307"/>
      <c r="AD94" s="307"/>
      <c r="AE94" s="308"/>
      <c r="AF94" s="309"/>
      <c r="AG94" s="309"/>
      <c r="AH94" s="309"/>
      <c r="AI94" s="309"/>
      <c r="AJ94" s="299"/>
      <c r="AK94" s="299"/>
      <c r="AL94" s="299"/>
      <c r="AM94" s="300"/>
      <c r="AN94" s="301">
        <f>+X94-AJ94</f>
        <v>0</v>
      </c>
      <c r="AO94" s="302"/>
      <c r="AP94" s="302"/>
      <c r="AQ94" s="303"/>
      <c r="AR94" s="304"/>
      <c r="AS94" s="304"/>
      <c r="AT94" s="304"/>
      <c r="AU94" s="305"/>
      <c r="AX94" s="103"/>
      <c r="AY94" s="106"/>
      <c r="AZ94" s="103"/>
      <c r="DI94" s="67"/>
      <c r="DJ94" s="67"/>
      <c r="DN94" s="66"/>
      <c r="DO94" s="66"/>
      <c r="EB94" s="157"/>
      <c r="EC94" s="157"/>
      <c r="ED94" s="157"/>
      <c r="EF94" s="66"/>
      <c r="EG94" s="66"/>
      <c r="EH94" s="66"/>
    </row>
    <row r="95" spans="1:138" ht="21" customHeight="1">
      <c r="B95" s="219"/>
      <c r="C95" s="220"/>
      <c r="D95" s="221"/>
      <c r="E95" s="97"/>
      <c r="F95" s="101"/>
      <c r="G95" s="101"/>
      <c r="H95" s="102"/>
      <c r="I95" s="97"/>
      <c r="J95" s="97"/>
      <c r="K95" s="97"/>
      <c r="L95" s="97"/>
      <c r="M95" s="97"/>
      <c r="N95" s="97"/>
      <c r="O95" s="97"/>
      <c r="P95" s="306"/>
      <c r="Q95" s="307"/>
      <c r="R95" s="307"/>
      <c r="S95" s="308"/>
      <c r="T95" s="306"/>
      <c r="U95" s="307"/>
      <c r="V95" s="307"/>
      <c r="W95" s="308"/>
      <c r="X95" s="300"/>
      <c r="Y95" s="302"/>
      <c r="Z95" s="302"/>
      <c r="AA95" s="302"/>
      <c r="AB95" s="306"/>
      <c r="AC95" s="307"/>
      <c r="AD95" s="307"/>
      <c r="AE95" s="308"/>
      <c r="AF95" s="309"/>
      <c r="AG95" s="309"/>
      <c r="AH95" s="309"/>
      <c r="AI95" s="309"/>
      <c r="AJ95" s="299"/>
      <c r="AK95" s="299"/>
      <c r="AL95" s="299"/>
      <c r="AM95" s="300"/>
      <c r="AN95" s="301">
        <f>+X95-AJ95</f>
        <v>0</v>
      </c>
      <c r="AO95" s="302"/>
      <c r="AP95" s="302"/>
      <c r="AQ95" s="303"/>
      <c r="AR95" s="304"/>
      <c r="AS95" s="304"/>
      <c r="AT95" s="304"/>
      <c r="AU95" s="305"/>
      <c r="AX95" s="103"/>
      <c r="AY95" s="106"/>
      <c r="AZ95" s="103"/>
      <c r="DI95" s="67"/>
      <c r="DJ95" s="67"/>
      <c r="DN95" s="66"/>
      <c r="DO95" s="66"/>
      <c r="EB95" s="157"/>
      <c r="EC95" s="157"/>
      <c r="ED95" s="157"/>
      <c r="EF95" s="66"/>
      <c r="EG95" s="66"/>
      <c r="EH95" s="66"/>
    </row>
    <row r="96" spans="1:138" ht="21" customHeight="1">
      <c r="B96" s="219"/>
      <c r="C96" s="220"/>
      <c r="D96" s="221"/>
      <c r="E96" s="101"/>
      <c r="F96" s="101"/>
      <c r="G96" s="101"/>
      <c r="H96" s="102"/>
      <c r="I96" s="97"/>
      <c r="J96" s="97"/>
      <c r="K96" s="97"/>
      <c r="L96" s="97"/>
      <c r="M96" s="97"/>
      <c r="N96" s="97"/>
      <c r="O96" s="97"/>
      <c r="P96" s="306"/>
      <c r="Q96" s="307"/>
      <c r="R96" s="307"/>
      <c r="S96" s="308"/>
      <c r="T96" s="306"/>
      <c r="U96" s="307"/>
      <c r="V96" s="307"/>
      <c r="W96" s="308"/>
      <c r="X96" s="300"/>
      <c r="Y96" s="302"/>
      <c r="Z96" s="302"/>
      <c r="AA96" s="302"/>
      <c r="AB96" s="309"/>
      <c r="AC96" s="309"/>
      <c r="AD96" s="309"/>
      <c r="AE96" s="309"/>
      <c r="AF96" s="309"/>
      <c r="AG96" s="309"/>
      <c r="AH96" s="309"/>
      <c r="AI96" s="309"/>
      <c r="AJ96" s="299"/>
      <c r="AK96" s="299"/>
      <c r="AL96" s="299"/>
      <c r="AM96" s="300"/>
      <c r="AN96" s="301"/>
      <c r="AO96" s="302"/>
      <c r="AP96" s="302"/>
      <c r="AQ96" s="303"/>
      <c r="AR96" s="304"/>
      <c r="AS96" s="304"/>
      <c r="AT96" s="304"/>
      <c r="AU96" s="305"/>
      <c r="AX96" s="103"/>
      <c r="AY96" s="106"/>
      <c r="AZ96" s="103"/>
      <c r="DI96" s="67"/>
      <c r="DJ96" s="67"/>
      <c r="DN96" s="66"/>
      <c r="DO96" s="66"/>
      <c r="EB96" s="157"/>
      <c r="EC96" s="157"/>
      <c r="ED96" s="157"/>
      <c r="EF96" s="66"/>
      <c r="EG96" s="66"/>
      <c r="EH96" s="66"/>
    </row>
    <row r="97" spans="1:138" ht="21" customHeight="1">
      <c r="B97" s="219"/>
      <c r="C97" s="220"/>
      <c r="D97" s="221"/>
      <c r="E97" s="101"/>
      <c r="F97" s="101"/>
      <c r="G97" s="101"/>
      <c r="H97" s="102"/>
      <c r="I97" s="97"/>
      <c r="J97" s="97"/>
      <c r="K97" s="97"/>
      <c r="L97" s="97"/>
      <c r="M97" s="97"/>
      <c r="N97" s="97"/>
      <c r="O97" s="97"/>
      <c r="P97" s="306"/>
      <c r="Q97" s="307"/>
      <c r="R97" s="307"/>
      <c r="S97" s="308"/>
      <c r="T97" s="306"/>
      <c r="U97" s="307"/>
      <c r="V97" s="307"/>
      <c r="W97" s="308"/>
      <c r="X97" s="300"/>
      <c r="Y97" s="302"/>
      <c r="Z97" s="302"/>
      <c r="AA97" s="302"/>
      <c r="AB97" s="309"/>
      <c r="AC97" s="309"/>
      <c r="AD97" s="309"/>
      <c r="AE97" s="309"/>
      <c r="AF97" s="309"/>
      <c r="AG97" s="309"/>
      <c r="AH97" s="309"/>
      <c r="AI97" s="309"/>
      <c r="AJ97" s="299"/>
      <c r="AK97" s="299"/>
      <c r="AL97" s="299"/>
      <c r="AM97" s="300"/>
      <c r="AN97" s="301"/>
      <c r="AO97" s="302"/>
      <c r="AP97" s="302"/>
      <c r="AQ97" s="303"/>
      <c r="AR97" s="304"/>
      <c r="AS97" s="304"/>
      <c r="AT97" s="304"/>
      <c r="AU97" s="305"/>
      <c r="AX97" s="103"/>
      <c r="AY97" s="106"/>
      <c r="AZ97" s="103"/>
      <c r="DI97" s="67"/>
      <c r="DJ97" s="67"/>
      <c r="DN97" s="66"/>
      <c r="DO97" s="66"/>
      <c r="EB97" s="157"/>
      <c r="EC97" s="157"/>
      <c r="ED97" s="157"/>
      <c r="EF97" s="66"/>
      <c r="EG97" s="66"/>
      <c r="EH97" s="66"/>
    </row>
    <row r="98" spans="1:138" ht="21" hidden="1" customHeight="1">
      <c r="B98" s="219"/>
      <c r="C98" s="220"/>
      <c r="D98" s="221"/>
      <c r="E98" s="102"/>
      <c r="F98" s="97"/>
      <c r="G98" s="97"/>
      <c r="H98" s="102"/>
      <c r="I98" s="97"/>
      <c r="J98" s="97"/>
      <c r="K98" s="97"/>
      <c r="L98" s="97"/>
      <c r="M98" s="97"/>
      <c r="N98" s="97"/>
      <c r="O98" s="97"/>
      <c r="P98" s="306"/>
      <c r="Q98" s="307"/>
      <c r="R98" s="307"/>
      <c r="S98" s="308"/>
      <c r="T98" s="306"/>
      <c r="U98" s="307"/>
      <c r="V98" s="307"/>
      <c r="W98" s="308"/>
      <c r="X98" s="300"/>
      <c r="Y98" s="302"/>
      <c r="Z98" s="302"/>
      <c r="AA98" s="302"/>
      <c r="AB98" s="309"/>
      <c r="AC98" s="309"/>
      <c r="AD98" s="309"/>
      <c r="AE98" s="309"/>
      <c r="AF98" s="309"/>
      <c r="AG98" s="309"/>
      <c r="AH98" s="309"/>
      <c r="AI98" s="309"/>
      <c r="AJ98" s="299"/>
      <c r="AK98" s="299"/>
      <c r="AL98" s="299"/>
      <c r="AM98" s="300"/>
      <c r="AN98" s="301"/>
      <c r="AO98" s="302"/>
      <c r="AP98" s="302"/>
      <c r="AQ98" s="303"/>
      <c r="AR98" s="304"/>
      <c r="AS98" s="304"/>
      <c r="AT98" s="304"/>
      <c r="AU98" s="305"/>
      <c r="AX98" s="103"/>
      <c r="AY98" s="106"/>
      <c r="AZ98" s="103"/>
      <c r="DI98" s="67"/>
      <c r="DJ98" s="67"/>
      <c r="DN98" s="66"/>
      <c r="DO98" s="66"/>
      <c r="EB98" s="157"/>
      <c r="EC98" s="157"/>
      <c r="ED98" s="157"/>
      <c r="EF98" s="66"/>
      <c r="EG98" s="66"/>
      <c r="EH98" s="66"/>
    </row>
    <row r="99" spans="1:138" ht="21" hidden="1" customHeight="1">
      <c r="B99" s="219"/>
      <c r="C99" s="220"/>
      <c r="D99" s="221"/>
      <c r="E99" s="102"/>
      <c r="F99" s="97"/>
      <c r="G99" s="97"/>
      <c r="H99" s="102"/>
      <c r="I99" s="97"/>
      <c r="J99" s="97"/>
      <c r="K99" s="97"/>
      <c r="L99" s="97"/>
      <c r="M99" s="97"/>
      <c r="N99" s="97"/>
      <c r="O99" s="97"/>
      <c r="P99" s="306"/>
      <c r="Q99" s="307"/>
      <c r="R99" s="307"/>
      <c r="S99" s="308"/>
      <c r="T99" s="306"/>
      <c r="U99" s="307"/>
      <c r="V99" s="307"/>
      <c r="W99" s="308"/>
      <c r="X99" s="300"/>
      <c r="Y99" s="302"/>
      <c r="Z99" s="302"/>
      <c r="AA99" s="302"/>
      <c r="AB99" s="309"/>
      <c r="AC99" s="309"/>
      <c r="AD99" s="309"/>
      <c r="AE99" s="309"/>
      <c r="AF99" s="309"/>
      <c r="AG99" s="309"/>
      <c r="AH99" s="309"/>
      <c r="AI99" s="309"/>
      <c r="AJ99" s="299"/>
      <c r="AK99" s="299"/>
      <c r="AL99" s="299"/>
      <c r="AM99" s="300"/>
      <c r="AN99" s="301"/>
      <c r="AO99" s="302"/>
      <c r="AP99" s="302"/>
      <c r="AQ99" s="303"/>
      <c r="AR99" s="304"/>
      <c r="AS99" s="304"/>
      <c r="AT99" s="304"/>
      <c r="AU99" s="305"/>
      <c r="AX99" s="103"/>
      <c r="AY99" s="103"/>
      <c r="AZ99" s="103"/>
      <c r="DI99" s="67"/>
      <c r="DJ99" s="67"/>
      <c r="DN99" s="66"/>
      <c r="DO99" s="66"/>
      <c r="EB99" s="157"/>
      <c r="EC99" s="157"/>
      <c r="ED99" s="157"/>
      <c r="EF99" s="66"/>
      <c r="EG99" s="66"/>
      <c r="EH99" s="66"/>
    </row>
    <row r="100" spans="1:138" ht="21" hidden="1" customHeight="1">
      <c r="B100" s="219"/>
      <c r="C100" s="220"/>
      <c r="D100" s="221"/>
      <c r="E100" s="102"/>
      <c r="F100" s="97"/>
      <c r="G100" s="97"/>
      <c r="H100" s="102"/>
      <c r="I100" s="97"/>
      <c r="J100" s="97"/>
      <c r="K100" s="97"/>
      <c r="L100" s="97"/>
      <c r="M100" s="97"/>
      <c r="N100" s="97"/>
      <c r="O100" s="97"/>
      <c r="P100" s="306"/>
      <c r="Q100" s="307"/>
      <c r="R100" s="307"/>
      <c r="S100" s="308"/>
      <c r="T100" s="306"/>
      <c r="U100" s="307"/>
      <c r="V100" s="307"/>
      <c r="W100" s="308"/>
      <c r="X100" s="300"/>
      <c r="Y100" s="302"/>
      <c r="Z100" s="302"/>
      <c r="AA100" s="302"/>
      <c r="AB100" s="309"/>
      <c r="AC100" s="309"/>
      <c r="AD100" s="309"/>
      <c r="AE100" s="309"/>
      <c r="AF100" s="309"/>
      <c r="AG100" s="309"/>
      <c r="AH100" s="309"/>
      <c r="AI100" s="309"/>
      <c r="AJ100" s="299"/>
      <c r="AK100" s="299"/>
      <c r="AL100" s="299"/>
      <c r="AM100" s="300"/>
      <c r="AN100" s="301"/>
      <c r="AO100" s="302"/>
      <c r="AP100" s="302"/>
      <c r="AQ100" s="303"/>
      <c r="AR100" s="304"/>
      <c r="AS100" s="304"/>
      <c r="AT100" s="304"/>
      <c r="AU100" s="305"/>
      <c r="AX100" s="103"/>
      <c r="AY100" s="103"/>
      <c r="AZ100" s="103"/>
      <c r="DI100" s="67"/>
      <c r="DJ100" s="67"/>
      <c r="DN100" s="66"/>
      <c r="DO100" s="66"/>
      <c r="EB100" s="157"/>
      <c r="EC100" s="157"/>
      <c r="ED100" s="157"/>
      <c r="EF100" s="66"/>
      <c r="EG100" s="66"/>
      <c r="EH100" s="66"/>
    </row>
    <row r="101" spans="1:138" ht="21" hidden="1" customHeight="1">
      <c r="B101" s="219"/>
      <c r="C101" s="220"/>
      <c r="D101" s="221"/>
      <c r="E101" s="102"/>
      <c r="F101" s="97"/>
      <c r="G101" s="97"/>
      <c r="H101" s="102"/>
      <c r="I101" s="97"/>
      <c r="J101" s="97"/>
      <c r="K101" s="97"/>
      <c r="L101" s="97"/>
      <c r="M101" s="97"/>
      <c r="N101" s="97"/>
      <c r="O101" s="97"/>
      <c r="P101" s="306"/>
      <c r="Q101" s="307"/>
      <c r="R101" s="307"/>
      <c r="S101" s="308"/>
      <c r="T101" s="306"/>
      <c r="U101" s="307"/>
      <c r="V101" s="307"/>
      <c r="W101" s="308"/>
      <c r="X101" s="300"/>
      <c r="Y101" s="302"/>
      <c r="Z101" s="302"/>
      <c r="AA101" s="302"/>
      <c r="AB101" s="309"/>
      <c r="AC101" s="309"/>
      <c r="AD101" s="309"/>
      <c r="AE101" s="309"/>
      <c r="AF101" s="309"/>
      <c r="AG101" s="309"/>
      <c r="AH101" s="309"/>
      <c r="AI101" s="309"/>
      <c r="AJ101" s="299"/>
      <c r="AK101" s="299"/>
      <c r="AL101" s="299"/>
      <c r="AM101" s="300"/>
      <c r="AN101" s="301"/>
      <c r="AO101" s="302"/>
      <c r="AP101" s="302"/>
      <c r="AQ101" s="303"/>
      <c r="AR101" s="304"/>
      <c r="AS101" s="304"/>
      <c r="AT101" s="304"/>
      <c r="AU101" s="305"/>
      <c r="DI101" s="67"/>
      <c r="DJ101" s="67"/>
      <c r="DN101" s="66"/>
      <c r="DO101" s="66"/>
      <c r="EB101" s="157"/>
      <c r="EC101" s="157"/>
      <c r="ED101" s="157"/>
      <c r="EF101" s="66"/>
      <c r="EG101" s="66"/>
      <c r="EH101" s="66"/>
    </row>
    <row r="102" spans="1:138" ht="21" hidden="1" customHeight="1">
      <c r="B102" s="219"/>
      <c r="C102" s="220"/>
      <c r="D102" s="221"/>
      <c r="E102" s="102"/>
      <c r="F102" s="97"/>
      <c r="G102" s="97"/>
      <c r="H102" s="102"/>
      <c r="I102" s="97"/>
      <c r="J102" s="97"/>
      <c r="K102" s="97"/>
      <c r="L102" s="97"/>
      <c r="M102" s="97"/>
      <c r="N102" s="97"/>
      <c r="O102" s="97"/>
      <c r="P102" s="306"/>
      <c r="Q102" s="307"/>
      <c r="R102" s="307"/>
      <c r="S102" s="308"/>
      <c r="T102" s="306"/>
      <c r="U102" s="307"/>
      <c r="V102" s="307"/>
      <c r="W102" s="308"/>
      <c r="X102" s="300"/>
      <c r="Y102" s="302"/>
      <c r="Z102" s="302"/>
      <c r="AA102" s="302"/>
      <c r="AB102" s="309"/>
      <c r="AC102" s="309"/>
      <c r="AD102" s="309"/>
      <c r="AE102" s="309"/>
      <c r="AF102" s="309"/>
      <c r="AG102" s="309"/>
      <c r="AH102" s="309"/>
      <c r="AI102" s="309"/>
      <c r="AJ102" s="299"/>
      <c r="AK102" s="299"/>
      <c r="AL102" s="299"/>
      <c r="AM102" s="300"/>
      <c r="AN102" s="301"/>
      <c r="AO102" s="302"/>
      <c r="AP102" s="302"/>
      <c r="AQ102" s="303"/>
      <c r="AR102" s="304"/>
      <c r="AS102" s="304"/>
      <c r="AT102" s="304"/>
      <c r="AU102" s="305"/>
      <c r="DI102" s="67"/>
      <c r="DJ102" s="67"/>
      <c r="DN102" s="66"/>
      <c r="DO102" s="66"/>
      <c r="EB102" s="157"/>
      <c r="EC102" s="157"/>
      <c r="ED102" s="157"/>
      <c r="EF102" s="66"/>
      <c r="EG102" s="66"/>
      <c r="EH102" s="66"/>
    </row>
    <row r="103" spans="1:138" ht="21" customHeight="1">
      <c r="B103" s="329"/>
      <c r="C103" s="330"/>
      <c r="D103" s="330"/>
      <c r="E103" s="105" t="s">
        <v>56</v>
      </c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331">
        <f>SUM(P92:S102)</f>
        <v>0</v>
      </c>
      <c r="Q103" s="325"/>
      <c r="R103" s="325"/>
      <c r="S103" s="332"/>
      <c r="T103" s="331">
        <f>SUM(T92:W102)</f>
        <v>0</v>
      </c>
      <c r="U103" s="325"/>
      <c r="V103" s="325"/>
      <c r="W103" s="332"/>
      <c r="X103" s="331">
        <f t="shared" ref="X103" si="18">SUM(X92:AA102)</f>
        <v>0</v>
      </c>
      <c r="Y103" s="325"/>
      <c r="Z103" s="325"/>
      <c r="AA103" s="325"/>
      <c r="AB103" s="334">
        <f>SUM(AB92:AE102)</f>
        <v>4000000</v>
      </c>
      <c r="AC103" s="334"/>
      <c r="AD103" s="334"/>
      <c r="AE103" s="334"/>
      <c r="AF103" s="334">
        <f>SUM(AF92:AI102)</f>
        <v>0</v>
      </c>
      <c r="AG103" s="334"/>
      <c r="AH103" s="334"/>
      <c r="AI103" s="334"/>
      <c r="AJ103" s="334">
        <f t="shared" ref="AJ103" si="19">SUM(AJ92:AM102)</f>
        <v>0</v>
      </c>
      <c r="AK103" s="334"/>
      <c r="AL103" s="334"/>
      <c r="AM103" s="335"/>
      <c r="AN103" s="324">
        <f t="shared" ref="AN103" si="20">SUM(AN92:AQ102)</f>
        <v>0</v>
      </c>
      <c r="AO103" s="325"/>
      <c r="AP103" s="325"/>
      <c r="AQ103" s="326"/>
      <c r="AR103" s="327"/>
      <c r="AS103" s="327"/>
      <c r="AT103" s="327"/>
      <c r="AU103" s="328"/>
      <c r="DI103" s="67"/>
      <c r="DJ103" s="67"/>
      <c r="DN103" s="66"/>
      <c r="DO103" s="66"/>
      <c r="EB103" s="157"/>
      <c r="EC103" s="157"/>
      <c r="ED103" s="157"/>
      <c r="EF103" s="66"/>
      <c r="EG103" s="66"/>
      <c r="EH103" s="66"/>
    </row>
    <row r="104" spans="1:138" ht="3" customHeight="1">
      <c r="H104" s="84"/>
      <c r="I104" s="84"/>
      <c r="J104" s="84"/>
      <c r="K104" s="84"/>
      <c r="L104" s="84"/>
      <c r="M104" s="84"/>
      <c r="N104" s="84"/>
      <c r="O104" s="84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50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53"/>
      <c r="AO104" s="154"/>
      <c r="AP104" s="154"/>
      <c r="AQ104" s="155"/>
      <c r="AR104" s="109"/>
      <c r="AS104" s="109"/>
      <c r="AT104" s="109"/>
      <c r="AU104" s="109"/>
      <c r="DI104" s="67"/>
      <c r="DJ104" s="67"/>
      <c r="DN104" s="66"/>
      <c r="DO104" s="66"/>
      <c r="EB104" s="157"/>
      <c r="EC104" s="157"/>
      <c r="ED104" s="157"/>
      <c r="EF104" s="66"/>
      <c r="EG104" s="66"/>
      <c r="EH104" s="66"/>
    </row>
    <row r="105" spans="1:138" ht="21" customHeight="1" thickBot="1">
      <c r="B105" s="110" t="s">
        <v>57</v>
      </c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354">
        <f>+P103+P90</f>
        <v>0</v>
      </c>
      <c r="Q105" s="355"/>
      <c r="R105" s="355"/>
      <c r="S105" s="356"/>
      <c r="T105" s="354">
        <f>+T103+T90</f>
        <v>0</v>
      </c>
      <c r="U105" s="355"/>
      <c r="V105" s="355"/>
      <c r="W105" s="356"/>
      <c r="X105" s="354">
        <f t="shared" ref="X105" si="21">+X103+X90</f>
        <v>0</v>
      </c>
      <c r="Y105" s="355"/>
      <c r="Z105" s="355"/>
      <c r="AA105" s="355"/>
      <c r="AB105" s="357">
        <f t="shared" ref="AB105" si="22">+AB103+AB90</f>
        <v>4000000</v>
      </c>
      <c r="AC105" s="357"/>
      <c r="AD105" s="357"/>
      <c r="AE105" s="357"/>
      <c r="AF105" s="357">
        <f t="shared" ref="AF105" si="23">+AF103+AF90</f>
        <v>0</v>
      </c>
      <c r="AG105" s="357"/>
      <c r="AH105" s="357"/>
      <c r="AI105" s="357"/>
      <c r="AJ105" s="357">
        <f t="shared" ref="AJ105" si="24">+AJ103+AJ90</f>
        <v>0</v>
      </c>
      <c r="AK105" s="357"/>
      <c r="AL105" s="357"/>
      <c r="AM105" s="358"/>
      <c r="AN105" s="341">
        <f t="shared" ref="AN105" si="25">+AN103+AN90</f>
        <v>0</v>
      </c>
      <c r="AO105" s="342"/>
      <c r="AP105" s="342"/>
      <c r="AQ105" s="343"/>
      <c r="AR105" s="344"/>
      <c r="AS105" s="344"/>
      <c r="AT105" s="344"/>
      <c r="AU105" s="345"/>
      <c r="DI105" s="67"/>
      <c r="DJ105" s="67"/>
      <c r="DN105" s="66"/>
      <c r="DO105" s="66"/>
      <c r="EB105" s="157"/>
      <c r="EC105" s="157"/>
      <c r="ED105" s="157"/>
      <c r="EF105" s="66"/>
      <c r="EG105" s="66"/>
      <c r="EH105" s="66"/>
    </row>
    <row r="106" spans="1:138" ht="21" customHeight="1" thickTop="1">
      <c r="DG106" s="67"/>
      <c r="DH106" s="67"/>
      <c r="DI106" s="67"/>
      <c r="DJ106" s="67"/>
      <c r="DL106" s="66"/>
      <c r="DM106" s="66"/>
      <c r="DN106" s="66"/>
      <c r="DO106" s="66"/>
    </row>
    <row r="107" spans="1:138" s="69" customFormat="1" ht="21" customHeight="1">
      <c r="A107" s="117"/>
      <c r="B107" s="68" t="s">
        <v>59</v>
      </c>
      <c r="DG107" s="70"/>
      <c r="DH107" s="70"/>
      <c r="DI107" s="70"/>
      <c r="DJ107" s="70"/>
      <c r="DK107" s="70"/>
      <c r="EF107" s="157"/>
      <c r="EG107" s="157"/>
      <c r="EH107" s="157"/>
    </row>
    <row r="108" spans="1:138" ht="8.25" customHeight="1">
      <c r="DG108" s="67"/>
      <c r="DH108" s="67"/>
      <c r="DI108" s="67"/>
      <c r="DJ108" s="67"/>
      <c r="DL108" s="66"/>
      <c r="DM108" s="66"/>
      <c r="DN108" s="66"/>
      <c r="DO108" s="66"/>
      <c r="EB108" s="157"/>
      <c r="EC108" s="157"/>
      <c r="ED108" s="157"/>
      <c r="EF108" s="66"/>
      <c r="EG108" s="66"/>
      <c r="EH108" s="66"/>
    </row>
    <row r="109" spans="1:138" ht="21" customHeight="1">
      <c r="B109" s="75" t="s">
        <v>60</v>
      </c>
      <c r="AO109" s="76"/>
      <c r="CO109" s="76"/>
      <c r="CP109" s="76" t="s">
        <v>49</v>
      </c>
      <c r="CZ109" s="76"/>
      <c r="DG109" s="67"/>
      <c r="DH109" s="67"/>
      <c r="DI109" s="67"/>
      <c r="DJ109" s="67"/>
      <c r="DL109" s="66"/>
      <c r="DM109" s="66"/>
      <c r="DN109" s="66"/>
      <c r="DO109" s="66"/>
      <c r="EB109" s="157"/>
      <c r="EC109" s="157"/>
      <c r="ED109" s="157"/>
      <c r="EF109" s="66"/>
      <c r="EG109" s="66"/>
      <c r="EH109" s="66"/>
    </row>
    <row r="110" spans="1:138" ht="8.25" customHeight="1" thickBot="1">
      <c r="DG110" s="67"/>
      <c r="DH110" s="67"/>
      <c r="DI110" s="67"/>
      <c r="DJ110" s="67"/>
      <c r="DL110" s="66"/>
      <c r="DM110" s="66"/>
      <c r="DN110" s="66"/>
      <c r="DO110" s="66"/>
      <c r="EB110" s="157"/>
      <c r="EC110" s="157"/>
      <c r="ED110" s="157"/>
      <c r="EF110" s="66"/>
      <c r="EG110" s="66"/>
      <c r="EH110" s="66"/>
    </row>
    <row r="111" spans="1:138" ht="21" customHeight="1" thickTop="1">
      <c r="B111" s="197" t="s">
        <v>9</v>
      </c>
      <c r="C111" s="198"/>
      <c r="D111" s="199"/>
      <c r="E111" s="197" t="s">
        <v>51</v>
      </c>
      <c r="F111" s="198"/>
      <c r="G111" s="198"/>
      <c r="H111" s="198"/>
      <c r="I111" s="199"/>
      <c r="J111" s="197" t="s">
        <v>61</v>
      </c>
      <c r="K111" s="198"/>
      <c r="L111" s="198"/>
      <c r="M111" s="198"/>
      <c r="N111" s="199"/>
      <c r="O111" s="197" t="s">
        <v>62</v>
      </c>
      <c r="P111" s="198"/>
      <c r="Q111" s="198"/>
      <c r="R111" s="198"/>
      <c r="S111" s="198"/>
      <c r="T111" s="198"/>
      <c r="U111" s="198"/>
      <c r="V111" s="198"/>
      <c r="W111" s="198"/>
      <c r="X111" s="199"/>
      <c r="Y111" s="239" t="s">
        <v>159</v>
      </c>
      <c r="Z111" s="346"/>
      <c r="AA111" s="346"/>
      <c r="AB111" s="347"/>
      <c r="AC111" s="197" t="s">
        <v>90</v>
      </c>
      <c r="AD111" s="199"/>
      <c r="AE111" s="197" t="s">
        <v>91</v>
      </c>
      <c r="AF111" s="199"/>
      <c r="AG111" s="197" t="s">
        <v>92</v>
      </c>
      <c r="AH111" s="198"/>
      <c r="AI111" s="199"/>
      <c r="AJ111" s="239" t="s">
        <v>240</v>
      </c>
      <c r="AK111" s="198"/>
      <c r="AL111" s="624" t="s">
        <v>243</v>
      </c>
      <c r="AM111" s="577"/>
      <c r="AN111" s="577" t="s">
        <v>8</v>
      </c>
      <c r="AO111" s="621"/>
      <c r="AP111" s="339"/>
      <c r="AQ111" s="340"/>
      <c r="AR111" s="339"/>
      <c r="AS111" s="340"/>
      <c r="AT111" s="339"/>
      <c r="AU111" s="340"/>
      <c r="AV111" s="339"/>
      <c r="AW111" s="340"/>
      <c r="AX111" s="339"/>
      <c r="AY111" s="340"/>
      <c r="AZ111" s="339"/>
      <c r="BA111" s="340"/>
      <c r="BB111" s="339"/>
      <c r="BC111" s="340"/>
      <c r="BD111" s="339"/>
      <c r="BE111" s="340"/>
      <c r="BF111" s="339"/>
      <c r="BG111" s="340"/>
      <c r="BH111" s="339" t="s">
        <v>98</v>
      </c>
      <c r="BI111" s="340"/>
      <c r="BJ111" s="339" t="s">
        <v>63</v>
      </c>
      <c r="BK111" s="340"/>
      <c r="BL111" s="339" t="s">
        <v>205</v>
      </c>
      <c r="BM111" s="340"/>
      <c r="BN111" s="339" t="s">
        <v>212</v>
      </c>
      <c r="BO111" s="340"/>
      <c r="BP111" s="339" t="s">
        <v>216</v>
      </c>
      <c r="BQ111" s="340"/>
      <c r="BR111" s="111" t="s">
        <v>213</v>
      </c>
      <c r="BS111" s="112"/>
      <c r="BT111" s="111" t="s">
        <v>214</v>
      </c>
      <c r="BU111" s="112"/>
      <c r="BV111" s="111" t="s">
        <v>225</v>
      </c>
      <c r="BW111" s="112"/>
      <c r="BX111" s="111" t="s">
        <v>219</v>
      </c>
      <c r="BY111" s="112"/>
      <c r="BZ111" s="339"/>
      <c r="CA111" s="340"/>
      <c r="CB111" s="339"/>
      <c r="CC111" s="340"/>
      <c r="CD111" s="339"/>
      <c r="CE111" s="340"/>
      <c r="CF111" s="372"/>
      <c r="CG111" s="373"/>
      <c r="CH111" s="197" t="s">
        <v>160</v>
      </c>
      <c r="CI111" s="198"/>
      <c r="CJ111" s="199"/>
      <c r="CK111" s="625" t="s">
        <v>161</v>
      </c>
      <c r="CL111" s="626"/>
      <c r="CM111" s="626"/>
      <c r="CN111" s="626"/>
      <c r="CO111" s="626"/>
      <c r="CP111" s="627"/>
      <c r="CQ111" s="371"/>
      <c r="CR111" s="371"/>
      <c r="CS111" s="371"/>
      <c r="CT111" s="113"/>
      <c r="CU111" s="113"/>
      <c r="CV111" s="113"/>
      <c r="CW111" s="114"/>
      <c r="CX111" s="114"/>
      <c r="CY111" s="114"/>
      <c r="CZ111" s="114"/>
      <c r="DA111" s="114"/>
      <c r="DB111" s="113"/>
      <c r="DC111" s="113"/>
      <c r="DD111" s="113"/>
      <c r="DE111" s="113"/>
      <c r="DF111" s="113"/>
      <c r="DG111" s="113"/>
      <c r="DH111" s="113"/>
      <c r="DI111" s="113"/>
      <c r="DJ111" s="371"/>
      <c r="DK111" s="371"/>
      <c r="DL111" s="371"/>
      <c r="DM111" s="371"/>
      <c r="DN111" s="371"/>
      <c r="DO111" s="371"/>
      <c r="DP111" s="371"/>
      <c r="DQ111" s="371"/>
      <c r="DR111" s="371"/>
      <c r="DS111" s="371"/>
      <c r="DT111" s="371"/>
      <c r="DU111" s="371"/>
      <c r="DV111" s="371"/>
      <c r="DW111" s="371"/>
      <c r="DX111" s="371"/>
      <c r="DY111" s="371"/>
      <c r="DZ111" s="371"/>
      <c r="EA111" s="371"/>
      <c r="EB111" s="157"/>
      <c r="EC111" s="157"/>
      <c r="ED111" s="157"/>
      <c r="EF111" s="66"/>
      <c r="EG111" s="66"/>
      <c r="EH111" s="66"/>
    </row>
    <row r="112" spans="1:138" ht="21" customHeight="1">
      <c r="B112" s="336"/>
      <c r="C112" s="337"/>
      <c r="D112" s="338"/>
      <c r="E112" s="336"/>
      <c r="F112" s="337"/>
      <c r="G112" s="337"/>
      <c r="H112" s="337"/>
      <c r="I112" s="338"/>
      <c r="J112" s="336"/>
      <c r="K112" s="337"/>
      <c r="L112" s="337"/>
      <c r="M112" s="337"/>
      <c r="N112" s="338"/>
      <c r="O112" s="336"/>
      <c r="P112" s="337"/>
      <c r="Q112" s="337"/>
      <c r="R112" s="337"/>
      <c r="S112" s="337"/>
      <c r="T112" s="337"/>
      <c r="U112" s="337"/>
      <c r="V112" s="337"/>
      <c r="W112" s="337"/>
      <c r="X112" s="338"/>
      <c r="Y112" s="348"/>
      <c r="Z112" s="349"/>
      <c r="AA112" s="349"/>
      <c r="AB112" s="350"/>
      <c r="AC112" s="336"/>
      <c r="AD112" s="338"/>
      <c r="AE112" s="336"/>
      <c r="AF112" s="338"/>
      <c r="AG112" s="336"/>
      <c r="AH112" s="337"/>
      <c r="AI112" s="338"/>
      <c r="AJ112" s="336"/>
      <c r="AK112" s="337"/>
      <c r="AL112" s="578"/>
      <c r="AM112" s="579"/>
      <c r="AN112" s="579"/>
      <c r="AO112" s="622"/>
      <c r="AP112" s="359" t="s">
        <v>227</v>
      </c>
      <c r="AQ112" s="360"/>
      <c r="AR112" s="360"/>
      <c r="AS112" s="360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360" t="s">
        <v>286</v>
      </c>
      <c r="BJ112" s="360"/>
      <c r="BK112" s="360"/>
      <c r="BL112" s="360"/>
      <c r="BM112" s="360"/>
      <c r="BN112" s="360"/>
      <c r="BO112" s="360"/>
      <c r="BP112" s="360"/>
      <c r="BQ112" s="360"/>
      <c r="BR112" s="360"/>
      <c r="BS112" s="360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115"/>
      <c r="CD112" s="115"/>
      <c r="CE112" s="115"/>
      <c r="CF112" s="115"/>
      <c r="CG112" s="116"/>
      <c r="CH112" s="336"/>
      <c r="CI112" s="337"/>
      <c r="CJ112" s="338"/>
      <c r="CK112" s="361" t="s">
        <v>244</v>
      </c>
      <c r="CL112" s="362"/>
      <c r="CM112" s="363"/>
      <c r="CN112" s="367" t="s">
        <v>8</v>
      </c>
      <c r="CO112" s="362"/>
      <c r="CP112" s="368"/>
      <c r="CQ112" s="371"/>
      <c r="CR112" s="371"/>
      <c r="CS112" s="371"/>
      <c r="CT112" s="113"/>
      <c r="CU112" s="113"/>
      <c r="CV112" s="113"/>
      <c r="CW112" s="114"/>
      <c r="CX112" s="114"/>
      <c r="CY112" s="114"/>
      <c r="CZ112" s="114"/>
      <c r="DA112" s="114"/>
      <c r="DB112" s="113"/>
      <c r="DC112" s="113"/>
      <c r="DD112" s="113"/>
      <c r="DE112" s="113"/>
      <c r="DF112" s="113"/>
      <c r="DG112" s="113"/>
      <c r="DH112" s="113"/>
      <c r="DI112" s="113"/>
      <c r="DJ112" s="371"/>
      <c r="DK112" s="371"/>
      <c r="DL112" s="371"/>
      <c r="DM112" s="371"/>
      <c r="DN112" s="371"/>
      <c r="DO112" s="371"/>
      <c r="DP112" s="371"/>
      <c r="DQ112" s="371"/>
      <c r="DR112" s="371"/>
      <c r="DS112" s="371"/>
      <c r="DT112" s="371"/>
      <c r="DU112" s="371"/>
      <c r="DV112" s="371"/>
      <c r="DW112" s="371"/>
      <c r="DX112" s="371"/>
      <c r="DY112" s="371"/>
      <c r="DZ112" s="371"/>
      <c r="EA112" s="371"/>
      <c r="EB112" s="157"/>
      <c r="EC112" s="157"/>
      <c r="ED112" s="157"/>
      <c r="EF112" s="66"/>
      <c r="EG112" s="66"/>
      <c r="EH112" s="66"/>
    </row>
    <row r="113" spans="1:138" ht="21" customHeight="1">
      <c r="B113" s="200"/>
      <c r="C113" s="201"/>
      <c r="D113" s="202"/>
      <c r="E113" s="200"/>
      <c r="F113" s="201"/>
      <c r="G113" s="201"/>
      <c r="H113" s="201"/>
      <c r="I113" s="202"/>
      <c r="J113" s="200"/>
      <c r="K113" s="201"/>
      <c r="L113" s="201"/>
      <c r="M113" s="201"/>
      <c r="N113" s="202"/>
      <c r="O113" s="200"/>
      <c r="P113" s="201"/>
      <c r="Q113" s="201"/>
      <c r="R113" s="201"/>
      <c r="S113" s="201"/>
      <c r="T113" s="201"/>
      <c r="U113" s="201"/>
      <c r="V113" s="201"/>
      <c r="W113" s="201"/>
      <c r="X113" s="202"/>
      <c r="Y113" s="351"/>
      <c r="Z113" s="352"/>
      <c r="AA113" s="352"/>
      <c r="AB113" s="353"/>
      <c r="AC113" s="200"/>
      <c r="AD113" s="202"/>
      <c r="AE113" s="200"/>
      <c r="AF113" s="202"/>
      <c r="AG113" s="200"/>
      <c r="AH113" s="201"/>
      <c r="AI113" s="202"/>
      <c r="AJ113" s="200"/>
      <c r="AK113" s="201"/>
      <c r="AL113" s="580"/>
      <c r="AM113" s="190"/>
      <c r="AN113" s="190"/>
      <c r="AO113" s="623"/>
      <c r="AP113" s="339" t="s">
        <v>103</v>
      </c>
      <c r="AQ113" s="340"/>
      <c r="AR113" s="339" t="s">
        <v>104</v>
      </c>
      <c r="AS113" s="340"/>
      <c r="AT113" s="339" t="s">
        <v>84</v>
      </c>
      <c r="AU113" s="340"/>
      <c r="AV113" s="339" t="s">
        <v>85</v>
      </c>
      <c r="AW113" s="340"/>
      <c r="AX113" s="339" t="s">
        <v>86</v>
      </c>
      <c r="AY113" s="340"/>
      <c r="AZ113" s="339" t="s">
        <v>87</v>
      </c>
      <c r="BA113" s="340"/>
      <c r="BB113" s="339" t="s">
        <v>88</v>
      </c>
      <c r="BC113" s="340"/>
      <c r="BD113" s="339" t="s">
        <v>282</v>
      </c>
      <c r="BE113" s="340"/>
      <c r="BF113" s="339" t="s">
        <v>165</v>
      </c>
      <c r="BG113" s="340"/>
      <c r="BH113" s="339" t="s">
        <v>166</v>
      </c>
      <c r="BI113" s="340"/>
      <c r="BJ113" s="339" t="s">
        <v>167</v>
      </c>
      <c r="BK113" s="340"/>
      <c r="BL113" s="339" t="s">
        <v>283</v>
      </c>
      <c r="BM113" s="340"/>
      <c r="BN113" s="339" t="s">
        <v>284</v>
      </c>
      <c r="BO113" s="340"/>
      <c r="BP113" s="339" t="s">
        <v>285</v>
      </c>
      <c r="BQ113" s="340"/>
      <c r="BR113" s="339" t="s">
        <v>78</v>
      </c>
      <c r="BS113" s="340"/>
      <c r="BT113" s="339" t="s">
        <v>86</v>
      </c>
      <c r="BU113" s="340"/>
      <c r="BV113" s="339" t="s">
        <v>87</v>
      </c>
      <c r="BW113" s="340"/>
      <c r="BX113" s="339" t="s">
        <v>88</v>
      </c>
      <c r="BY113" s="340"/>
      <c r="BZ113" s="339" t="s">
        <v>78</v>
      </c>
      <c r="CA113" s="340"/>
      <c r="CB113" s="339" t="s">
        <v>79</v>
      </c>
      <c r="CC113" s="340"/>
      <c r="CD113" s="339" t="s">
        <v>80</v>
      </c>
      <c r="CE113" s="340"/>
      <c r="CF113" s="339" t="s">
        <v>81</v>
      </c>
      <c r="CG113" s="340"/>
      <c r="CH113" s="200"/>
      <c r="CI113" s="201"/>
      <c r="CJ113" s="202"/>
      <c r="CK113" s="364"/>
      <c r="CL113" s="365"/>
      <c r="CM113" s="366"/>
      <c r="CN113" s="369"/>
      <c r="CO113" s="365"/>
      <c r="CP113" s="370"/>
      <c r="CQ113" s="371"/>
      <c r="CR113" s="371"/>
      <c r="CS113" s="371"/>
      <c r="CT113" s="113"/>
      <c r="CU113" s="113"/>
      <c r="CV113" s="113"/>
      <c r="CW113" s="114"/>
      <c r="CX113" s="114"/>
      <c r="CY113" s="114"/>
      <c r="CZ113" s="114"/>
      <c r="DA113" s="114"/>
      <c r="DB113" s="113"/>
      <c r="DC113" s="113"/>
      <c r="DD113" s="113"/>
      <c r="DE113" s="113"/>
      <c r="DF113" s="113"/>
      <c r="DG113" s="113"/>
      <c r="DH113" s="113"/>
      <c r="DI113" s="113"/>
      <c r="DJ113" s="371"/>
      <c r="DK113" s="371"/>
      <c r="DL113" s="371"/>
      <c r="DM113" s="371"/>
      <c r="DN113" s="371"/>
      <c r="DO113" s="371"/>
      <c r="DP113" s="371"/>
      <c r="DQ113" s="371"/>
      <c r="DR113" s="371"/>
      <c r="DS113" s="371"/>
      <c r="DT113" s="371"/>
      <c r="DU113" s="371"/>
      <c r="DV113" s="371"/>
      <c r="DW113" s="371"/>
      <c r="DX113" s="371"/>
      <c r="DY113" s="371"/>
      <c r="DZ113" s="371"/>
      <c r="EA113" s="371"/>
      <c r="EB113" s="157"/>
      <c r="EC113" s="157"/>
      <c r="ED113" s="157"/>
      <c r="EF113" s="66"/>
      <c r="EG113" s="66"/>
      <c r="EH113" s="66"/>
    </row>
    <row r="114" spans="1:138" s="124" customFormat="1" ht="21" customHeight="1">
      <c r="A114" s="117" t="str">
        <f>B114</f>
        <v>내부</v>
      </c>
      <c r="B114" s="388" t="s">
        <v>106</v>
      </c>
      <c r="C114" s="389"/>
      <c r="D114" s="390"/>
      <c r="E114" s="388" t="s">
        <v>226</v>
      </c>
      <c r="F114" s="389"/>
      <c r="G114" s="389"/>
      <c r="H114" s="389"/>
      <c r="I114" s="390"/>
      <c r="J114" s="388"/>
      <c r="K114" s="389"/>
      <c r="L114" s="389"/>
      <c r="M114" s="389"/>
      <c r="N114" s="390"/>
      <c r="O114" s="388" t="s">
        <v>280</v>
      </c>
      <c r="P114" s="389"/>
      <c r="Q114" s="389"/>
      <c r="R114" s="389"/>
      <c r="S114" s="389"/>
      <c r="T114" s="389"/>
      <c r="U114" s="389"/>
      <c r="V114" s="389"/>
      <c r="W114" s="389"/>
      <c r="X114" s="390"/>
      <c r="Y114" s="379"/>
      <c r="Z114" s="383"/>
      <c r="AA114" s="383"/>
      <c r="AB114" s="380"/>
      <c r="AC114" s="379" t="s">
        <v>141</v>
      </c>
      <c r="AD114" s="380"/>
      <c r="AE114" s="379" t="s">
        <v>124</v>
      </c>
      <c r="AF114" s="380"/>
      <c r="AG114" s="379" t="s">
        <v>271</v>
      </c>
      <c r="AH114" s="383"/>
      <c r="AI114" s="380"/>
      <c r="AJ114" s="385" t="s">
        <v>239</v>
      </c>
      <c r="AK114" s="386"/>
      <c r="AL114" s="387">
        <f>SUM(AP114:CG114)</f>
        <v>9.75</v>
      </c>
      <c r="AM114" s="375"/>
      <c r="AN114" s="376"/>
      <c r="AO114" s="377"/>
      <c r="AP114" s="378">
        <v>0.25</v>
      </c>
      <c r="AQ114" s="375"/>
      <c r="AR114" s="374">
        <v>1</v>
      </c>
      <c r="AS114" s="375"/>
      <c r="AT114" s="374">
        <v>1</v>
      </c>
      <c r="AU114" s="375"/>
      <c r="AV114" s="374">
        <v>1</v>
      </c>
      <c r="AW114" s="375"/>
      <c r="AX114" s="374">
        <v>1</v>
      </c>
      <c r="AY114" s="375"/>
      <c r="AZ114" s="374">
        <v>1</v>
      </c>
      <c r="BA114" s="375"/>
      <c r="BB114" s="374">
        <v>1</v>
      </c>
      <c r="BC114" s="375"/>
      <c r="BD114" s="374">
        <v>1</v>
      </c>
      <c r="BE114" s="375"/>
      <c r="BF114" s="374">
        <v>1</v>
      </c>
      <c r="BG114" s="375"/>
      <c r="BH114" s="374">
        <v>1</v>
      </c>
      <c r="BI114" s="375"/>
      <c r="BJ114" s="374">
        <v>0.5</v>
      </c>
      <c r="BK114" s="375"/>
      <c r="BL114" s="374"/>
      <c r="BM114" s="375"/>
      <c r="BN114" s="374"/>
      <c r="BO114" s="375"/>
      <c r="BP114" s="374"/>
      <c r="BQ114" s="375"/>
      <c r="BR114" s="374"/>
      <c r="BS114" s="375"/>
      <c r="BT114" s="374"/>
      <c r="BU114" s="375"/>
      <c r="BV114" s="374"/>
      <c r="BW114" s="375"/>
      <c r="BX114" s="374"/>
      <c r="BY114" s="375"/>
      <c r="BZ114" s="374"/>
      <c r="CA114" s="375"/>
      <c r="CB114" s="374"/>
      <c r="CC114" s="375"/>
      <c r="CD114" s="374"/>
      <c r="CE114" s="375"/>
      <c r="CF114" s="374"/>
      <c r="CG114" s="375"/>
      <c r="CH114" s="414">
        <v>14616000</v>
      </c>
      <c r="CI114" s="415"/>
      <c r="CJ114" s="416"/>
      <c r="CK114" s="402">
        <f>$CH114*AL114</f>
        <v>142506000</v>
      </c>
      <c r="CL114" s="403"/>
      <c r="CM114" s="404"/>
      <c r="CN114" s="405"/>
      <c r="CO114" s="406"/>
      <c r="CP114" s="407"/>
      <c r="CQ114" s="394"/>
      <c r="CR114" s="394"/>
      <c r="CS114" s="394"/>
      <c r="CT114" s="408"/>
      <c r="CU114" s="408"/>
      <c r="CV114" s="121"/>
      <c r="CW114" s="401"/>
      <c r="CX114" s="401"/>
      <c r="CY114" s="401"/>
      <c r="CZ114" s="401"/>
      <c r="DA114" s="401"/>
      <c r="DB114" s="121"/>
      <c r="DC114" s="121"/>
      <c r="DD114" s="121"/>
      <c r="DE114" s="121"/>
      <c r="DF114" s="123"/>
      <c r="DG114" s="123"/>
      <c r="DH114" s="123"/>
      <c r="DI114" s="123"/>
      <c r="DJ114" s="394"/>
      <c r="DK114" s="394"/>
      <c r="DL114" s="394"/>
      <c r="DM114" s="394"/>
      <c r="DN114" s="394"/>
      <c r="DO114" s="394"/>
      <c r="DP114" s="394"/>
      <c r="DQ114" s="394"/>
      <c r="DR114" s="394"/>
      <c r="DS114" s="394"/>
      <c r="DT114" s="394"/>
      <c r="DU114" s="394"/>
      <c r="DV114" s="394"/>
      <c r="DW114" s="394"/>
      <c r="DX114" s="394"/>
      <c r="DY114" s="394"/>
      <c r="DZ114" s="394"/>
      <c r="EA114" s="394"/>
      <c r="EB114" s="157" t="s">
        <v>147</v>
      </c>
      <c r="EC114" s="157" t="s">
        <v>143</v>
      </c>
      <c r="ED114" s="157" t="s">
        <v>151</v>
      </c>
    </row>
    <row r="115" spans="1:138" s="124" customFormat="1" ht="21" customHeight="1">
      <c r="A115" s="117" t="str">
        <f>B114</f>
        <v>내부</v>
      </c>
      <c r="B115" s="391"/>
      <c r="C115" s="392"/>
      <c r="D115" s="393"/>
      <c r="E115" s="391"/>
      <c r="F115" s="392"/>
      <c r="G115" s="392"/>
      <c r="H115" s="392"/>
      <c r="I115" s="393"/>
      <c r="J115" s="391"/>
      <c r="K115" s="392"/>
      <c r="L115" s="392"/>
      <c r="M115" s="392"/>
      <c r="N115" s="393"/>
      <c r="O115" s="391"/>
      <c r="P115" s="392"/>
      <c r="Q115" s="392"/>
      <c r="R115" s="392"/>
      <c r="S115" s="392"/>
      <c r="T115" s="392"/>
      <c r="U115" s="392"/>
      <c r="V115" s="392"/>
      <c r="W115" s="392"/>
      <c r="X115" s="393"/>
      <c r="Y115" s="381"/>
      <c r="Z115" s="384"/>
      <c r="AA115" s="384"/>
      <c r="AB115" s="382"/>
      <c r="AC115" s="381"/>
      <c r="AD115" s="382"/>
      <c r="AE115" s="381"/>
      <c r="AF115" s="382"/>
      <c r="AG115" s="381"/>
      <c r="AH115" s="384"/>
      <c r="AI115" s="382"/>
      <c r="AJ115" s="395" t="s">
        <v>19</v>
      </c>
      <c r="AK115" s="386"/>
      <c r="AL115" s="396">
        <f>SUM(AP115:CG115)</f>
        <v>7.63</v>
      </c>
      <c r="AM115" s="397"/>
      <c r="AN115" s="398">
        <f>+AL115</f>
        <v>7.63</v>
      </c>
      <c r="AO115" s="399"/>
      <c r="AP115" s="400">
        <v>0.22</v>
      </c>
      <c r="AQ115" s="397"/>
      <c r="AR115" s="398">
        <v>0.11</v>
      </c>
      <c r="AS115" s="397"/>
      <c r="AT115" s="398">
        <v>0.87</v>
      </c>
      <c r="AU115" s="397"/>
      <c r="AV115" s="398">
        <v>0.84</v>
      </c>
      <c r="AW115" s="397"/>
      <c r="AX115" s="398">
        <v>0.94</v>
      </c>
      <c r="AY115" s="397"/>
      <c r="AZ115" s="398">
        <v>0.96</v>
      </c>
      <c r="BA115" s="397"/>
      <c r="BB115" s="398">
        <v>0.87</v>
      </c>
      <c r="BC115" s="397"/>
      <c r="BD115" s="398">
        <v>0.68</v>
      </c>
      <c r="BE115" s="397"/>
      <c r="BF115" s="398">
        <v>0.78</v>
      </c>
      <c r="BG115" s="397"/>
      <c r="BH115" s="398">
        <v>0.43</v>
      </c>
      <c r="BI115" s="397"/>
      <c r="BJ115" s="398">
        <v>0.36</v>
      </c>
      <c r="BK115" s="397"/>
      <c r="BL115" s="398">
        <v>0.56999999999999995</v>
      </c>
      <c r="BM115" s="397"/>
      <c r="BN115" s="398"/>
      <c r="BO115" s="397"/>
      <c r="BP115" s="398"/>
      <c r="BQ115" s="397"/>
      <c r="BR115" s="398"/>
      <c r="BS115" s="397"/>
      <c r="BT115" s="398"/>
      <c r="BU115" s="397"/>
      <c r="BV115" s="398"/>
      <c r="BW115" s="397"/>
      <c r="BX115" s="398"/>
      <c r="BY115" s="397"/>
      <c r="BZ115" s="398"/>
      <c r="CA115" s="397"/>
      <c r="CB115" s="398"/>
      <c r="CC115" s="397"/>
      <c r="CD115" s="398"/>
      <c r="CE115" s="397"/>
      <c r="CF115" s="398"/>
      <c r="CG115" s="397"/>
      <c r="CH115" s="417"/>
      <c r="CI115" s="418"/>
      <c r="CJ115" s="419"/>
      <c r="CK115" s="409">
        <f>CH114*AL115</f>
        <v>111520080</v>
      </c>
      <c r="CL115" s="410"/>
      <c r="CM115" s="411"/>
      <c r="CN115" s="412">
        <f>+CK115</f>
        <v>111520080</v>
      </c>
      <c r="CO115" s="410"/>
      <c r="CP115" s="413"/>
      <c r="CQ115" s="394"/>
      <c r="CR115" s="394"/>
      <c r="CS115" s="394"/>
      <c r="CT115" s="121"/>
      <c r="CU115" s="121"/>
      <c r="CV115" s="121"/>
      <c r="CW115" s="122"/>
      <c r="CX115" s="122"/>
      <c r="CY115" s="122"/>
      <c r="CZ115" s="122"/>
      <c r="DA115" s="122"/>
      <c r="DB115" s="121"/>
      <c r="DC115" s="121"/>
      <c r="DD115" s="121"/>
      <c r="DE115" s="121"/>
      <c r="DF115" s="123"/>
      <c r="DG115" s="123"/>
      <c r="DH115" s="123"/>
      <c r="DI115" s="123"/>
      <c r="DJ115" s="394"/>
      <c r="DK115" s="394"/>
      <c r="DL115" s="394"/>
      <c r="DM115" s="394"/>
      <c r="DN115" s="394"/>
      <c r="DO115" s="394"/>
      <c r="DP115" s="394"/>
      <c r="DQ115" s="394"/>
      <c r="DR115" s="394"/>
      <c r="DS115" s="394"/>
      <c r="DT115" s="394"/>
      <c r="DU115" s="394"/>
      <c r="DV115" s="394"/>
      <c r="DW115" s="394"/>
      <c r="DX115" s="394"/>
      <c r="DY115" s="394"/>
      <c r="DZ115" s="394"/>
      <c r="EA115" s="394"/>
      <c r="EB115" s="157" t="s">
        <v>148</v>
      </c>
      <c r="EC115" s="157" t="s">
        <v>144</v>
      </c>
      <c r="ED115" s="157" t="s">
        <v>152</v>
      </c>
    </row>
    <row r="116" spans="1:138" s="124" customFormat="1" ht="21" customHeight="1">
      <c r="A116" s="117" t="str">
        <f t="shared" ref="A116" si="26">B116</f>
        <v>내부</v>
      </c>
      <c r="B116" s="388" t="s">
        <v>106</v>
      </c>
      <c r="C116" s="389"/>
      <c r="D116" s="390"/>
      <c r="E116" s="388" t="s">
        <v>226</v>
      </c>
      <c r="F116" s="389"/>
      <c r="G116" s="389"/>
      <c r="H116" s="389"/>
      <c r="I116" s="390"/>
      <c r="J116" s="388"/>
      <c r="K116" s="389"/>
      <c r="L116" s="389"/>
      <c r="M116" s="389"/>
      <c r="N116" s="390"/>
      <c r="O116" s="388" t="s">
        <v>258</v>
      </c>
      <c r="P116" s="389"/>
      <c r="Q116" s="389"/>
      <c r="R116" s="389"/>
      <c r="S116" s="389"/>
      <c r="T116" s="389"/>
      <c r="U116" s="389"/>
      <c r="V116" s="389"/>
      <c r="W116" s="389"/>
      <c r="X116" s="390"/>
      <c r="Y116" s="379"/>
      <c r="Z116" s="383"/>
      <c r="AA116" s="383"/>
      <c r="AB116" s="380"/>
      <c r="AC116" s="379" t="s">
        <v>141</v>
      </c>
      <c r="AD116" s="380"/>
      <c r="AE116" s="379" t="s">
        <v>278</v>
      </c>
      <c r="AF116" s="380"/>
      <c r="AG116" s="379" t="s">
        <v>272</v>
      </c>
      <c r="AH116" s="383"/>
      <c r="AI116" s="380"/>
      <c r="AJ116" s="385" t="s">
        <v>18</v>
      </c>
      <c r="AK116" s="386"/>
      <c r="AL116" s="387">
        <f>SUM(AP116:CG116)</f>
        <v>9.5</v>
      </c>
      <c r="AM116" s="375"/>
      <c r="AN116" s="376"/>
      <c r="AO116" s="377"/>
      <c r="AP116" s="378"/>
      <c r="AQ116" s="375"/>
      <c r="AR116" s="374">
        <v>1</v>
      </c>
      <c r="AS116" s="375"/>
      <c r="AT116" s="374">
        <v>1</v>
      </c>
      <c r="AU116" s="375"/>
      <c r="AV116" s="374">
        <v>1</v>
      </c>
      <c r="AW116" s="375"/>
      <c r="AX116" s="374">
        <v>1</v>
      </c>
      <c r="AY116" s="375"/>
      <c r="AZ116" s="374">
        <v>1</v>
      </c>
      <c r="BA116" s="375"/>
      <c r="BB116" s="374">
        <v>1</v>
      </c>
      <c r="BC116" s="375"/>
      <c r="BD116" s="374">
        <v>1</v>
      </c>
      <c r="BE116" s="375"/>
      <c r="BF116" s="374">
        <v>1</v>
      </c>
      <c r="BG116" s="375"/>
      <c r="BH116" s="374">
        <v>1</v>
      </c>
      <c r="BI116" s="375"/>
      <c r="BJ116" s="374">
        <v>0.5</v>
      </c>
      <c r="BK116" s="375"/>
      <c r="BL116" s="374"/>
      <c r="BM116" s="375"/>
      <c r="BN116" s="374"/>
      <c r="BO116" s="375"/>
      <c r="BP116" s="374"/>
      <c r="BQ116" s="375"/>
      <c r="BR116" s="374"/>
      <c r="BS116" s="375"/>
      <c r="BT116" s="374"/>
      <c r="BU116" s="375"/>
      <c r="BV116" s="374"/>
      <c r="BW116" s="375"/>
      <c r="BX116" s="374"/>
      <c r="BY116" s="375"/>
      <c r="BZ116" s="374"/>
      <c r="CA116" s="375"/>
      <c r="CB116" s="374"/>
      <c r="CC116" s="375"/>
      <c r="CD116" s="374"/>
      <c r="CE116" s="375"/>
      <c r="CF116" s="374"/>
      <c r="CG116" s="375"/>
      <c r="CH116" s="414">
        <v>11516000</v>
      </c>
      <c r="CI116" s="415"/>
      <c r="CJ116" s="416"/>
      <c r="CK116" s="402">
        <f>$CH116*AL116</f>
        <v>109402000</v>
      </c>
      <c r="CL116" s="403"/>
      <c r="CM116" s="404"/>
      <c r="CN116" s="405"/>
      <c r="CO116" s="406"/>
      <c r="CP116" s="407"/>
      <c r="CQ116" s="394"/>
      <c r="CR116" s="394"/>
      <c r="CS116" s="394"/>
      <c r="CT116" s="408"/>
      <c r="CU116" s="408"/>
      <c r="CV116" s="121"/>
      <c r="CW116" s="401"/>
      <c r="CX116" s="401"/>
      <c r="CY116" s="401"/>
      <c r="CZ116" s="401"/>
      <c r="DA116" s="401"/>
      <c r="DB116" s="121"/>
      <c r="DC116" s="121"/>
      <c r="DD116" s="121"/>
      <c r="DE116" s="121"/>
      <c r="DF116" s="123"/>
      <c r="DG116" s="123"/>
      <c r="DH116" s="123"/>
      <c r="DI116" s="123"/>
      <c r="DJ116" s="394"/>
      <c r="DK116" s="394"/>
      <c r="DL116" s="394"/>
      <c r="DM116" s="394"/>
      <c r="DN116" s="394"/>
      <c r="DO116" s="394"/>
      <c r="DP116" s="394"/>
      <c r="DQ116" s="394"/>
      <c r="DR116" s="394"/>
      <c r="DS116" s="394"/>
      <c r="DT116" s="394"/>
      <c r="DU116" s="394"/>
      <c r="DV116" s="394"/>
      <c r="DW116" s="394"/>
      <c r="DX116" s="394"/>
      <c r="DY116" s="394"/>
      <c r="DZ116" s="394"/>
      <c r="EA116" s="394"/>
      <c r="EB116" s="157" t="s">
        <v>149</v>
      </c>
      <c r="EC116" s="157" t="s">
        <v>207</v>
      </c>
      <c r="ED116" s="157" t="s">
        <v>153</v>
      </c>
    </row>
    <row r="117" spans="1:138" s="124" customFormat="1" ht="21" customHeight="1">
      <c r="A117" s="117" t="str">
        <f t="shared" ref="A117" si="27">B116</f>
        <v>내부</v>
      </c>
      <c r="B117" s="391"/>
      <c r="C117" s="392"/>
      <c r="D117" s="393"/>
      <c r="E117" s="391"/>
      <c r="F117" s="392"/>
      <c r="G117" s="392"/>
      <c r="H117" s="392"/>
      <c r="I117" s="393"/>
      <c r="J117" s="391"/>
      <c r="K117" s="392"/>
      <c r="L117" s="392"/>
      <c r="M117" s="392"/>
      <c r="N117" s="393"/>
      <c r="O117" s="391"/>
      <c r="P117" s="392"/>
      <c r="Q117" s="392"/>
      <c r="R117" s="392"/>
      <c r="S117" s="392"/>
      <c r="T117" s="392"/>
      <c r="U117" s="392"/>
      <c r="V117" s="392"/>
      <c r="W117" s="392"/>
      <c r="X117" s="393"/>
      <c r="Y117" s="381"/>
      <c r="Z117" s="384"/>
      <c r="AA117" s="384"/>
      <c r="AB117" s="382"/>
      <c r="AC117" s="381"/>
      <c r="AD117" s="382"/>
      <c r="AE117" s="381"/>
      <c r="AF117" s="382"/>
      <c r="AG117" s="381"/>
      <c r="AH117" s="384"/>
      <c r="AI117" s="382"/>
      <c r="AJ117" s="395" t="s">
        <v>19</v>
      </c>
      <c r="AK117" s="386"/>
      <c r="AL117" s="396">
        <f>SUM(AP117:CG117)</f>
        <v>7.7600000000000007</v>
      </c>
      <c r="AM117" s="397"/>
      <c r="AN117" s="398">
        <f>+AL117</f>
        <v>7.7600000000000007</v>
      </c>
      <c r="AO117" s="399"/>
      <c r="AP117" s="400"/>
      <c r="AQ117" s="397"/>
      <c r="AR117" s="398"/>
      <c r="AS117" s="397"/>
      <c r="AT117" s="398">
        <v>0.02</v>
      </c>
      <c r="AU117" s="397"/>
      <c r="AV117" s="398">
        <v>0.4</v>
      </c>
      <c r="AW117" s="397"/>
      <c r="AX117" s="398">
        <v>0.75</v>
      </c>
      <c r="AY117" s="397"/>
      <c r="AZ117" s="398">
        <v>0.95</v>
      </c>
      <c r="BA117" s="397"/>
      <c r="BB117" s="398">
        <v>0.95</v>
      </c>
      <c r="BC117" s="397"/>
      <c r="BD117" s="398">
        <v>0.93</v>
      </c>
      <c r="BE117" s="397"/>
      <c r="BF117" s="398">
        <v>0.98</v>
      </c>
      <c r="BG117" s="397"/>
      <c r="BH117" s="398">
        <v>0.91</v>
      </c>
      <c r="BI117" s="397"/>
      <c r="BJ117" s="398">
        <v>0.95</v>
      </c>
      <c r="BK117" s="397"/>
      <c r="BL117" s="398">
        <v>0.92</v>
      </c>
      <c r="BM117" s="397"/>
      <c r="BN117" s="398"/>
      <c r="BO117" s="397"/>
      <c r="BP117" s="398"/>
      <c r="BQ117" s="397"/>
      <c r="BR117" s="398"/>
      <c r="BS117" s="397"/>
      <c r="BT117" s="398"/>
      <c r="BU117" s="397"/>
      <c r="BV117" s="398"/>
      <c r="BW117" s="397"/>
      <c r="BX117" s="398"/>
      <c r="BY117" s="397"/>
      <c r="BZ117" s="398"/>
      <c r="CA117" s="397"/>
      <c r="CB117" s="398"/>
      <c r="CC117" s="397"/>
      <c r="CD117" s="398"/>
      <c r="CE117" s="397"/>
      <c r="CF117" s="398"/>
      <c r="CG117" s="397"/>
      <c r="CH117" s="417"/>
      <c r="CI117" s="418"/>
      <c r="CJ117" s="419"/>
      <c r="CK117" s="409">
        <f>CH116*AL117+140</f>
        <v>89364300.000000015</v>
      </c>
      <c r="CL117" s="410"/>
      <c r="CM117" s="411"/>
      <c r="CN117" s="412">
        <f>+CK117</f>
        <v>89364300.000000015</v>
      </c>
      <c r="CO117" s="410"/>
      <c r="CP117" s="413"/>
      <c r="CQ117" s="394"/>
      <c r="CR117" s="394"/>
      <c r="CS117" s="394"/>
      <c r="CT117" s="121"/>
      <c r="CU117" s="121"/>
      <c r="CV117" s="121"/>
      <c r="CW117" s="122"/>
      <c r="CX117" s="122"/>
      <c r="CY117" s="122"/>
      <c r="CZ117" s="122"/>
      <c r="DA117" s="122"/>
      <c r="DB117" s="121"/>
      <c r="DC117" s="121"/>
      <c r="DD117" s="121"/>
      <c r="DE117" s="121"/>
      <c r="DF117" s="123"/>
      <c r="DG117" s="123"/>
      <c r="DH117" s="123"/>
      <c r="DI117" s="123"/>
      <c r="DJ117" s="394"/>
      <c r="DK117" s="394"/>
      <c r="DL117" s="394"/>
      <c r="DM117" s="394"/>
      <c r="DN117" s="394"/>
      <c r="DO117" s="394"/>
      <c r="DP117" s="394"/>
      <c r="DQ117" s="394"/>
      <c r="DR117" s="394"/>
      <c r="DS117" s="394"/>
      <c r="DT117" s="394"/>
      <c r="DU117" s="394"/>
      <c r="DV117" s="394"/>
      <c r="DW117" s="394"/>
      <c r="DX117" s="394"/>
      <c r="DY117" s="394"/>
      <c r="DZ117" s="394"/>
      <c r="EA117" s="394"/>
      <c r="EB117" s="157" t="s">
        <v>150</v>
      </c>
      <c r="EC117" s="157" t="s">
        <v>208</v>
      </c>
      <c r="ED117" s="157" t="s">
        <v>154</v>
      </c>
    </row>
    <row r="118" spans="1:138" s="124" customFormat="1" ht="21" customHeight="1">
      <c r="A118" s="117" t="str">
        <f t="shared" ref="A118" si="28">B118</f>
        <v>내부</v>
      </c>
      <c r="B118" s="388" t="s">
        <v>106</v>
      </c>
      <c r="C118" s="389"/>
      <c r="D118" s="390"/>
      <c r="E118" s="388" t="s">
        <v>226</v>
      </c>
      <c r="F118" s="389"/>
      <c r="G118" s="389"/>
      <c r="H118" s="389"/>
      <c r="I118" s="390"/>
      <c r="J118" s="388"/>
      <c r="K118" s="389"/>
      <c r="L118" s="389"/>
      <c r="M118" s="389"/>
      <c r="N118" s="390"/>
      <c r="O118" s="388" t="s">
        <v>281</v>
      </c>
      <c r="P118" s="389"/>
      <c r="Q118" s="389"/>
      <c r="R118" s="389"/>
      <c r="S118" s="389"/>
      <c r="T118" s="389"/>
      <c r="U118" s="389"/>
      <c r="V118" s="389"/>
      <c r="W118" s="389"/>
      <c r="X118" s="390"/>
      <c r="Y118" s="379"/>
      <c r="Z118" s="383"/>
      <c r="AA118" s="383"/>
      <c r="AB118" s="380"/>
      <c r="AC118" s="379" t="s">
        <v>141</v>
      </c>
      <c r="AD118" s="380"/>
      <c r="AE118" s="379" t="s">
        <v>230</v>
      </c>
      <c r="AF118" s="380"/>
      <c r="AG118" s="379" t="s">
        <v>273</v>
      </c>
      <c r="AH118" s="383"/>
      <c r="AI118" s="380"/>
      <c r="AJ118" s="385" t="s">
        <v>18</v>
      </c>
      <c r="AK118" s="386"/>
      <c r="AL118" s="387">
        <f>SUM(AP118:CG118)</f>
        <v>9.5</v>
      </c>
      <c r="AM118" s="375"/>
      <c r="AN118" s="376"/>
      <c r="AO118" s="377"/>
      <c r="AP118" s="378"/>
      <c r="AQ118" s="375"/>
      <c r="AR118" s="374">
        <v>1</v>
      </c>
      <c r="AS118" s="375"/>
      <c r="AT118" s="374">
        <v>1</v>
      </c>
      <c r="AU118" s="375"/>
      <c r="AV118" s="374">
        <v>1</v>
      </c>
      <c r="AW118" s="375"/>
      <c r="AX118" s="374">
        <v>1</v>
      </c>
      <c r="AY118" s="375"/>
      <c r="AZ118" s="374">
        <v>1</v>
      </c>
      <c r="BA118" s="375"/>
      <c r="BB118" s="374">
        <v>1</v>
      </c>
      <c r="BC118" s="375"/>
      <c r="BD118" s="374">
        <v>1</v>
      </c>
      <c r="BE118" s="375"/>
      <c r="BF118" s="374">
        <v>1</v>
      </c>
      <c r="BG118" s="375"/>
      <c r="BH118" s="374">
        <v>1</v>
      </c>
      <c r="BI118" s="375"/>
      <c r="BJ118" s="374">
        <v>0.5</v>
      </c>
      <c r="BK118" s="375"/>
      <c r="BL118" s="374"/>
      <c r="BM118" s="375"/>
      <c r="BN118" s="374"/>
      <c r="BO118" s="375"/>
      <c r="BP118" s="374"/>
      <c r="BQ118" s="375"/>
      <c r="BR118" s="374"/>
      <c r="BS118" s="375"/>
      <c r="BT118" s="374"/>
      <c r="BU118" s="375"/>
      <c r="BV118" s="374"/>
      <c r="BW118" s="375"/>
      <c r="BX118" s="374"/>
      <c r="BY118" s="375"/>
      <c r="BZ118" s="374"/>
      <c r="CA118" s="375"/>
      <c r="CB118" s="374"/>
      <c r="CC118" s="375"/>
      <c r="CD118" s="374"/>
      <c r="CE118" s="375"/>
      <c r="CF118" s="374"/>
      <c r="CG118" s="375"/>
      <c r="CH118" s="414">
        <v>10641000</v>
      </c>
      <c r="CI118" s="415"/>
      <c r="CJ118" s="416"/>
      <c r="CK118" s="402">
        <f>$CH118*AL118</f>
        <v>101089500</v>
      </c>
      <c r="CL118" s="403"/>
      <c r="CM118" s="404"/>
      <c r="CN118" s="405"/>
      <c r="CO118" s="406"/>
      <c r="CP118" s="407"/>
      <c r="CQ118" s="394"/>
      <c r="CR118" s="394"/>
      <c r="CS118" s="394"/>
      <c r="CT118" s="408"/>
      <c r="CU118" s="408"/>
      <c r="CV118" s="121"/>
      <c r="CW118" s="401"/>
      <c r="CX118" s="401"/>
      <c r="CY118" s="401"/>
      <c r="CZ118" s="401"/>
      <c r="DA118" s="401"/>
      <c r="DB118" s="121"/>
      <c r="DC118" s="121"/>
      <c r="DD118" s="121"/>
      <c r="DE118" s="121"/>
      <c r="DF118" s="123"/>
      <c r="DG118" s="123"/>
      <c r="DH118" s="123"/>
      <c r="DI118" s="123"/>
      <c r="DJ118" s="394"/>
      <c r="DK118" s="394"/>
      <c r="DL118" s="394"/>
      <c r="DM118" s="394"/>
      <c r="DN118" s="394"/>
      <c r="DO118" s="394"/>
      <c r="DP118" s="394"/>
      <c r="DQ118" s="394"/>
      <c r="DR118" s="394"/>
      <c r="DS118" s="394"/>
      <c r="DT118" s="394"/>
      <c r="DU118" s="394"/>
      <c r="DV118" s="394"/>
      <c r="DW118" s="394"/>
      <c r="DX118" s="394"/>
      <c r="DY118" s="394"/>
      <c r="DZ118" s="394"/>
      <c r="EA118" s="394"/>
      <c r="EB118" s="157"/>
      <c r="EC118" s="157" t="s">
        <v>209</v>
      </c>
      <c r="ED118" s="157" t="s">
        <v>155</v>
      </c>
    </row>
    <row r="119" spans="1:138" s="124" customFormat="1" ht="21" customHeight="1">
      <c r="A119" s="117" t="str">
        <f t="shared" ref="A119" si="29">B118</f>
        <v>내부</v>
      </c>
      <c r="B119" s="391"/>
      <c r="C119" s="392"/>
      <c r="D119" s="393"/>
      <c r="E119" s="391"/>
      <c r="F119" s="392"/>
      <c r="G119" s="392"/>
      <c r="H119" s="392"/>
      <c r="I119" s="393"/>
      <c r="J119" s="391"/>
      <c r="K119" s="392"/>
      <c r="L119" s="392"/>
      <c r="M119" s="392"/>
      <c r="N119" s="393"/>
      <c r="O119" s="391"/>
      <c r="P119" s="392"/>
      <c r="Q119" s="392"/>
      <c r="R119" s="392"/>
      <c r="S119" s="392"/>
      <c r="T119" s="392"/>
      <c r="U119" s="392"/>
      <c r="V119" s="392"/>
      <c r="W119" s="392"/>
      <c r="X119" s="393"/>
      <c r="Y119" s="381"/>
      <c r="Z119" s="384"/>
      <c r="AA119" s="384"/>
      <c r="AB119" s="382"/>
      <c r="AC119" s="381"/>
      <c r="AD119" s="382"/>
      <c r="AE119" s="381"/>
      <c r="AF119" s="382"/>
      <c r="AG119" s="381"/>
      <c r="AH119" s="384"/>
      <c r="AI119" s="382"/>
      <c r="AJ119" s="395" t="s">
        <v>19</v>
      </c>
      <c r="AK119" s="386"/>
      <c r="AL119" s="396">
        <f>SUM(AP119:CG119)</f>
        <v>8.31</v>
      </c>
      <c r="AM119" s="397"/>
      <c r="AN119" s="398">
        <f>+AL119</f>
        <v>8.31</v>
      </c>
      <c r="AO119" s="399"/>
      <c r="AP119" s="400"/>
      <c r="AQ119" s="397"/>
      <c r="AR119" s="398"/>
      <c r="AS119" s="397"/>
      <c r="AT119" s="398">
        <v>0.03</v>
      </c>
      <c r="AU119" s="397"/>
      <c r="AV119" s="398">
        <v>0.36</v>
      </c>
      <c r="AW119" s="397"/>
      <c r="AX119" s="398">
        <v>1</v>
      </c>
      <c r="AY119" s="397"/>
      <c r="AZ119" s="398">
        <v>0.97</v>
      </c>
      <c r="BA119" s="397"/>
      <c r="BB119" s="398">
        <v>1</v>
      </c>
      <c r="BC119" s="397"/>
      <c r="BD119" s="398">
        <v>1</v>
      </c>
      <c r="BE119" s="397"/>
      <c r="BF119" s="398">
        <v>1</v>
      </c>
      <c r="BG119" s="397"/>
      <c r="BH119" s="398">
        <v>0.95</v>
      </c>
      <c r="BI119" s="397"/>
      <c r="BJ119" s="398">
        <v>1</v>
      </c>
      <c r="BK119" s="397"/>
      <c r="BL119" s="398">
        <v>1</v>
      </c>
      <c r="BM119" s="397"/>
      <c r="BN119" s="398"/>
      <c r="BO119" s="397"/>
      <c r="BP119" s="398"/>
      <c r="BQ119" s="397"/>
      <c r="BR119" s="398"/>
      <c r="BS119" s="397"/>
      <c r="BT119" s="398"/>
      <c r="BU119" s="397"/>
      <c r="BV119" s="398"/>
      <c r="BW119" s="397"/>
      <c r="BX119" s="398"/>
      <c r="BY119" s="397"/>
      <c r="BZ119" s="398"/>
      <c r="CA119" s="397"/>
      <c r="CB119" s="398"/>
      <c r="CC119" s="397"/>
      <c r="CD119" s="398"/>
      <c r="CE119" s="397"/>
      <c r="CF119" s="398"/>
      <c r="CG119" s="397"/>
      <c r="CH119" s="417"/>
      <c r="CI119" s="418"/>
      <c r="CJ119" s="419"/>
      <c r="CK119" s="409">
        <f>CH118*AL119</f>
        <v>88426710</v>
      </c>
      <c r="CL119" s="410"/>
      <c r="CM119" s="411"/>
      <c r="CN119" s="412">
        <f>+CK119</f>
        <v>88426710</v>
      </c>
      <c r="CO119" s="410"/>
      <c r="CP119" s="413"/>
      <c r="CQ119" s="394"/>
      <c r="CR119" s="394"/>
      <c r="CS119" s="394"/>
      <c r="CT119" s="121"/>
      <c r="CU119" s="121"/>
      <c r="CV119" s="121"/>
      <c r="CW119" s="122"/>
      <c r="CX119" s="122"/>
      <c r="CY119" s="122"/>
      <c r="CZ119" s="122"/>
      <c r="DA119" s="122"/>
      <c r="DB119" s="121"/>
      <c r="DC119" s="121"/>
      <c r="DD119" s="121"/>
      <c r="DE119" s="121"/>
      <c r="DF119" s="123"/>
      <c r="DG119" s="123"/>
      <c r="DH119" s="123"/>
      <c r="DI119" s="123"/>
      <c r="DJ119" s="394"/>
      <c r="DK119" s="394"/>
      <c r="DL119" s="394"/>
      <c r="DM119" s="394"/>
      <c r="DN119" s="394"/>
      <c r="DO119" s="394"/>
      <c r="DP119" s="394"/>
      <c r="DQ119" s="394"/>
      <c r="DR119" s="394"/>
      <c r="DS119" s="394"/>
      <c r="DT119" s="394"/>
      <c r="DU119" s="394"/>
      <c r="DV119" s="394"/>
      <c r="DW119" s="394"/>
      <c r="DX119" s="394"/>
      <c r="DY119" s="394"/>
      <c r="DZ119" s="394"/>
      <c r="EA119" s="394"/>
      <c r="EB119" s="157"/>
      <c r="EC119" s="157" t="s">
        <v>210</v>
      </c>
      <c r="ED119" s="157" t="s">
        <v>156</v>
      </c>
    </row>
    <row r="120" spans="1:138" s="124" customFormat="1" ht="21" customHeight="1">
      <c r="A120" s="117" t="str">
        <f t="shared" ref="A120" si="30">B120</f>
        <v>내부</v>
      </c>
      <c r="B120" s="388" t="s">
        <v>106</v>
      </c>
      <c r="C120" s="389"/>
      <c r="D120" s="390"/>
      <c r="E120" s="388" t="s">
        <v>226</v>
      </c>
      <c r="F120" s="389"/>
      <c r="G120" s="389"/>
      <c r="H120" s="389"/>
      <c r="I120" s="390"/>
      <c r="J120" s="388"/>
      <c r="K120" s="389"/>
      <c r="L120" s="389"/>
      <c r="M120" s="389"/>
      <c r="N120" s="390"/>
      <c r="O120" s="388" t="s">
        <v>281</v>
      </c>
      <c r="P120" s="389"/>
      <c r="Q120" s="389"/>
      <c r="R120" s="389"/>
      <c r="S120" s="389"/>
      <c r="T120" s="389"/>
      <c r="U120" s="389"/>
      <c r="V120" s="389"/>
      <c r="W120" s="389"/>
      <c r="X120" s="390"/>
      <c r="Y120" s="379"/>
      <c r="Z120" s="383"/>
      <c r="AA120" s="383"/>
      <c r="AB120" s="380"/>
      <c r="AC120" s="379" t="s">
        <v>142</v>
      </c>
      <c r="AD120" s="380"/>
      <c r="AE120" s="379" t="s">
        <v>279</v>
      </c>
      <c r="AF120" s="380"/>
      <c r="AG120" s="379" t="s">
        <v>274</v>
      </c>
      <c r="AH120" s="383"/>
      <c r="AI120" s="380"/>
      <c r="AJ120" s="385" t="s">
        <v>18</v>
      </c>
      <c r="AK120" s="386"/>
      <c r="AL120" s="387">
        <f>SUM(AP120:CG120)</f>
        <v>1</v>
      </c>
      <c r="AM120" s="375"/>
      <c r="AN120" s="376"/>
      <c r="AO120" s="377"/>
      <c r="AP120" s="378"/>
      <c r="AQ120" s="375"/>
      <c r="AR120" s="374">
        <v>1</v>
      </c>
      <c r="AS120" s="375"/>
      <c r="AT120" s="374"/>
      <c r="AU120" s="375"/>
      <c r="AV120" s="374"/>
      <c r="AW120" s="375"/>
      <c r="AX120" s="374"/>
      <c r="AY120" s="375"/>
      <c r="AZ120" s="374"/>
      <c r="BA120" s="375"/>
      <c r="BB120" s="374"/>
      <c r="BC120" s="375"/>
      <c r="BD120" s="374"/>
      <c r="BE120" s="375"/>
      <c r="BF120" s="374"/>
      <c r="BG120" s="375"/>
      <c r="BH120" s="374"/>
      <c r="BI120" s="375"/>
      <c r="BJ120" s="374"/>
      <c r="BK120" s="375"/>
      <c r="BL120" s="374"/>
      <c r="BM120" s="375"/>
      <c r="BN120" s="374"/>
      <c r="BO120" s="375"/>
      <c r="BP120" s="374"/>
      <c r="BQ120" s="375"/>
      <c r="BR120" s="374"/>
      <c r="BS120" s="375"/>
      <c r="BT120" s="374"/>
      <c r="BU120" s="375"/>
      <c r="BV120" s="374"/>
      <c r="BW120" s="375"/>
      <c r="BX120" s="374"/>
      <c r="BY120" s="375"/>
      <c r="BZ120" s="374"/>
      <c r="CA120" s="375"/>
      <c r="CB120" s="374"/>
      <c r="CC120" s="375"/>
      <c r="CD120" s="374"/>
      <c r="CE120" s="375"/>
      <c r="CF120" s="374"/>
      <c r="CG120" s="375"/>
      <c r="CH120" s="414">
        <v>10016000</v>
      </c>
      <c r="CI120" s="415"/>
      <c r="CJ120" s="416"/>
      <c r="CK120" s="402">
        <f>$CH120*AL120</f>
        <v>10016000</v>
      </c>
      <c r="CL120" s="403"/>
      <c r="CM120" s="404"/>
      <c r="CN120" s="405"/>
      <c r="CO120" s="406"/>
      <c r="CP120" s="407"/>
      <c r="CQ120" s="394"/>
      <c r="CR120" s="394"/>
      <c r="CS120" s="394"/>
      <c r="CT120" s="408"/>
      <c r="CU120" s="408"/>
      <c r="CV120" s="121"/>
      <c r="CW120" s="401"/>
      <c r="CX120" s="401"/>
      <c r="CY120" s="401"/>
      <c r="CZ120" s="401"/>
      <c r="DA120" s="401"/>
      <c r="DB120" s="121"/>
      <c r="DC120" s="121"/>
      <c r="DD120" s="121"/>
      <c r="DE120" s="121"/>
      <c r="DF120" s="123"/>
      <c r="DG120" s="123"/>
      <c r="DH120" s="123"/>
      <c r="DI120" s="123"/>
      <c r="DJ120" s="394"/>
      <c r="DK120" s="394"/>
      <c r="DL120" s="394"/>
      <c r="DM120" s="394"/>
      <c r="DN120" s="394"/>
      <c r="DO120" s="394"/>
      <c r="DP120" s="394"/>
      <c r="DQ120" s="394"/>
      <c r="DR120" s="394"/>
      <c r="DS120" s="394"/>
      <c r="DT120" s="394"/>
      <c r="DU120" s="394"/>
      <c r="DV120" s="394"/>
      <c r="DW120" s="394"/>
      <c r="DX120" s="394"/>
      <c r="DY120" s="394"/>
      <c r="DZ120" s="394"/>
      <c r="EA120" s="394"/>
      <c r="EB120" s="157"/>
      <c r="EC120" s="157" t="s">
        <v>145</v>
      </c>
      <c r="ED120" s="157" t="s">
        <v>157</v>
      </c>
    </row>
    <row r="121" spans="1:138" s="124" customFormat="1" ht="21" customHeight="1">
      <c r="A121" s="117" t="str">
        <f t="shared" ref="A121" si="31">B120</f>
        <v>내부</v>
      </c>
      <c r="B121" s="391"/>
      <c r="C121" s="392"/>
      <c r="D121" s="393"/>
      <c r="E121" s="391"/>
      <c r="F121" s="392"/>
      <c r="G121" s="392"/>
      <c r="H121" s="392"/>
      <c r="I121" s="393"/>
      <c r="J121" s="391"/>
      <c r="K121" s="392"/>
      <c r="L121" s="392"/>
      <c r="M121" s="392"/>
      <c r="N121" s="393"/>
      <c r="O121" s="391"/>
      <c r="P121" s="392"/>
      <c r="Q121" s="392"/>
      <c r="R121" s="392"/>
      <c r="S121" s="392"/>
      <c r="T121" s="392"/>
      <c r="U121" s="392"/>
      <c r="V121" s="392"/>
      <c r="W121" s="392"/>
      <c r="X121" s="393"/>
      <c r="Y121" s="381"/>
      <c r="Z121" s="384"/>
      <c r="AA121" s="384"/>
      <c r="AB121" s="382"/>
      <c r="AC121" s="381"/>
      <c r="AD121" s="382"/>
      <c r="AE121" s="381"/>
      <c r="AF121" s="382"/>
      <c r="AG121" s="381"/>
      <c r="AH121" s="384"/>
      <c r="AI121" s="382"/>
      <c r="AJ121" s="395" t="s">
        <v>19</v>
      </c>
      <c r="AK121" s="386"/>
      <c r="AL121" s="396">
        <f>SUM(AP121:CG121)</f>
        <v>0.01</v>
      </c>
      <c r="AM121" s="397"/>
      <c r="AN121" s="398">
        <f>+AL121</f>
        <v>0.01</v>
      </c>
      <c r="AO121" s="399"/>
      <c r="AP121" s="400"/>
      <c r="AQ121" s="397"/>
      <c r="AR121" s="398"/>
      <c r="AS121" s="397"/>
      <c r="AT121" s="398"/>
      <c r="AU121" s="397"/>
      <c r="AV121" s="398"/>
      <c r="AW121" s="397"/>
      <c r="AX121" s="398">
        <v>0.01</v>
      </c>
      <c r="AY121" s="397"/>
      <c r="AZ121" s="398"/>
      <c r="BA121" s="397"/>
      <c r="BB121" s="398"/>
      <c r="BC121" s="397"/>
      <c r="BD121" s="398"/>
      <c r="BE121" s="397"/>
      <c r="BF121" s="398"/>
      <c r="BG121" s="397"/>
      <c r="BH121" s="398"/>
      <c r="BI121" s="397"/>
      <c r="BJ121" s="398"/>
      <c r="BK121" s="397"/>
      <c r="BL121" s="398"/>
      <c r="BM121" s="397"/>
      <c r="BN121" s="398"/>
      <c r="BO121" s="397"/>
      <c r="BP121" s="398"/>
      <c r="BQ121" s="397"/>
      <c r="BR121" s="398"/>
      <c r="BS121" s="397"/>
      <c r="BT121" s="398"/>
      <c r="BU121" s="397"/>
      <c r="BV121" s="398"/>
      <c r="BW121" s="397"/>
      <c r="BX121" s="398"/>
      <c r="BY121" s="397"/>
      <c r="BZ121" s="398"/>
      <c r="CA121" s="397"/>
      <c r="CB121" s="398"/>
      <c r="CC121" s="397"/>
      <c r="CD121" s="398"/>
      <c r="CE121" s="397"/>
      <c r="CF121" s="398"/>
      <c r="CG121" s="397"/>
      <c r="CH121" s="417"/>
      <c r="CI121" s="418"/>
      <c r="CJ121" s="419"/>
      <c r="CK121" s="409">
        <f>CH120*AL121+140</f>
        <v>100300</v>
      </c>
      <c r="CL121" s="410"/>
      <c r="CM121" s="411"/>
      <c r="CN121" s="412">
        <f>+CK121</f>
        <v>100300</v>
      </c>
      <c r="CO121" s="410"/>
      <c r="CP121" s="413"/>
      <c r="CQ121" s="394"/>
      <c r="CR121" s="394"/>
      <c r="CS121" s="394"/>
      <c r="CT121" s="121"/>
      <c r="CU121" s="121"/>
      <c r="CV121" s="121"/>
      <c r="CW121" s="122"/>
      <c r="CX121" s="122"/>
      <c r="CY121" s="122"/>
      <c r="CZ121" s="122"/>
      <c r="DA121" s="122"/>
      <c r="DB121" s="121"/>
      <c r="DC121" s="121"/>
      <c r="DD121" s="121"/>
      <c r="DE121" s="121"/>
      <c r="DF121" s="123"/>
      <c r="DG121" s="123"/>
      <c r="DH121" s="123"/>
      <c r="DI121" s="123"/>
      <c r="DJ121" s="394"/>
      <c r="DK121" s="394"/>
      <c r="DL121" s="394"/>
      <c r="DM121" s="394"/>
      <c r="DN121" s="394"/>
      <c r="DO121" s="394"/>
      <c r="DP121" s="394"/>
      <c r="DQ121" s="394"/>
      <c r="DR121" s="394"/>
      <c r="DS121" s="394"/>
      <c r="DT121" s="394"/>
      <c r="DU121" s="394"/>
      <c r="DV121" s="394"/>
      <c r="DW121" s="394"/>
      <c r="DX121" s="394"/>
      <c r="DY121" s="394"/>
      <c r="DZ121" s="394"/>
      <c r="EA121" s="394"/>
      <c r="EB121" s="157"/>
      <c r="EC121" s="157" t="s">
        <v>146</v>
      </c>
      <c r="ED121" s="157" t="s">
        <v>158</v>
      </c>
    </row>
    <row r="122" spans="1:138" s="124" customFormat="1" ht="21" customHeight="1">
      <c r="A122" s="117" t="str">
        <f t="shared" ref="A122" si="32">B122</f>
        <v>내부</v>
      </c>
      <c r="B122" s="388" t="s">
        <v>106</v>
      </c>
      <c r="C122" s="389"/>
      <c r="D122" s="390"/>
      <c r="E122" s="388" t="s">
        <v>226</v>
      </c>
      <c r="F122" s="389"/>
      <c r="G122" s="389"/>
      <c r="H122" s="389"/>
      <c r="I122" s="390"/>
      <c r="J122" s="388"/>
      <c r="K122" s="389"/>
      <c r="L122" s="389"/>
      <c r="M122" s="389"/>
      <c r="N122" s="390"/>
      <c r="O122" s="388" t="s">
        <v>281</v>
      </c>
      <c r="P122" s="389"/>
      <c r="Q122" s="389"/>
      <c r="R122" s="389"/>
      <c r="S122" s="389"/>
      <c r="T122" s="389"/>
      <c r="U122" s="389"/>
      <c r="V122" s="389"/>
      <c r="W122" s="389"/>
      <c r="X122" s="390"/>
      <c r="Y122" s="379"/>
      <c r="Z122" s="383"/>
      <c r="AA122" s="383"/>
      <c r="AB122" s="380"/>
      <c r="AC122" s="379" t="s">
        <v>141</v>
      </c>
      <c r="AD122" s="380"/>
      <c r="AE122" s="379" t="s">
        <v>229</v>
      </c>
      <c r="AF122" s="380"/>
      <c r="AG122" s="379" t="s">
        <v>275</v>
      </c>
      <c r="AH122" s="383"/>
      <c r="AI122" s="380"/>
      <c r="AJ122" s="385" t="s">
        <v>18</v>
      </c>
      <c r="AK122" s="386"/>
      <c r="AL122" s="387">
        <f>SUM(AP122:CG122)</f>
        <v>1</v>
      </c>
      <c r="AM122" s="375"/>
      <c r="AN122" s="376"/>
      <c r="AO122" s="377"/>
      <c r="AP122" s="378"/>
      <c r="AQ122" s="375"/>
      <c r="AR122" s="374"/>
      <c r="AS122" s="375"/>
      <c r="AT122" s="374"/>
      <c r="AU122" s="375"/>
      <c r="AV122" s="374">
        <v>1</v>
      </c>
      <c r="AW122" s="375"/>
      <c r="AX122" s="374"/>
      <c r="AY122" s="375"/>
      <c r="AZ122" s="374"/>
      <c r="BA122" s="375"/>
      <c r="BB122" s="374"/>
      <c r="BC122" s="375"/>
      <c r="BD122" s="374"/>
      <c r="BE122" s="375"/>
      <c r="BF122" s="374"/>
      <c r="BG122" s="375"/>
      <c r="BH122" s="374"/>
      <c r="BI122" s="375"/>
      <c r="BJ122" s="374"/>
      <c r="BK122" s="375"/>
      <c r="BL122" s="374"/>
      <c r="BM122" s="375"/>
      <c r="BN122" s="374"/>
      <c r="BO122" s="375"/>
      <c r="BP122" s="374"/>
      <c r="BQ122" s="375"/>
      <c r="BR122" s="374"/>
      <c r="BS122" s="375"/>
      <c r="BT122" s="374"/>
      <c r="BU122" s="375"/>
      <c r="BV122" s="374"/>
      <c r="BW122" s="375"/>
      <c r="BX122" s="374"/>
      <c r="BY122" s="375"/>
      <c r="BZ122" s="374"/>
      <c r="CA122" s="375"/>
      <c r="CB122" s="374"/>
      <c r="CC122" s="375"/>
      <c r="CD122" s="374"/>
      <c r="CE122" s="375"/>
      <c r="CF122" s="374"/>
      <c r="CG122" s="375"/>
      <c r="CH122" s="414">
        <v>12391000</v>
      </c>
      <c r="CI122" s="415"/>
      <c r="CJ122" s="416"/>
      <c r="CK122" s="402">
        <f>$CH122*AL122</f>
        <v>12391000</v>
      </c>
      <c r="CL122" s="403"/>
      <c r="CM122" s="404"/>
      <c r="CN122" s="405"/>
      <c r="CO122" s="406"/>
      <c r="CP122" s="407"/>
      <c r="CQ122" s="394"/>
      <c r="CR122" s="394"/>
      <c r="CS122" s="394"/>
      <c r="CT122" s="408"/>
      <c r="CU122" s="408"/>
      <c r="CV122" s="121"/>
      <c r="CW122" s="401"/>
      <c r="CX122" s="401"/>
      <c r="CY122" s="401"/>
      <c r="CZ122" s="401"/>
      <c r="DA122" s="401"/>
      <c r="DB122" s="121"/>
      <c r="DC122" s="121"/>
      <c r="DD122" s="121"/>
      <c r="DE122" s="121"/>
      <c r="DF122" s="123"/>
      <c r="DG122" s="123"/>
      <c r="DH122" s="123"/>
      <c r="DI122" s="123"/>
      <c r="DJ122" s="394"/>
      <c r="DK122" s="394"/>
      <c r="DL122" s="394"/>
      <c r="DM122" s="394"/>
      <c r="DN122" s="394"/>
      <c r="DO122" s="394"/>
      <c r="DP122" s="394"/>
      <c r="DQ122" s="394"/>
      <c r="DR122" s="394"/>
      <c r="DS122" s="394"/>
      <c r="DT122" s="394"/>
      <c r="DU122" s="394"/>
      <c r="DV122" s="394"/>
      <c r="DW122" s="394"/>
      <c r="DX122" s="394"/>
      <c r="DY122" s="394"/>
      <c r="DZ122" s="394"/>
      <c r="EA122" s="394"/>
      <c r="EB122" s="157"/>
      <c r="EC122" s="157" t="s">
        <v>209</v>
      </c>
      <c r="ED122" s="157" t="s">
        <v>155</v>
      </c>
    </row>
    <row r="123" spans="1:138" s="124" customFormat="1" ht="21" customHeight="1">
      <c r="A123" s="117" t="str">
        <f t="shared" ref="A123" si="33">B122</f>
        <v>내부</v>
      </c>
      <c r="B123" s="391"/>
      <c r="C123" s="392"/>
      <c r="D123" s="393"/>
      <c r="E123" s="391"/>
      <c r="F123" s="392"/>
      <c r="G123" s="392"/>
      <c r="H123" s="392"/>
      <c r="I123" s="393"/>
      <c r="J123" s="391"/>
      <c r="K123" s="392"/>
      <c r="L123" s="392"/>
      <c r="M123" s="392"/>
      <c r="N123" s="393"/>
      <c r="O123" s="391"/>
      <c r="P123" s="392"/>
      <c r="Q123" s="392"/>
      <c r="R123" s="392"/>
      <c r="S123" s="392"/>
      <c r="T123" s="392"/>
      <c r="U123" s="392"/>
      <c r="V123" s="392"/>
      <c r="W123" s="392"/>
      <c r="X123" s="393"/>
      <c r="Y123" s="381"/>
      <c r="Z123" s="384"/>
      <c r="AA123" s="384"/>
      <c r="AB123" s="382"/>
      <c r="AC123" s="381"/>
      <c r="AD123" s="382"/>
      <c r="AE123" s="381"/>
      <c r="AF123" s="382"/>
      <c r="AG123" s="381"/>
      <c r="AH123" s="384"/>
      <c r="AI123" s="382"/>
      <c r="AJ123" s="395" t="s">
        <v>19</v>
      </c>
      <c r="AK123" s="386"/>
      <c r="AL123" s="396">
        <f>SUM(AP123:CG123)</f>
        <v>0</v>
      </c>
      <c r="AM123" s="397"/>
      <c r="AN123" s="398">
        <f>+AL123</f>
        <v>0</v>
      </c>
      <c r="AO123" s="399"/>
      <c r="AP123" s="400"/>
      <c r="AQ123" s="397"/>
      <c r="AR123" s="398"/>
      <c r="AS123" s="397"/>
      <c r="AT123" s="398"/>
      <c r="AU123" s="397"/>
      <c r="AV123" s="398"/>
      <c r="AW123" s="397"/>
      <c r="AX123" s="398"/>
      <c r="AY123" s="397"/>
      <c r="AZ123" s="398"/>
      <c r="BA123" s="397"/>
      <c r="BB123" s="398"/>
      <c r="BC123" s="397"/>
      <c r="BD123" s="398"/>
      <c r="BE123" s="397"/>
      <c r="BF123" s="398"/>
      <c r="BG123" s="397"/>
      <c r="BH123" s="398"/>
      <c r="BI123" s="397"/>
      <c r="BJ123" s="398"/>
      <c r="BK123" s="397"/>
      <c r="BL123" s="398"/>
      <c r="BM123" s="397"/>
      <c r="BN123" s="398"/>
      <c r="BO123" s="397"/>
      <c r="BP123" s="398"/>
      <c r="BQ123" s="397"/>
      <c r="BR123" s="398"/>
      <c r="BS123" s="397"/>
      <c r="BT123" s="398"/>
      <c r="BU123" s="397"/>
      <c r="BV123" s="398"/>
      <c r="BW123" s="397"/>
      <c r="BX123" s="398"/>
      <c r="BY123" s="397"/>
      <c r="BZ123" s="398"/>
      <c r="CA123" s="397"/>
      <c r="CB123" s="398"/>
      <c r="CC123" s="397"/>
      <c r="CD123" s="398"/>
      <c r="CE123" s="397"/>
      <c r="CF123" s="398"/>
      <c r="CG123" s="397"/>
      <c r="CH123" s="417"/>
      <c r="CI123" s="418"/>
      <c r="CJ123" s="419"/>
      <c r="CK123" s="409">
        <f>CH122*AL123</f>
        <v>0</v>
      </c>
      <c r="CL123" s="410"/>
      <c r="CM123" s="411"/>
      <c r="CN123" s="412">
        <f>+CK123</f>
        <v>0</v>
      </c>
      <c r="CO123" s="410"/>
      <c r="CP123" s="413"/>
      <c r="CQ123" s="394"/>
      <c r="CR123" s="394"/>
      <c r="CS123" s="394"/>
      <c r="CT123" s="121"/>
      <c r="CU123" s="121"/>
      <c r="CV123" s="121"/>
      <c r="CW123" s="122"/>
      <c r="CX123" s="122"/>
      <c r="CY123" s="122"/>
      <c r="CZ123" s="122"/>
      <c r="DA123" s="122"/>
      <c r="DB123" s="121"/>
      <c r="DC123" s="121"/>
      <c r="DD123" s="121"/>
      <c r="DE123" s="121"/>
      <c r="DF123" s="123"/>
      <c r="DG123" s="123"/>
      <c r="DH123" s="123"/>
      <c r="DI123" s="123"/>
      <c r="DJ123" s="394"/>
      <c r="DK123" s="394"/>
      <c r="DL123" s="394"/>
      <c r="DM123" s="394"/>
      <c r="DN123" s="394"/>
      <c r="DO123" s="394"/>
      <c r="DP123" s="394"/>
      <c r="DQ123" s="394"/>
      <c r="DR123" s="394"/>
      <c r="DS123" s="394"/>
      <c r="DT123" s="394"/>
      <c r="DU123" s="394"/>
      <c r="DV123" s="394"/>
      <c r="DW123" s="394"/>
      <c r="DX123" s="394"/>
      <c r="DY123" s="394"/>
      <c r="DZ123" s="394"/>
      <c r="EA123" s="394"/>
      <c r="EB123" s="157"/>
      <c r="EC123" s="157" t="s">
        <v>210</v>
      </c>
      <c r="ED123" s="157" t="s">
        <v>156</v>
      </c>
    </row>
    <row r="124" spans="1:138" s="124" customFormat="1" ht="21" customHeight="1">
      <c r="A124" s="117" t="str">
        <f t="shared" ref="A124" si="34">B124</f>
        <v>내부</v>
      </c>
      <c r="B124" s="388" t="s">
        <v>106</v>
      </c>
      <c r="C124" s="389"/>
      <c r="D124" s="390"/>
      <c r="E124" s="388" t="s">
        <v>226</v>
      </c>
      <c r="F124" s="389"/>
      <c r="G124" s="389"/>
      <c r="H124" s="389"/>
      <c r="I124" s="390"/>
      <c r="J124" s="388"/>
      <c r="K124" s="389"/>
      <c r="L124" s="389"/>
      <c r="M124" s="389"/>
      <c r="N124" s="390"/>
      <c r="O124" s="388" t="s">
        <v>281</v>
      </c>
      <c r="P124" s="389"/>
      <c r="Q124" s="389"/>
      <c r="R124" s="389"/>
      <c r="S124" s="389"/>
      <c r="T124" s="389"/>
      <c r="U124" s="389"/>
      <c r="V124" s="389"/>
      <c r="W124" s="389"/>
      <c r="X124" s="390"/>
      <c r="Y124" s="379"/>
      <c r="Z124" s="383"/>
      <c r="AA124" s="383"/>
      <c r="AB124" s="380"/>
      <c r="AC124" s="379" t="s">
        <v>140</v>
      </c>
      <c r="AD124" s="380"/>
      <c r="AE124" s="379" t="s">
        <v>278</v>
      </c>
      <c r="AF124" s="380"/>
      <c r="AG124" s="379" t="s">
        <v>276</v>
      </c>
      <c r="AH124" s="383"/>
      <c r="AI124" s="380"/>
      <c r="AJ124" s="385" t="s">
        <v>18</v>
      </c>
      <c r="AK124" s="386"/>
      <c r="AL124" s="387">
        <f>SUM(AP124:CG124)</f>
        <v>1.5</v>
      </c>
      <c r="AM124" s="375"/>
      <c r="AN124" s="376"/>
      <c r="AO124" s="377"/>
      <c r="AP124" s="378"/>
      <c r="AQ124" s="375"/>
      <c r="AR124" s="374">
        <v>0.5</v>
      </c>
      <c r="AS124" s="375"/>
      <c r="AT124" s="374">
        <v>1</v>
      </c>
      <c r="AU124" s="375"/>
      <c r="AV124" s="374"/>
      <c r="AW124" s="375"/>
      <c r="AX124" s="374"/>
      <c r="AY124" s="375"/>
      <c r="AZ124" s="374"/>
      <c r="BA124" s="375"/>
      <c r="BB124" s="374"/>
      <c r="BC124" s="375"/>
      <c r="BD124" s="374"/>
      <c r="BE124" s="375"/>
      <c r="BF124" s="374"/>
      <c r="BG124" s="375"/>
      <c r="BH124" s="374"/>
      <c r="BI124" s="375"/>
      <c r="BJ124" s="374"/>
      <c r="BK124" s="375"/>
      <c r="BL124" s="374"/>
      <c r="BM124" s="375"/>
      <c r="BN124" s="374"/>
      <c r="BO124" s="375"/>
      <c r="BP124" s="374"/>
      <c r="BQ124" s="375"/>
      <c r="BR124" s="374"/>
      <c r="BS124" s="375"/>
      <c r="BT124" s="374"/>
      <c r="BU124" s="375"/>
      <c r="BV124" s="374"/>
      <c r="BW124" s="375"/>
      <c r="BX124" s="374"/>
      <c r="BY124" s="375"/>
      <c r="BZ124" s="374"/>
      <c r="CA124" s="375"/>
      <c r="CB124" s="374"/>
      <c r="CC124" s="375"/>
      <c r="CD124" s="374"/>
      <c r="CE124" s="375"/>
      <c r="CF124" s="374"/>
      <c r="CG124" s="375"/>
      <c r="CH124" s="414">
        <v>11516000</v>
      </c>
      <c r="CI124" s="415"/>
      <c r="CJ124" s="416"/>
      <c r="CK124" s="402">
        <f>$CH124*AL124</f>
        <v>17274000</v>
      </c>
      <c r="CL124" s="403"/>
      <c r="CM124" s="404"/>
      <c r="CN124" s="405"/>
      <c r="CO124" s="406"/>
      <c r="CP124" s="407"/>
      <c r="CQ124" s="394"/>
      <c r="CR124" s="394"/>
      <c r="CS124" s="394"/>
      <c r="CT124" s="408"/>
      <c r="CU124" s="408"/>
      <c r="CV124" s="121"/>
      <c r="CW124" s="401"/>
      <c r="CX124" s="401"/>
      <c r="CY124" s="401"/>
      <c r="CZ124" s="401"/>
      <c r="DA124" s="401"/>
      <c r="DB124" s="121"/>
      <c r="DC124" s="121"/>
      <c r="DD124" s="121"/>
      <c r="DE124" s="121"/>
      <c r="DF124" s="123"/>
      <c r="DG124" s="123"/>
      <c r="DH124" s="123"/>
      <c r="DI124" s="123"/>
      <c r="DJ124" s="394"/>
      <c r="DK124" s="394"/>
      <c r="DL124" s="394"/>
      <c r="DM124" s="394"/>
      <c r="DN124" s="394"/>
      <c r="DO124" s="394"/>
      <c r="DP124" s="394"/>
      <c r="DQ124" s="394"/>
      <c r="DR124" s="394"/>
      <c r="DS124" s="394"/>
      <c r="DT124" s="394"/>
      <c r="DU124" s="394"/>
      <c r="DV124" s="394"/>
      <c r="DW124" s="394"/>
      <c r="DX124" s="394"/>
      <c r="DY124" s="394"/>
      <c r="DZ124" s="394"/>
      <c r="EA124" s="394"/>
      <c r="EB124" s="157"/>
      <c r="EC124" s="157" t="s">
        <v>209</v>
      </c>
      <c r="ED124" s="157" t="s">
        <v>155</v>
      </c>
    </row>
    <row r="125" spans="1:138" s="124" customFormat="1" ht="21" customHeight="1">
      <c r="A125" s="117" t="str">
        <f t="shared" ref="A125" si="35">B124</f>
        <v>내부</v>
      </c>
      <c r="B125" s="391"/>
      <c r="C125" s="392"/>
      <c r="D125" s="393"/>
      <c r="E125" s="391"/>
      <c r="F125" s="392"/>
      <c r="G125" s="392"/>
      <c r="H125" s="392"/>
      <c r="I125" s="393"/>
      <c r="J125" s="391"/>
      <c r="K125" s="392"/>
      <c r="L125" s="392"/>
      <c r="M125" s="392"/>
      <c r="N125" s="393"/>
      <c r="O125" s="391"/>
      <c r="P125" s="392"/>
      <c r="Q125" s="392"/>
      <c r="R125" s="392"/>
      <c r="S125" s="392"/>
      <c r="T125" s="392"/>
      <c r="U125" s="392"/>
      <c r="V125" s="392"/>
      <c r="W125" s="392"/>
      <c r="X125" s="393"/>
      <c r="Y125" s="381"/>
      <c r="Z125" s="384"/>
      <c r="AA125" s="384"/>
      <c r="AB125" s="382"/>
      <c r="AC125" s="381"/>
      <c r="AD125" s="382"/>
      <c r="AE125" s="381"/>
      <c r="AF125" s="382"/>
      <c r="AG125" s="381"/>
      <c r="AH125" s="384"/>
      <c r="AI125" s="382"/>
      <c r="AJ125" s="395" t="s">
        <v>19</v>
      </c>
      <c r="AK125" s="386"/>
      <c r="AL125" s="396">
        <f>SUM(AP125:CG125)</f>
        <v>0</v>
      </c>
      <c r="AM125" s="397"/>
      <c r="AN125" s="398">
        <f>+AL125</f>
        <v>0</v>
      </c>
      <c r="AO125" s="399"/>
      <c r="AP125" s="400"/>
      <c r="AQ125" s="397"/>
      <c r="AR125" s="398"/>
      <c r="AS125" s="397"/>
      <c r="AT125" s="398"/>
      <c r="AU125" s="397"/>
      <c r="AV125" s="398"/>
      <c r="AW125" s="397"/>
      <c r="AX125" s="398"/>
      <c r="AY125" s="397"/>
      <c r="AZ125" s="398"/>
      <c r="BA125" s="397"/>
      <c r="BB125" s="398"/>
      <c r="BC125" s="397"/>
      <c r="BD125" s="398"/>
      <c r="BE125" s="397"/>
      <c r="BF125" s="398"/>
      <c r="BG125" s="397"/>
      <c r="BH125" s="398"/>
      <c r="BI125" s="397"/>
      <c r="BJ125" s="398"/>
      <c r="BK125" s="397"/>
      <c r="BL125" s="398"/>
      <c r="BM125" s="397"/>
      <c r="BN125" s="398"/>
      <c r="BO125" s="397"/>
      <c r="BP125" s="398"/>
      <c r="BQ125" s="397"/>
      <c r="BR125" s="398"/>
      <c r="BS125" s="397"/>
      <c r="BT125" s="398"/>
      <c r="BU125" s="397"/>
      <c r="BV125" s="398"/>
      <c r="BW125" s="397"/>
      <c r="BX125" s="398"/>
      <c r="BY125" s="397"/>
      <c r="BZ125" s="398"/>
      <c r="CA125" s="397"/>
      <c r="CB125" s="398"/>
      <c r="CC125" s="397"/>
      <c r="CD125" s="398"/>
      <c r="CE125" s="397"/>
      <c r="CF125" s="398"/>
      <c r="CG125" s="397"/>
      <c r="CH125" s="417"/>
      <c r="CI125" s="418"/>
      <c r="CJ125" s="419"/>
      <c r="CK125" s="409">
        <f>CH124*AL125</f>
        <v>0</v>
      </c>
      <c r="CL125" s="410"/>
      <c r="CM125" s="411"/>
      <c r="CN125" s="412">
        <f>+CK125</f>
        <v>0</v>
      </c>
      <c r="CO125" s="410"/>
      <c r="CP125" s="413"/>
      <c r="CQ125" s="394"/>
      <c r="CR125" s="394"/>
      <c r="CS125" s="394"/>
      <c r="CT125" s="121"/>
      <c r="CU125" s="121"/>
      <c r="CV125" s="121"/>
      <c r="CW125" s="122"/>
      <c r="CX125" s="122"/>
      <c r="CY125" s="122"/>
      <c r="CZ125" s="122"/>
      <c r="DA125" s="122"/>
      <c r="DB125" s="121"/>
      <c r="DC125" s="121"/>
      <c r="DD125" s="121"/>
      <c r="DE125" s="121"/>
      <c r="DF125" s="123"/>
      <c r="DG125" s="123"/>
      <c r="DH125" s="123"/>
      <c r="DI125" s="123"/>
      <c r="DJ125" s="394"/>
      <c r="DK125" s="394"/>
      <c r="DL125" s="394"/>
      <c r="DM125" s="394"/>
      <c r="DN125" s="394"/>
      <c r="DO125" s="394"/>
      <c r="DP125" s="394"/>
      <c r="DQ125" s="394"/>
      <c r="DR125" s="394"/>
      <c r="DS125" s="394"/>
      <c r="DT125" s="394"/>
      <c r="DU125" s="394"/>
      <c r="DV125" s="394"/>
      <c r="DW125" s="394"/>
      <c r="DX125" s="394"/>
      <c r="DY125" s="394"/>
      <c r="DZ125" s="394"/>
      <c r="EA125" s="394"/>
      <c r="EB125" s="157"/>
      <c r="EC125" s="157" t="s">
        <v>210</v>
      </c>
      <c r="ED125" s="157" t="s">
        <v>156</v>
      </c>
    </row>
    <row r="126" spans="1:138" s="124" customFormat="1" ht="21" customHeight="1">
      <c r="A126" s="117" t="str">
        <f t="shared" ref="A126" si="36">B126</f>
        <v>외부</v>
      </c>
      <c r="B126" s="388" t="s">
        <v>233</v>
      </c>
      <c r="C126" s="389"/>
      <c r="D126" s="390"/>
      <c r="E126" s="388" t="s">
        <v>226</v>
      </c>
      <c r="F126" s="389"/>
      <c r="G126" s="389"/>
      <c r="H126" s="389"/>
      <c r="I126" s="390"/>
      <c r="J126" s="388"/>
      <c r="K126" s="389"/>
      <c r="L126" s="389"/>
      <c r="M126" s="389"/>
      <c r="N126" s="390"/>
      <c r="O126" s="388" t="s">
        <v>281</v>
      </c>
      <c r="P126" s="389"/>
      <c r="Q126" s="389"/>
      <c r="R126" s="389"/>
      <c r="S126" s="389"/>
      <c r="T126" s="389"/>
      <c r="U126" s="389"/>
      <c r="V126" s="389"/>
      <c r="W126" s="389"/>
      <c r="X126" s="390"/>
      <c r="Y126" s="379"/>
      <c r="Z126" s="383"/>
      <c r="AA126" s="383"/>
      <c r="AB126" s="380"/>
      <c r="AC126" s="379"/>
      <c r="AD126" s="380"/>
      <c r="AE126" s="379"/>
      <c r="AF126" s="380"/>
      <c r="AG126" s="379" t="s">
        <v>277</v>
      </c>
      <c r="AH126" s="383"/>
      <c r="AI126" s="380"/>
      <c r="AJ126" s="385" t="s">
        <v>18</v>
      </c>
      <c r="AK126" s="386"/>
      <c r="AL126" s="387">
        <f>SUM(AP126:CG126)</f>
        <v>23</v>
      </c>
      <c r="AM126" s="375"/>
      <c r="AN126" s="376"/>
      <c r="AO126" s="377"/>
      <c r="AP126" s="378"/>
      <c r="AQ126" s="375"/>
      <c r="AR126" s="374"/>
      <c r="AS126" s="375"/>
      <c r="AT126" s="374">
        <v>2</v>
      </c>
      <c r="AU126" s="375"/>
      <c r="AV126" s="374">
        <v>2</v>
      </c>
      <c r="AW126" s="375"/>
      <c r="AX126" s="374">
        <v>2</v>
      </c>
      <c r="AY126" s="375"/>
      <c r="AZ126" s="374">
        <v>2</v>
      </c>
      <c r="BA126" s="375"/>
      <c r="BB126" s="374">
        <v>3</v>
      </c>
      <c r="BC126" s="375"/>
      <c r="BD126" s="374">
        <v>3</v>
      </c>
      <c r="BE126" s="375"/>
      <c r="BF126" s="374">
        <v>3</v>
      </c>
      <c r="BG126" s="375"/>
      <c r="BH126" s="374">
        <v>3</v>
      </c>
      <c r="BI126" s="375"/>
      <c r="BJ126" s="374">
        <v>3</v>
      </c>
      <c r="BK126" s="375"/>
      <c r="BL126" s="374"/>
      <c r="BM126" s="375"/>
      <c r="BN126" s="374"/>
      <c r="BO126" s="375"/>
      <c r="BP126" s="374"/>
      <c r="BQ126" s="375"/>
      <c r="BR126" s="374"/>
      <c r="BS126" s="375"/>
      <c r="BT126" s="374"/>
      <c r="BU126" s="375"/>
      <c r="BV126" s="374"/>
      <c r="BW126" s="375"/>
      <c r="BX126" s="374"/>
      <c r="BY126" s="375"/>
      <c r="BZ126" s="374"/>
      <c r="CA126" s="375"/>
      <c r="CB126" s="374"/>
      <c r="CC126" s="375"/>
      <c r="CD126" s="374"/>
      <c r="CE126" s="375"/>
      <c r="CF126" s="374"/>
      <c r="CG126" s="375"/>
      <c r="CH126" s="414">
        <v>2150000</v>
      </c>
      <c r="CI126" s="415"/>
      <c r="CJ126" s="416"/>
      <c r="CK126" s="402">
        <f>$CH126*AL126</f>
        <v>49450000</v>
      </c>
      <c r="CL126" s="403"/>
      <c r="CM126" s="404"/>
      <c r="CN126" s="405"/>
      <c r="CO126" s="406"/>
      <c r="CP126" s="407"/>
      <c r="CQ126" s="394"/>
      <c r="CR126" s="394"/>
      <c r="CS126" s="394"/>
      <c r="CT126" s="408"/>
      <c r="CU126" s="408"/>
      <c r="CV126" s="121"/>
      <c r="CW126" s="401"/>
      <c r="CX126" s="401"/>
      <c r="CY126" s="401"/>
      <c r="CZ126" s="401"/>
      <c r="DA126" s="401"/>
      <c r="DB126" s="121"/>
      <c r="DC126" s="121"/>
      <c r="DD126" s="121"/>
      <c r="DE126" s="121"/>
      <c r="DF126" s="123"/>
      <c r="DG126" s="123"/>
      <c r="DH126" s="123"/>
      <c r="DI126" s="123"/>
      <c r="DJ126" s="394"/>
      <c r="DK126" s="394"/>
      <c r="DL126" s="394"/>
      <c r="DM126" s="394"/>
      <c r="DN126" s="394"/>
      <c r="DO126" s="394"/>
      <c r="DP126" s="394"/>
      <c r="DQ126" s="394"/>
      <c r="DR126" s="394"/>
      <c r="DS126" s="394"/>
      <c r="DT126" s="394"/>
      <c r="DU126" s="394"/>
      <c r="DV126" s="394"/>
      <c r="DW126" s="394"/>
      <c r="DX126" s="394"/>
      <c r="DY126" s="394"/>
      <c r="DZ126" s="394"/>
      <c r="EA126" s="394"/>
      <c r="EB126" s="157"/>
      <c r="EC126" s="157" t="s">
        <v>145</v>
      </c>
      <c r="ED126" s="157" t="s">
        <v>157</v>
      </c>
    </row>
    <row r="127" spans="1:138" s="124" customFormat="1" ht="21" customHeight="1">
      <c r="A127" s="117" t="str">
        <f t="shared" ref="A127" si="37">B126</f>
        <v>외부</v>
      </c>
      <c r="B127" s="391"/>
      <c r="C127" s="392"/>
      <c r="D127" s="393"/>
      <c r="E127" s="391"/>
      <c r="F127" s="392"/>
      <c r="G127" s="392"/>
      <c r="H127" s="392"/>
      <c r="I127" s="393"/>
      <c r="J127" s="391"/>
      <c r="K127" s="392"/>
      <c r="L127" s="392"/>
      <c r="M127" s="392"/>
      <c r="N127" s="393"/>
      <c r="O127" s="391"/>
      <c r="P127" s="392"/>
      <c r="Q127" s="392"/>
      <c r="R127" s="392"/>
      <c r="S127" s="392"/>
      <c r="T127" s="392"/>
      <c r="U127" s="392"/>
      <c r="V127" s="392"/>
      <c r="W127" s="392"/>
      <c r="X127" s="393"/>
      <c r="Y127" s="381"/>
      <c r="Z127" s="384"/>
      <c r="AA127" s="384"/>
      <c r="AB127" s="382"/>
      <c r="AC127" s="381"/>
      <c r="AD127" s="382"/>
      <c r="AE127" s="381"/>
      <c r="AF127" s="382"/>
      <c r="AG127" s="381"/>
      <c r="AH127" s="384"/>
      <c r="AI127" s="382"/>
      <c r="AJ127" s="395" t="s">
        <v>19</v>
      </c>
      <c r="AK127" s="386"/>
      <c r="AL127" s="396">
        <f>SUM(AP127:CG127)</f>
        <v>0</v>
      </c>
      <c r="AM127" s="397"/>
      <c r="AN127" s="398">
        <f>+AL127</f>
        <v>0</v>
      </c>
      <c r="AO127" s="399"/>
      <c r="AP127" s="400"/>
      <c r="AQ127" s="397"/>
      <c r="AR127" s="398"/>
      <c r="AS127" s="397"/>
      <c r="AT127" s="398"/>
      <c r="AU127" s="397"/>
      <c r="AV127" s="398"/>
      <c r="AW127" s="397"/>
      <c r="AX127" s="398"/>
      <c r="AY127" s="397"/>
      <c r="AZ127" s="398"/>
      <c r="BA127" s="397"/>
      <c r="BB127" s="398"/>
      <c r="BC127" s="397"/>
      <c r="BD127" s="398"/>
      <c r="BE127" s="397"/>
      <c r="BF127" s="398"/>
      <c r="BG127" s="397"/>
      <c r="BH127" s="398"/>
      <c r="BI127" s="397"/>
      <c r="BJ127" s="398"/>
      <c r="BK127" s="397"/>
      <c r="BL127" s="398"/>
      <c r="BM127" s="397"/>
      <c r="BN127" s="398"/>
      <c r="BO127" s="397"/>
      <c r="BP127" s="398"/>
      <c r="BQ127" s="397"/>
      <c r="BR127" s="398"/>
      <c r="BS127" s="397"/>
      <c r="BT127" s="398"/>
      <c r="BU127" s="397"/>
      <c r="BV127" s="398"/>
      <c r="BW127" s="397"/>
      <c r="BX127" s="398"/>
      <c r="BY127" s="397"/>
      <c r="BZ127" s="398"/>
      <c r="CA127" s="397"/>
      <c r="CB127" s="398"/>
      <c r="CC127" s="397"/>
      <c r="CD127" s="398"/>
      <c r="CE127" s="397"/>
      <c r="CF127" s="398"/>
      <c r="CG127" s="397"/>
      <c r="CH127" s="417"/>
      <c r="CI127" s="418"/>
      <c r="CJ127" s="419"/>
      <c r="CK127" s="409">
        <f>CH126*AL127</f>
        <v>0</v>
      </c>
      <c r="CL127" s="410"/>
      <c r="CM127" s="411"/>
      <c r="CN127" s="412">
        <f>+CK127</f>
        <v>0</v>
      </c>
      <c r="CO127" s="410"/>
      <c r="CP127" s="413"/>
      <c r="CQ127" s="394"/>
      <c r="CR127" s="394"/>
      <c r="CS127" s="394"/>
      <c r="CT127" s="121"/>
      <c r="CU127" s="121"/>
      <c r="CV127" s="121"/>
      <c r="CW127" s="122"/>
      <c r="CX127" s="122"/>
      <c r="CY127" s="122"/>
      <c r="CZ127" s="122"/>
      <c r="DA127" s="122"/>
      <c r="DB127" s="121"/>
      <c r="DC127" s="121"/>
      <c r="DD127" s="121"/>
      <c r="DE127" s="121"/>
      <c r="DF127" s="123"/>
      <c r="DG127" s="123"/>
      <c r="DH127" s="123"/>
      <c r="DI127" s="123"/>
      <c r="DJ127" s="394"/>
      <c r="DK127" s="394"/>
      <c r="DL127" s="394"/>
      <c r="DM127" s="394"/>
      <c r="DN127" s="394"/>
      <c r="DO127" s="394"/>
      <c r="DP127" s="394"/>
      <c r="DQ127" s="394"/>
      <c r="DR127" s="394"/>
      <c r="DS127" s="394"/>
      <c r="DT127" s="394"/>
      <c r="DU127" s="394"/>
      <c r="DV127" s="394"/>
      <c r="DW127" s="394"/>
      <c r="DX127" s="394"/>
      <c r="DY127" s="394"/>
      <c r="DZ127" s="394"/>
      <c r="EA127" s="394"/>
      <c r="EB127" s="157"/>
      <c r="EC127" s="157" t="s">
        <v>146</v>
      </c>
      <c r="ED127" s="157" t="s">
        <v>158</v>
      </c>
    </row>
    <row r="128" spans="1:138" s="124" customFormat="1" ht="21" customHeight="1">
      <c r="A128" s="117" t="str">
        <f t="shared" ref="A128" si="38">B128</f>
        <v>외부</v>
      </c>
      <c r="B128" s="388" t="s">
        <v>233</v>
      </c>
      <c r="C128" s="389"/>
      <c r="D128" s="390"/>
      <c r="E128" s="388" t="s">
        <v>226</v>
      </c>
      <c r="F128" s="389"/>
      <c r="G128" s="389"/>
      <c r="H128" s="389"/>
      <c r="I128" s="390"/>
      <c r="J128" s="388"/>
      <c r="K128" s="389"/>
      <c r="L128" s="389"/>
      <c r="M128" s="389"/>
      <c r="N128" s="390"/>
      <c r="O128" s="388"/>
      <c r="P128" s="389"/>
      <c r="Q128" s="389"/>
      <c r="R128" s="389"/>
      <c r="S128" s="389"/>
      <c r="T128" s="389"/>
      <c r="U128" s="389"/>
      <c r="V128" s="389"/>
      <c r="W128" s="389"/>
      <c r="X128" s="390"/>
      <c r="Y128" s="379"/>
      <c r="Z128" s="383"/>
      <c r="AA128" s="383"/>
      <c r="AB128" s="380"/>
      <c r="AC128" s="379"/>
      <c r="AD128" s="380"/>
      <c r="AE128" s="379"/>
      <c r="AF128" s="380"/>
      <c r="AG128" s="379" t="s">
        <v>287</v>
      </c>
      <c r="AH128" s="383"/>
      <c r="AI128" s="380"/>
      <c r="AJ128" s="385" t="s">
        <v>18</v>
      </c>
      <c r="AK128" s="386"/>
      <c r="AL128" s="387">
        <f>SUM(AP128:CG128)</f>
        <v>1</v>
      </c>
      <c r="AM128" s="375"/>
      <c r="AN128" s="376"/>
      <c r="AO128" s="377"/>
      <c r="AP128" s="378"/>
      <c r="AQ128" s="375"/>
      <c r="AR128" s="374"/>
      <c r="AS128" s="375"/>
      <c r="AT128" s="374"/>
      <c r="AU128" s="375"/>
      <c r="AV128" s="374"/>
      <c r="AW128" s="375"/>
      <c r="AX128" s="374"/>
      <c r="AY128" s="375"/>
      <c r="AZ128" s="374"/>
      <c r="BA128" s="375"/>
      <c r="BB128" s="374"/>
      <c r="BC128" s="375"/>
      <c r="BD128" s="374"/>
      <c r="BE128" s="375"/>
      <c r="BF128" s="374"/>
      <c r="BG128" s="375"/>
      <c r="BH128" s="374"/>
      <c r="BI128" s="375"/>
      <c r="BJ128" s="374">
        <v>1</v>
      </c>
      <c r="BK128" s="375"/>
      <c r="BL128" s="374"/>
      <c r="BM128" s="375"/>
      <c r="BN128" s="374"/>
      <c r="BO128" s="375"/>
      <c r="BP128" s="374"/>
      <c r="BQ128" s="375"/>
      <c r="BR128" s="374"/>
      <c r="BS128" s="375"/>
      <c r="BT128" s="374"/>
      <c r="BU128" s="375"/>
      <c r="BV128" s="374"/>
      <c r="BW128" s="375"/>
      <c r="BX128" s="374"/>
      <c r="BY128" s="375"/>
      <c r="BZ128" s="374"/>
      <c r="CA128" s="375"/>
      <c r="CB128" s="374"/>
      <c r="CC128" s="375"/>
      <c r="CD128" s="374"/>
      <c r="CE128" s="375"/>
      <c r="CF128" s="374"/>
      <c r="CG128" s="375"/>
      <c r="CH128" s="414">
        <v>68530000</v>
      </c>
      <c r="CI128" s="415"/>
      <c r="CJ128" s="416"/>
      <c r="CK128" s="402">
        <f>$CH128*AL128</f>
        <v>68530000</v>
      </c>
      <c r="CL128" s="403"/>
      <c r="CM128" s="404"/>
      <c r="CN128" s="405"/>
      <c r="CO128" s="406"/>
      <c r="CP128" s="407"/>
      <c r="CQ128" s="394"/>
      <c r="CR128" s="394"/>
      <c r="CS128" s="394"/>
      <c r="CT128" s="408"/>
      <c r="CU128" s="408"/>
      <c r="CV128" s="121"/>
      <c r="CW128" s="401"/>
      <c r="CX128" s="401"/>
      <c r="CY128" s="401"/>
      <c r="CZ128" s="401"/>
      <c r="DA128" s="401"/>
      <c r="DB128" s="121"/>
      <c r="DC128" s="121"/>
      <c r="DD128" s="121"/>
      <c r="DE128" s="121"/>
      <c r="DF128" s="123"/>
      <c r="DG128" s="123"/>
      <c r="DH128" s="123"/>
      <c r="DI128" s="123"/>
      <c r="DJ128" s="394"/>
      <c r="DK128" s="394"/>
      <c r="DL128" s="394"/>
      <c r="DM128" s="394"/>
      <c r="DN128" s="394"/>
      <c r="DO128" s="394"/>
      <c r="DP128" s="394"/>
      <c r="DQ128" s="394"/>
      <c r="DR128" s="394"/>
      <c r="DS128" s="394"/>
      <c r="DT128" s="394"/>
      <c r="DU128" s="394"/>
      <c r="DV128" s="394"/>
      <c r="DW128" s="394"/>
      <c r="DX128" s="394"/>
      <c r="DY128" s="394"/>
      <c r="DZ128" s="394"/>
      <c r="EA128" s="394"/>
      <c r="EB128" s="157"/>
      <c r="EC128" s="157" t="s">
        <v>209</v>
      </c>
      <c r="ED128" s="157" t="s">
        <v>155</v>
      </c>
    </row>
    <row r="129" spans="1:134" s="124" customFormat="1" ht="21" customHeight="1">
      <c r="A129" s="117" t="str">
        <f t="shared" ref="A129" si="39">B128</f>
        <v>외부</v>
      </c>
      <c r="B129" s="391"/>
      <c r="C129" s="392"/>
      <c r="D129" s="393"/>
      <c r="E129" s="391"/>
      <c r="F129" s="392"/>
      <c r="G129" s="392"/>
      <c r="H129" s="392"/>
      <c r="I129" s="393"/>
      <c r="J129" s="391"/>
      <c r="K129" s="392"/>
      <c r="L129" s="392"/>
      <c r="M129" s="392"/>
      <c r="N129" s="393"/>
      <c r="O129" s="391"/>
      <c r="P129" s="392"/>
      <c r="Q129" s="392"/>
      <c r="R129" s="392"/>
      <c r="S129" s="392"/>
      <c r="T129" s="392"/>
      <c r="U129" s="392"/>
      <c r="V129" s="392"/>
      <c r="W129" s="392"/>
      <c r="X129" s="393"/>
      <c r="Y129" s="381"/>
      <c r="Z129" s="384"/>
      <c r="AA129" s="384"/>
      <c r="AB129" s="382"/>
      <c r="AC129" s="381"/>
      <c r="AD129" s="382"/>
      <c r="AE129" s="381"/>
      <c r="AF129" s="382"/>
      <c r="AG129" s="381"/>
      <c r="AH129" s="384"/>
      <c r="AI129" s="382"/>
      <c r="AJ129" s="395" t="s">
        <v>19</v>
      </c>
      <c r="AK129" s="386"/>
      <c r="AL129" s="396">
        <f>SUM(AP129:CG129)</f>
        <v>1</v>
      </c>
      <c r="AM129" s="397"/>
      <c r="AN129" s="398">
        <f>+AL129</f>
        <v>1</v>
      </c>
      <c r="AO129" s="399"/>
      <c r="AP129" s="400"/>
      <c r="AQ129" s="397"/>
      <c r="AR129" s="398"/>
      <c r="AS129" s="397"/>
      <c r="AT129" s="398"/>
      <c r="AU129" s="397"/>
      <c r="AV129" s="398"/>
      <c r="AW129" s="397"/>
      <c r="AX129" s="398"/>
      <c r="AY129" s="397"/>
      <c r="AZ129" s="398"/>
      <c r="BA129" s="397"/>
      <c r="BB129" s="398"/>
      <c r="BC129" s="397"/>
      <c r="BD129" s="398"/>
      <c r="BE129" s="397"/>
      <c r="BF129" s="398"/>
      <c r="BG129" s="397"/>
      <c r="BH129" s="398"/>
      <c r="BI129" s="397"/>
      <c r="BJ129" s="398">
        <v>1</v>
      </c>
      <c r="BK129" s="397"/>
      <c r="BL129" s="398"/>
      <c r="BM129" s="397"/>
      <c r="BN129" s="398"/>
      <c r="BO129" s="397"/>
      <c r="BP129" s="398"/>
      <c r="BQ129" s="397"/>
      <c r="BR129" s="398"/>
      <c r="BS129" s="397"/>
      <c r="BT129" s="398"/>
      <c r="BU129" s="397"/>
      <c r="BV129" s="398"/>
      <c r="BW129" s="397"/>
      <c r="BX129" s="398"/>
      <c r="BY129" s="397"/>
      <c r="BZ129" s="398"/>
      <c r="CA129" s="397"/>
      <c r="CB129" s="398"/>
      <c r="CC129" s="397"/>
      <c r="CD129" s="398"/>
      <c r="CE129" s="397"/>
      <c r="CF129" s="398"/>
      <c r="CG129" s="397"/>
      <c r="CH129" s="417"/>
      <c r="CI129" s="418"/>
      <c r="CJ129" s="419"/>
      <c r="CK129" s="409">
        <f>CH128*AL129</f>
        <v>68530000</v>
      </c>
      <c r="CL129" s="410"/>
      <c r="CM129" s="411"/>
      <c r="CN129" s="412">
        <f>+CK129</f>
        <v>68530000</v>
      </c>
      <c r="CO129" s="410"/>
      <c r="CP129" s="413"/>
      <c r="CQ129" s="394"/>
      <c r="CR129" s="394"/>
      <c r="CS129" s="394"/>
      <c r="CT129" s="121"/>
      <c r="CU129" s="121"/>
      <c r="CV129" s="121"/>
      <c r="CW129" s="122"/>
      <c r="CX129" s="122"/>
      <c r="CY129" s="122"/>
      <c r="CZ129" s="122"/>
      <c r="DA129" s="122"/>
      <c r="DB129" s="121"/>
      <c r="DC129" s="121"/>
      <c r="DD129" s="121"/>
      <c r="DE129" s="121"/>
      <c r="DF129" s="123"/>
      <c r="DG129" s="123"/>
      <c r="DH129" s="123"/>
      <c r="DI129" s="123"/>
      <c r="DJ129" s="394"/>
      <c r="DK129" s="394"/>
      <c r="DL129" s="394"/>
      <c r="DM129" s="394"/>
      <c r="DN129" s="394"/>
      <c r="DO129" s="394"/>
      <c r="DP129" s="394"/>
      <c r="DQ129" s="394"/>
      <c r="DR129" s="394"/>
      <c r="DS129" s="394"/>
      <c r="DT129" s="394"/>
      <c r="DU129" s="394"/>
      <c r="DV129" s="394"/>
      <c r="DW129" s="394"/>
      <c r="DX129" s="394"/>
      <c r="DY129" s="394"/>
      <c r="DZ129" s="394"/>
      <c r="EA129" s="394"/>
      <c r="EB129" s="157"/>
      <c r="EC129" s="157" t="s">
        <v>210</v>
      </c>
      <c r="ED129" s="157" t="s">
        <v>156</v>
      </c>
    </row>
    <row r="130" spans="1:134" s="124" customFormat="1" ht="21" customHeight="1">
      <c r="A130" s="117" t="str">
        <f t="shared" ref="A130" si="40">B130</f>
        <v>내부</v>
      </c>
      <c r="B130" s="388" t="s">
        <v>106</v>
      </c>
      <c r="C130" s="389"/>
      <c r="D130" s="390"/>
      <c r="E130" s="388" t="s">
        <v>226</v>
      </c>
      <c r="F130" s="389"/>
      <c r="G130" s="389"/>
      <c r="H130" s="389"/>
      <c r="I130" s="390"/>
      <c r="J130" s="388"/>
      <c r="K130" s="389"/>
      <c r="L130" s="389"/>
      <c r="M130" s="389"/>
      <c r="N130" s="390"/>
      <c r="O130" s="388"/>
      <c r="P130" s="389"/>
      <c r="Q130" s="389"/>
      <c r="R130" s="389"/>
      <c r="S130" s="389"/>
      <c r="T130" s="389"/>
      <c r="U130" s="389"/>
      <c r="V130" s="389"/>
      <c r="W130" s="389"/>
      <c r="X130" s="390"/>
      <c r="Y130" s="379"/>
      <c r="Z130" s="383"/>
      <c r="AA130" s="383"/>
      <c r="AB130" s="380"/>
      <c r="AC130" s="379"/>
      <c r="AD130" s="380"/>
      <c r="AE130" s="379" t="s">
        <v>229</v>
      </c>
      <c r="AF130" s="380"/>
      <c r="AG130" s="379" t="s">
        <v>289</v>
      </c>
      <c r="AH130" s="383"/>
      <c r="AI130" s="380"/>
      <c r="AJ130" s="385" t="s">
        <v>18</v>
      </c>
      <c r="AK130" s="386"/>
      <c r="AL130" s="387">
        <f>SUM(AP130:CG130)</f>
        <v>0</v>
      </c>
      <c r="AM130" s="375"/>
      <c r="AN130" s="376"/>
      <c r="AO130" s="377"/>
      <c r="AP130" s="378"/>
      <c r="AQ130" s="375"/>
      <c r="AR130" s="374"/>
      <c r="AS130" s="375"/>
      <c r="AT130" s="374"/>
      <c r="AU130" s="375"/>
      <c r="AV130" s="374"/>
      <c r="AW130" s="375"/>
      <c r="AX130" s="374"/>
      <c r="AY130" s="375"/>
      <c r="AZ130" s="374"/>
      <c r="BA130" s="375"/>
      <c r="BB130" s="374"/>
      <c r="BC130" s="375"/>
      <c r="BD130" s="374"/>
      <c r="BE130" s="375"/>
      <c r="BF130" s="374"/>
      <c r="BG130" s="375"/>
      <c r="BH130" s="374"/>
      <c r="BI130" s="375"/>
      <c r="BJ130" s="374"/>
      <c r="BK130" s="375"/>
      <c r="BL130" s="374"/>
      <c r="BM130" s="375"/>
      <c r="BN130" s="374"/>
      <c r="BO130" s="375"/>
      <c r="BP130" s="374"/>
      <c r="BQ130" s="375"/>
      <c r="BR130" s="374"/>
      <c r="BS130" s="375"/>
      <c r="BT130" s="374"/>
      <c r="BU130" s="375"/>
      <c r="BV130" s="374"/>
      <c r="BW130" s="375"/>
      <c r="BX130" s="374"/>
      <c r="BY130" s="375"/>
      <c r="BZ130" s="374"/>
      <c r="CA130" s="375"/>
      <c r="CB130" s="374"/>
      <c r="CC130" s="375"/>
      <c r="CD130" s="374"/>
      <c r="CE130" s="375"/>
      <c r="CF130" s="374"/>
      <c r="CG130" s="375"/>
      <c r="CH130" s="414">
        <v>12391000</v>
      </c>
      <c r="CI130" s="415"/>
      <c r="CJ130" s="420"/>
      <c r="CK130" s="402">
        <f>$CH130*AL130</f>
        <v>0</v>
      </c>
      <c r="CL130" s="403"/>
      <c r="CM130" s="404"/>
      <c r="CN130" s="405"/>
      <c r="CO130" s="406"/>
      <c r="CP130" s="407"/>
      <c r="CQ130" s="394"/>
      <c r="CR130" s="394"/>
      <c r="CS130" s="394"/>
      <c r="CT130" s="408"/>
      <c r="CU130" s="408"/>
      <c r="CV130" s="121"/>
      <c r="CW130" s="401"/>
      <c r="CX130" s="401"/>
      <c r="CY130" s="401"/>
      <c r="CZ130" s="401"/>
      <c r="DA130" s="401"/>
      <c r="DB130" s="121"/>
      <c r="DC130" s="121"/>
      <c r="DD130" s="121"/>
      <c r="DE130" s="121"/>
      <c r="DF130" s="123"/>
      <c r="DG130" s="123"/>
      <c r="DH130" s="123"/>
      <c r="DI130" s="123"/>
      <c r="DJ130" s="394"/>
      <c r="DK130" s="394"/>
      <c r="DL130" s="394"/>
      <c r="DM130" s="394"/>
      <c r="DN130" s="394"/>
      <c r="DO130" s="394"/>
      <c r="DP130" s="394"/>
      <c r="DQ130" s="394"/>
      <c r="DR130" s="394"/>
      <c r="DS130" s="394"/>
      <c r="DT130" s="394"/>
      <c r="DU130" s="394"/>
      <c r="DV130" s="394"/>
      <c r="DW130" s="394"/>
      <c r="DX130" s="394"/>
      <c r="DY130" s="394"/>
      <c r="DZ130" s="394"/>
      <c r="EA130" s="394"/>
      <c r="EB130" s="157"/>
      <c r="EC130" s="157" t="s">
        <v>145</v>
      </c>
      <c r="ED130" s="157" t="s">
        <v>157</v>
      </c>
    </row>
    <row r="131" spans="1:134" s="124" customFormat="1" ht="21" customHeight="1">
      <c r="A131" s="117" t="str">
        <f t="shared" ref="A131" si="41">B130</f>
        <v>내부</v>
      </c>
      <c r="B131" s="391"/>
      <c r="C131" s="392"/>
      <c r="D131" s="393"/>
      <c r="E131" s="391"/>
      <c r="F131" s="392"/>
      <c r="G131" s="392"/>
      <c r="H131" s="392"/>
      <c r="I131" s="393"/>
      <c r="J131" s="391"/>
      <c r="K131" s="392"/>
      <c r="L131" s="392"/>
      <c r="M131" s="392"/>
      <c r="N131" s="393"/>
      <c r="O131" s="391"/>
      <c r="P131" s="392"/>
      <c r="Q131" s="392"/>
      <c r="R131" s="392"/>
      <c r="S131" s="392"/>
      <c r="T131" s="392"/>
      <c r="U131" s="392"/>
      <c r="V131" s="392"/>
      <c r="W131" s="392"/>
      <c r="X131" s="393"/>
      <c r="Y131" s="381"/>
      <c r="Z131" s="384"/>
      <c r="AA131" s="384"/>
      <c r="AB131" s="382"/>
      <c r="AC131" s="381"/>
      <c r="AD131" s="382"/>
      <c r="AE131" s="381"/>
      <c r="AF131" s="382"/>
      <c r="AG131" s="381"/>
      <c r="AH131" s="384"/>
      <c r="AI131" s="382"/>
      <c r="AJ131" s="395" t="s">
        <v>19</v>
      </c>
      <c r="AK131" s="386"/>
      <c r="AL131" s="396">
        <f>SUM(AP131:CG131)</f>
        <v>1.17</v>
      </c>
      <c r="AM131" s="397"/>
      <c r="AN131" s="398">
        <f>+AL131</f>
        <v>1.17</v>
      </c>
      <c r="AO131" s="399"/>
      <c r="AP131" s="400"/>
      <c r="AQ131" s="397"/>
      <c r="AR131" s="398"/>
      <c r="AS131" s="397"/>
      <c r="AT131" s="398">
        <v>0.46</v>
      </c>
      <c r="AU131" s="397"/>
      <c r="AV131" s="398">
        <v>0.71</v>
      </c>
      <c r="AW131" s="397"/>
      <c r="AX131" s="398"/>
      <c r="AY131" s="397"/>
      <c r="AZ131" s="398"/>
      <c r="BA131" s="397"/>
      <c r="BB131" s="398"/>
      <c r="BC131" s="397"/>
      <c r="BD131" s="398"/>
      <c r="BE131" s="397"/>
      <c r="BF131" s="398"/>
      <c r="BG131" s="397"/>
      <c r="BH131" s="398"/>
      <c r="BI131" s="397"/>
      <c r="BJ131" s="398"/>
      <c r="BK131" s="397"/>
      <c r="BL131" s="398"/>
      <c r="BM131" s="397"/>
      <c r="BN131" s="398"/>
      <c r="BO131" s="397"/>
      <c r="BP131" s="398"/>
      <c r="BQ131" s="397"/>
      <c r="BR131" s="398"/>
      <c r="BS131" s="397"/>
      <c r="BT131" s="398"/>
      <c r="BU131" s="397"/>
      <c r="BV131" s="398"/>
      <c r="BW131" s="397"/>
      <c r="BX131" s="398"/>
      <c r="BY131" s="397"/>
      <c r="BZ131" s="398"/>
      <c r="CA131" s="397"/>
      <c r="CB131" s="398"/>
      <c r="CC131" s="397"/>
      <c r="CD131" s="398"/>
      <c r="CE131" s="397"/>
      <c r="CF131" s="398"/>
      <c r="CG131" s="397"/>
      <c r="CH131" s="417"/>
      <c r="CI131" s="418"/>
      <c r="CJ131" s="421"/>
      <c r="CK131" s="409">
        <f>CH130*AL131</f>
        <v>14497470</v>
      </c>
      <c r="CL131" s="410"/>
      <c r="CM131" s="411"/>
      <c r="CN131" s="412">
        <f>+CK131</f>
        <v>14497470</v>
      </c>
      <c r="CO131" s="410"/>
      <c r="CP131" s="413"/>
      <c r="CQ131" s="394"/>
      <c r="CR131" s="394"/>
      <c r="CS131" s="394"/>
      <c r="CT131" s="121"/>
      <c r="CU131" s="121"/>
      <c r="CV131" s="121"/>
      <c r="CW131" s="122"/>
      <c r="CX131" s="122"/>
      <c r="CY131" s="122"/>
      <c r="CZ131" s="122"/>
      <c r="DA131" s="122"/>
      <c r="DB131" s="121"/>
      <c r="DC131" s="121"/>
      <c r="DD131" s="121"/>
      <c r="DE131" s="121"/>
      <c r="DF131" s="123"/>
      <c r="DG131" s="123"/>
      <c r="DH131" s="123"/>
      <c r="DI131" s="123"/>
      <c r="DJ131" s="394"/>
      <c r="DK131" s="394"/>
      <c r="DL131" s="394"/>
      <c r="DM131" s="394"/>
      <c r="DN131" s="394"/>
      <c r="DO131" s="394"/>
      <c r="DP131" s="394"/>
      <c r="DQ131" s="394"/>
      <c r="DR131" s="394"/>
      <c r="DS131" s="394"/>
      <c r="DT131" s="394"/>
      <c r="DU131" s="394"/>
      <c r="DV131" s="394"/>
      <c r="DW131" s="394"/>
      <c r="DX131" s="394"/>
      <c r="DY131" s="394"/>
      <c r="DZ131" s="394"/>
      <c r="EA131" s="394"/>
      <c r="EB131" s="157"/>
      <c r="EC131" s="157" t="s">
        <v>146</v>
      </c>
      <c r="ED131" s="157" t="s">
        <v>158</v>
      </c>
    </row>
    <row r="132" spans="1:134" s="124" customFormat="1" ht="21" customHeight="1">
      <c r="A132" s="117" t="str">
        <f t="shared" ref="A132" si="42">B132</f>
        <v>내부</v>
      </c>
      <c r="B132" s="388" t="s">
        <v>106</v>
      </c>
      <c r="C132" s="389"/>
      <c r="D132" s="390"/>
      <c r="E132" s="388" t="s">
        <v>226</v>
      </c>
      <c r="F132" s="389"/>
      <c r="G132" s="389"/>
      <c r="H132" s="389"/>
      <c r="I132" s="390"/>
      <c r="J132" s="388"/>
      <c r="K132" s="389"/>
      <c r="L132" s="389"/>
      <c r="M132" s="389"/>
      <c r="N132" s="390"/>
      <c r="O132" s="388"/>
      <c r="P132" s="389"/>
      <c r="Q132" s="389"/>
      <c r="R132" s="389"/>
      <c r="S132" s="389"/>
      <c r="T132" s="389"/>
      <c r="U132" s="389"/>
      <c r="V132" s="389"/>
      <c r="W132" s="389"/>
      <c r="X132" s="390"/>
      <c r="Y132" s="379"/>
      <c r="Z132" s="383"/>
      <c r="AA132" s="383"/>
      <c r="AB132" s="380"/>
      <c r="AC132" s="379"/>
      <c r="AD132" s="380"/>
      <c r="AE132" s="379" t="s">
        <v>129</v>
      </c>
      <c r="AF132" s="380"/>
      <c r="AG132" s="379" t="s">
        <v>290</v>
      </c>
      <c r="AH132" s="383"/>
      <c r="AI132" s="380"/>
      <c r="AJ132" s="385" t="s">
        <v>18</v>
      </c>
      <c r="AK132" s="386"/>
      <c r="AL132" s="387">
        <f>SUM(AP132:CG132)</f>
        <v>0</v>
      </c>
      <c r="AM132" s="375"/>
      <c r="AN132" s="376"/>
      <c r="AO132" s="377"/>
      <c r="AP132" s="378"/>
      <c r="AQ132" s="375"/>
      <c r="AR132" s="374"/>
      <c r="AS132" s="375"/>
      <c r="AT132" s="374"/>
      <c r="AU132" s="375"/>
      <c r="AV132" s="374"/>
      <c r="AW132" s="375"/>
      <c r="AX132" s="374"/>
      <c r="AY132" s="375"/>
      <c r="AZ132" s="374"/>
      <c r="BA132" s="375"/>
      <c r="BB132" s="374"/>
      <c r="BC132" s="375"/>
      <c r="BD132" s="374"/>
      <c r="BE132" s="375"/>
      <c r="BF132" s="374"/>
      <c r="BG132" s="375"/>
      <c r="BH132" s="374"/>
      <c r="BI132" s="375"/>
      <c r="BJ132" s="374"/>
      <c r="BK132" s="375"/>
      <c r="BL132" s="374"/>
      <c r="BM132" s="375"/>
      <c r="BN132" s="374"/>
      <c r="BO132" s="375"/>
      <c r="BP132" s="374"/>
      <c r="BQ132" s="375"/>
      <c r="BR132" s="374"/>
      <c r="BS132" s="375"/>
      <c r="BT132" s="374"/>
      <c r="BU132" s="375"/>
      <c r="BV132" s="374"/>
      <c r="BW132" s="375"/>
      <c r="BX132" s="374"/>
      <c r="BY132" s="375"/>
      <c r="BZ132" s="374"/>
      <c r="CA132" s="375"/>
      <c r="CB132" s="374"/>
      <c r="CC132" s="375"/>
      <c r="CD132" s="374"/>
      <c r="CE132" s="375"/>
      <c r="CF132" s="374"/>
      <c r="CG132" s="375"/>
      <c r="CH132" s="414">
        <v>9516000</v>
      </c>
      <c r="CI132" s="415"/>
      <c r="CJ132" s="416"/>
      <c r="CK132" s="402">
        <f>$CH132*AL132</f>
        <v>0</v>
      </c>
      <c r="CL132" s="403"/>
      <c r="CM132" s="404"/>
      <c r="CN132" s="405"/>
      <c r="CO132" s="406"/>
      <c r="CP132" s="407"/>
      <c r="CQ132" s="394"/>
      <c r="CR132" s="394"/>
      <c r="CS132" s="394"/>
      <c r="CT132" s="408"/>
      <c r="CU132" s="408"/>
      <c r="CV132" s="121"/>
      <c r="CW132" s="401"/>
      <c r="CX132" s="401"/>
      <c r="CY132" s="401"/>
      <c r="CZ132" s="401"/>
      <c r="DA132" s="401"/>
      <c r="DB132" s="121"/>
      <c r="DC132" s="121"/>
      <c r="DD132" s="121"/>
      <c r="DE132" s="121"/>
      <c r="DF132" s="123"/>
      <c r="DG132" s="123"/>
      <c r="DH132" s="123"/>
      <c r="DI132" s="123"/>
      <c r="DJ132" s="394"/>
      <c r="DK132" s="394"/>
      <c r="DL132" s="394"/>
      <c r="DM132" s="394"/>
      <c r="DN132" s="394"/>
      <c r="DO132" s="394"/>
      <c r="DP132" s="394"/>
      <c r="DQ132" s="394"/>
      <c r="DR132" s="394"/>
      <c r="DS132" s="394"/>
      <c r="DT132" s="394"/>
      <c r="DU132" s="394"/>
      <c r="DV132" s="394"/>
      <c r="DW132" s="394"/>
      <c r="DX132" s="394"/>
      <c r="DY132" s="394"/>
      <c r="DZ132" s="394"/>
      <c r="EA132" s="394"/>
      <c r="EB132" s="157"/>
      <c r="EC132" s="157" t="s">
        <v>209</v>
      </c>
      <c r="ED132" s="157" t="s">
        <v>155</v>
      </c>
    </row>
    <row r="133" spans="1:134" s="124" customFormat="1" ht="21" customHeight="1">
      <c r="A133" s="117" t="str">
        <f t="shared" ref="A133" si="43">B132</f>
        <v>내부</v>
      </c>
      <c r="B133" s="391"/>
      <c r="C133" s="392"/>
      <c r="D133" s="393"/>
      <c r="E133" s="391"/>
      <c r="F133" s="392"/>
      <c r="G133" s="392"/>
      <c r="H133" s="392"/>
      <c r="I133" s="393"/>
      <c r="J133" s="391"/>
      <c r="K133" s="392"/>
      <c r="L133" s="392"/>
      <c r="M133" s="392"/>
      <c r="N133" s="393"/>
      <c r="O133" s="391"/>
      <c r="P133" s="392"/>
      <c r="Q133" s="392"/>
      <c r="R133" s="392"/>
      <c r="S133" s="392"/>
      <c r="T133" s="392"/>
      <c r="U133" s="392"/>
      <c r="V133" s="392"/>
      <c r="W133" s="392"/>
      <c r="X133" s="393"/>
      <c r="Y133" s="381"/>
      <c r="Z133" s="384"/>
      <c r="AA133" s="384"/>
      <c r="AB133" s="382"/>
      <c r="AC133" s="381"/>
      <c r="AD133" s="382"/>
      <c r="AE133" s="381"/>
      <c r="AF133" s="382"/>
      <c r="AG133" s="381"/>
      <c r="AH133" s="384"/>
      <c r="AI133" s="382"/>
      <c r="AJ133" s="395" t="s">
        <v>19</v>
      </c>
      <c r="AK133" s="386"/>
      <c r="AL133" s="396">
        <f>SUM(AP133:CG133)</f>
        <v>5.93</v>
      </c>
      <c r="AM133" s="397"/>
      <c r="AN133" s="398">
        <f>+AL133</f>
        <v>5.93</v>
      </c>
      <c r="AO133" s="399"/>
      <c r="AP133" s="400"/>
      <c r="AQ133" s="397"/>
      <c r="AR133" s="398"/>
      <c r="AS133" s="397"/>
      <c r="AT133" s="398"/>
      <c r="AU133" s="397"/>
      <c r="AV133" s="398"/>
      <c r="AW133" s="397"/>
      <c r="AX133" s="398"/>
      <c r="AY133" s="397"/>
      <c r="AZ133" s="398"/>
      <c r="BA133" s="397"/>
      <c r="BB133" s="398">
        <v>1</v>
      </c>
      <c r="BC133" s="397"/>
      <c r="BD133" s="398">
        <v>1</v>
      </c>
      <c r="BE133" s="397"/>
      <c r="BF133" s="398">
        <v>1</v>
      </c>
      <c r="BG133" s="397"/>
      <c r="BH133" s="398">
        <v>0.93</v>
      </c>
      <c r="BI133" s="397"/>
      <c r="BJ133" s="398">
        <v>1</v>
      </c>
      <c r="BK133" s="397"/>
      <c r="BL133" s="398">
        <v>1</v>
      </c>
      <c r="BM133" s="397"/>
      <c r="BN133" s="398"/>
      <c r="BO133" s="397"/>
      <c r="BP133" s="398"/>
      <c r="BQ133" s="397"/>
      <c r="BR133" s="398"/>
      <c r="BS133" s="397"/>
      <c r="BT133" s="398"/>
      <c r="BU133" s="397"/>
      <c r="BV133" s="398"/>
      <c r="BW133" s="397"/>
      <c r="BX133" s="398"/>
      <c r="BY133" s="397"/>
      <c r="BZ133" s="398"/>
      <c r="CA133" s="397"/>
      <c r="CB133" s="398"/>
      <c r="CC133" s="397"/>
      <c r="CD133" s="398"/>
      <c r="CE133" s="397"/>
      <c r="CF133" s="398"/>
      <c r="CG133" s="397"/>
      <c r="CH133" s="417"/>
      <c r="CI133" s="418"/>
      <c r="CJ133" s="419"/>
      <c r="CK133" s="409">
        <f>CH132*AL133</f>
        <v>56429880</v>
      </c>
      <c r="CL133" s="410"/>
      <c r="CM133" s="411"/>
      <c r="CN133" s="412">
        <f>+CK133</f>
        <v>56429880</v>
      </c>
      <c r="CO133" s="410"/>
      <c r="CP133" s="413"/>
      <c r="CQ133" s="394"/>
      <c r="CR133" s="394"/>
      <c r="CS133" s="394"/>
      <c r="CT133" s="121"/>
      <c r="CU133" s="121"/>
      <c r="CV133" s="121"/>
      <c r="CW133" s="122"/>
      <c r="CX133" s="122"/>
      <c r="CY133" s="122"/>
      <c r="CZ133" s="122"/>
      <c r="DA133" s="122"/>
      <c r="DB133" s="121"/>
      <c r="DC133" s="121"/>
      <c r="DD133" s="121"/>
      <c r="DE133" s="121"/>
      <c r="DF133" s="123"/>
      <c r="DG133" s="123"/>
      <c r="DH133" s="123"/>
      <c r="DI133" s="123"/>
      <c r="DJ133" s="394"/>
      <c r="DK133" s="394"/>
      <c r="DL133" s="394"/>
      <c r="DM133" s="394"/>
      <c r="DN133" s="394"/>
      <c r="DO133" s="394"/>
      <c r="DP133" s="394"/>
      <c r="DQ133" s="394"/>
      <c r="DR133" s="394"/>
      <c r="DS133" s="394"/>
      <c r="DT133" s="394"/>
      <c r="DU133" s="394"/>
      <c r="DV133" s="394"/>
      <c r="DW133" s="394"/>
      <c r="DX133" s="394"/>
      <c r="DY133" s="394"/>
      <c r="DZ133" s="394"/>
      <c r="EA133" s="394"/>
      <c r="EB133" s="157"/>
      <c r="EC133" s="157" t="s">
        <v>210</v>
      </c>
      <c r="ED133" s="157" t="s">
        <v>156</v>
      </c>
    </row>
    <row r="134" spans="1:134" s="124" customFormat="1" ht="21" customHeight="1">
      <c r="A134" s="117" t="str">
        <f t="shared" ref="A134" si="44">B134</f>
        <v>내부</v>
      </c>
      <c r="B134" s="388" t="s">
        <v>106</v>
      </c>
      <c r="C134" s="389"/>
      <c r="D134" s="390"/>
      <c r="E134" s="388" t="s">
        <v>226</v>
      </c>
      <c r="F134" s="389"/>
      <c r="G134" s="389"/>
      <c r="H134" s="389"/>
      <c r="I134" s="390"/>
      <c r="J134" s="388"/>
      <c r="K134" s="389"/>
      <c r="L134" s="389"/>
      <c r="M134" s="389"/>
      <c r="N134" s="390"/>
      <c r="O134" s="388"/>
      <c r="P134" s="389"/>
      <c r="Q134" s="389"/>
      <c r="R134" s="389"/>
      <c r="S134" s="389"/>
      <c r="T134" s="389"/>
      <c r="U134" s="389"/>
      <c r="V134" s="389"/>
      <c r="W134" s="389"/>
      <c r="X134" s="390"/>
      <c r="Y134" s="379"/>
      <c r="Z134" s="383"/>
      <c r="AA134" s="383"/>
      <c r="AB134" s="380"/>
      <c r="AC134" s="379"/>
      <c r="AD134" s="380"/>
      <c r="AE134" s="379" t="s">
        <v>129</v>
      </c>
      <c r="AF134" s="380"/>
      <c r="AG134" s="379" t="s">
        <v>291</v>
      </c>
      <c r="AH134" s="383"/>
      <c r="AI134" s="380"/>
      <c r="AJ134" s="385" t="s">
        <v>18</v>
      </c>
      <c r="AK134" s="386"/>
      <c r="AL134" s="387">
        <f>SUM(AP134:CG134)</f>
        <v>0</v>
      </c>
      <c r="AM134" s="375"/>
      <c r="AN134" s="376"/>
      <c r="AO134" s="377"/>
      <c r="AP134" s="378"/>
      <c r="AQ134" s="375"/>
      <c r="AR134" s="374"/>
      <c r="AS134" s="375"/>
      <c r="AT134" s="374"/>
      <c r="AU134" s="375"/>
      <c r="AV134" s="374"/>
      <c r="AW134" s="375"/>
      <c r="AX134" s="374"/>
      <c r="AY134" s="375"/>
      <c r="AZ134" s="374"/>
      <c r="BA134" s="375"/>
      <c r="BB134" s="374"/>
      <c r="BC134" s="375"/>
      <c r="BD134" s="374"/>
      <c r="BE134" s="375"/>
      <c r="BF134" s="374"/>
      <c r="BG134" s="375"/>
      <c r="BH134" s="374"/>
      <c r="BI134" s="375"/>
      <c r="BJ134" s="374"/>
      <c r="BK134" s="375"/>
      <c r="BL134" s="374"/>
      <c r="BM134" s="375"/>
      <c r="BN134" s="374"/>
      <c r="BO134" s="375"/>
      <c r="BP134" s="374"/>
      <c r="BQ134" s="375"/>
      <c r="BR134" s="374"/>
      <c r="BS134" s="375"/>
      <c r="BT134" s="374"/>
      <c r="BU134" s="375"/>
      <c r="BV134" s="374"/>
      <c r="BW134" s="375"/>
      <c r="BX134" s="374"/>
      <c r="BY134" s="375"/>
      <c r="BZ134" s="374"/>
      <c r="CA134" s="375"/>
      <c r="CB134" s="374"/>
      <c r="CC134" s="375"/>
      <c r="CD134" s="374"/>
      <c r="CE134" s="375"/>
      <c r="CF134" s="374"/>
      <c r="CG134" s="375"/>
      <c r="CH134" s="414">
        <v>9516000</v>
      </c>
      <c r="CI134" s="415"/>
      <c r="CJ134" s="420"/>
      <c r="CK134" s="402">
        <f>$CH134*AL134</f>
        <v>0</v>
      </c>
      <c r="CL134" s="403"/>
      <c r="CM134" s="404"/>
      <c r="CN134" s="405"/>
      <c r="CO134" s="406"/>
      <c r="CP134" s="407"/>
      <c r="CQ134" s="394"/>
      <c r="CR134" s="394"/>
      <c r="CS134" s="394"/>
      <c r="CT134" s="408"/>
      <c r="CU134" s="408"/>
      <c r="CV134" s="121"/>
      <c r="CW134" s="401"/>
      <c r="CX134" s="401"/>
      <c r="CY134" s="401"/>
      <c r="CZ134" s="401"/>
      <c r="DA134" s="401"/>
      <c r="DB134" s="121"/>
      <c r="DC134" s="121"/>
      <c r="DD134" s="121"/>
      <c r="DE134" s="121"/>
      <c r="DF134" s="123"/>
      <c r="DG134" s="123"/>
      <c r="DH134" s="123"/>
      <c r="DI134" s="123"/>
      <c r="DJ134" s="394"/>
      <c r="DK134" s="394"/>
      <c r="DL134" s="394"/>
      <c r="DM134" s="394"/>
      <c r="DN134" s="394"/>
      <c r="DO134" s="394"/>
      <c r="DP134" s="394"/>
      <c r="DQ134" s="394"/>
      <c r="DR134" s="394"/>
      <c r="DS134" s="394"/>
      <c r="DT134" s="394"/>
      <c r="DU134" s="394"/>
      <c r="DV134" s="394"/>
      <c r="DW134" s="394"/>
      <c r="DX134" s="394"/>
      <c r="DY134" s="394"/>
      <c r="DZ134" s="394"/>
      <c r="EA134" s="394"/>
      <c r="EB134" s="157"/>
      <c r="EC134" s="157" t="s">
        <v>145</v>
      </c>
      <c r="ED134" s="157" t="s">
        <v>157</v>
      </c>
    </row>
    <row r="135" spans="1:134" s="124" customFormat="1" ht="21" customHeight="1">
      <c r="A135" s="117" t="str">
        <f t="shared" ref="A135" si="45">B134</f>
        <v>내부</v>
      </c>
      <c r="B135" s="391"/>
      <c r="C135" s="392"/>
      <c r="D135" s="393"/>
      <c r="E135" s="391"/>
      <c r="F135" s="392"/>
      <c r="G135" s="392"/>
      <c r="H135" s="392"/>
      <c r="I135" s="393"/>
      <c r="J135" s="391"/>
      <c r="K135" s="392"/>
      <c r="L135" s="392"/>
      <c r="M135" s="392"/>
      <c r="N135" s="393"/>
      <c r="O135" s="391"/>
      <c r="P135" s="392"/>
      <c r="Q135" s="392"/>
      <c r="R135" s="392"/>
      <c r="S135" s="392"/>
      <c r="T135" s="392"/>
      <c r="U135" s="392"/>
      <c r="V135" s="392"/>
      <c r="W135" s="392"/>
      <c r="X135" s="393"/>
      <c r="Y135" s="381"/>
      <c r="Z135" s="384"/>
      <c r="AA135" s="384"/>
      <c r="AB135" s="382"/>
      <c r="AC135" s="381"/>
      <c r="AD135" s="382"/>
      <c r="AE135" s="381"/>
      <c r="AF135" s="382"/>
      <c r="AG135" s="381"/>
      <c r="AH135" s="384"/>
      <c r="AI135" s="382"/>
      <c r="AJ135" s="395" t="s">
        <v>19</v>
      </c>
      <c r="AK135" s="386"/>
      <c r="AL135" s="396">
        <f>SUM(AP135:CG135)</f>
        <v>5.84</v>
      </c>
      <c r="AM135" s="397"/>
      <c r="AN135" s="398">
        <f>+AL135</f>
        <v>5.84</v>
      </c>
      <c r="AO135" s="399"/>
      <c r="AP135" s="400"/>
      <c r="AQ135" s="397"/>
      <c r="AR135" s="398"/>
      <c r="AS135" s="397"/>
      <c r="AT135" s="398"/>
      <c r="AU135" s="397"/>
      <c r="AV135" s="398"/>
      <c r="AW135" s="397"/>
      <c r="AX135" s="398"/>
      <c r="AY135" s="397"/>
      <c r="AZ135" s="398"/>
      <c r="BA135" s="397"/>
      <c r="BB135" s="398">
        <v>1</v>
      </c>
      <c r="BC135" s="397"/>
      <c r="BD135" s="398">
        <v>1</v>
      </c>
      <c r="BE135" s="397"/>
      <c r="BF135" s="398">
        <v>1</v>
      </c>
      <c r="BG135" s="397"/>
      <c r="BH135" s="398">
        <v>0.95</v>
      </c>
      <c r="BI135" s="397"/>
      <c r="BJ135" s="398">
        <v>0.95</v>
      </c>
      <c r="BK135" s="397"/>
      <c r="BL135" s="398">
        <v>0.94</v>
      </c>
      <c r="BM135" s="397"/>
      <c r="BN135" s="398"/>
      <c r="BO135" s="397"/>
      <c r="BP135" s="398"/>
      <c r="BQ135" s="397"/>
      <c r="BR135" s="398"/>
      <c r="BS135" s="397"/>
      <c r="BT135" s="398"/>
      <c r="BU135" s="397"/>
      <c r="BV135" s="398"/>
      <c r="BW135" s="397"/>
      <c r="BX135" s="398"/>
      <c r="BY135" s="397"/>
      <c r="BZ135" s="398"/>
      <c r="CA135" s="397"/>
      <c r="CB135" s="398"/>
      <c r="CC135" s="397"/>
      <c r="CD135" s="398"/>
      <c r="CE135" s="397"/>
      <c r="CF135" s="398"/>
      <c r="CG135" s="397"/>
      <c r="CH135" s="417"/>
      <c r="CI135" s="418"/>
      <c r="CJ135" s="421"/>
      <c r="CK135" s="409">
        <f>CH134*AL135</f>
        <v>55573440</v>
      </c>
      <c r="CL135" s="410"/>
      <c r="CM135" s="411"/>
      <c r="CN135" s="412">
        <f>+CK135</f>
        <v>55573440</v>
      </c>
      <c r="CO135" s="410"/>
      <c r="CP135" s="413"/>
      <c r="CQ135" s="394"/>
      <c r="CR135" s="394"/>
      <c r="CS135" s="394"/>
      <c r="CT135" s="121"/>
      <c r="CU135" s="121"/>
      <c r="CV135" s="121"/>
      <c r="CW135" s="122"/>
      <c r="CX135" s="122"/>
      <c r="CY135" s="122"/>
      <c r="CZ135" s="122"/>
      <c r="DA135" s="122"/>
      <c r="DB135" s="121"/>
      <c r="DC135" s="121"/>
      <c r="DD135" s="121"/>
      <c r="DE135" s="121"/>
      <c r="DF135" s="123"/>
      <c r="DG135" s="123"/>
      <c r="DH135" s="123"/>
      <c r="DI135" s="123"/>
      <c r="DJ135" s="394"/>
      <c r="DK135" s="394"/>
      <c r="DL135" s="394"/>
      <c r="DM135" s="394"/>
      <c r="DN135" s="394"/>
      <c r="DO135" s="394"/>
      <c r="DP135" s="394"/>
      <c r="DQ135" s="394"/>
      <c r="DR135" s="394"/>
      <c r="DS135" s="394"/>
      <c r="DT135" s="394"/>
      <c r="DU135" s="394"/>
      <c r="DV135" s="394"/>
      <c r="DW135" s="394"/>
      <c r="DX135" s="394"/>
      <c r="DY135" s="394"/>
      <c r="DZ135" s="394"/>
      <c r="EA135" s="394"/>
      <c r="EB135" s="157"/>
      <c r="EC135" s="157" t="s">
        <v>146</v>
      </c>
      <c r="ED135" s="157" t="s">
        <v>158</v>
      </c>
    </row>
    <row r="136" spans="1:134" s="124" customFormat="1" ht="21" customHeight="1">
      <c r="A136" s="117" t="str">
        <f t="shared" ref="A136" si="46">B136</f>
        <v>내부</v>
      </c>
      <c r="B136" s="388" t="s">
        <v>106</v>
      </c>
      <c r="C136" s="389"/>
      <c r="D136" s="390"/>
      <c r="E136" s="388" t="s">
        <v>226</v>
      </c>
      <c r="F136" s="389"/>
      <c r="G136" s="389"/>
      <c r="H136" s="389"/>
      <c r="I136" s="390"/>
      <c r="J136" s="388"/>
      <c r="K136" s="389"/>
      <c r="L136" s="389"/>
      <c r="M136" s="389"/>
      <c r="N136" s="390"/>
      <c r="O136" s="388"/>
      <c r="P136" s="389"/>
      <c r="Q136" s="389"/>
      <c r="R136" s="389"/>
      <c r="S136" s="389"/>
      <c r="T136" s="389"/>
      <c r="U136" s="389"/>
      <c r="V136" s="389"/>
      <c r="W136" s="389"/>
      <c r="X136" s="390"/>
      <c r="Y136" s="379"/>
      <c r="Z136" s="383"/>
      <c r="AA136" s="383"/>
      <c r="AB136" s="380"/>
      <c r="AC136" s="379"/>
      <c r="AD136" s="380"/>
      <c r="AE136" s="379" t="s">
        <v>279</v>
      </c>
      <c r="AF136" s="380"/>
      <c r="AG136" s="379" t="s">
        <v>292</v>
      </c>
      <c r="AH136" s="383"/>
      <c r="AI136" s="380"/>
      <c r="AJ136" s="385" t="s">
        <v>18</v>
      </c>
      <c r="AK136" s="386"/>
      <c r="AL136" s="387">
        <f>SUM(AP136:CG136)</f>
        <v>0</v>
      </c>
      <c r="AM136" s="375"/>
      <c r="AN136" s="376"/>
      <c r="AO136" s="377"/>
      <c r="AP136" s="378"/>
      <c r="AQ136" s="375"/>
      <c r="AR136" s="374"/>
      <c r="AS136" s="375"/>
      <c r="AT136" s="374"/>
      <c r="AU136" s="375"/>
      <c r="AV136" s="374"/>
      <c r="AW136" s="375"/>
      <c r="AX136" s="374"/>
      <c r="AY136" s="375"/>
      <c r="AZ136" s="374"/>
      <c r="BA136" s="375"/>
      <c r="BB136" s="374"/>
      <c r="BC136" s="375"/>
      <c r="BD136" s="374"/>
      <c r="BE136" s="375"/>
      <c r="BF136" s="374"/>
      <c r="BG136" s="375"/>
      <c r="BH136" s="374"/>
      <c r="BI136" s="375"/>
      <c r="BJ136" s="374"/>
      <c r="BK136" s="375"/>
      <c r="BL136" s="374"/>
      <c r="BM136" s="375"/>
      <c r="BN136" s="374"/>
      <c r="BO136" s="375"/>
      <c r="BP136" s="374"/>
      <c r="BQ136" s="375"/>
      <c r="BR136" s="374"/>
      <c r="BS136" s="375"/>
      <c r="BT136" s="374"/>
      <c r="BU136" s="375"/>
      <c r="BV136" s="374"/>
      <c r="BW136" s="375"/>
      <c r="BX136" s="374"/>
      <c r="BY136" s="375"/>
      <c r="BZ136" s="374"/>
      <c r="CA136" s="375"/>
      <c r="CB136" s="374"/>
      <c r="CC136" s="375"/>
      <c r="CD136" s="374"/>
      <c r="CE136" s="375"/>
      <c r="CF136" s="374"/>
      <c r="CG136" s="375"/>
      <c r="CH136" s="414">
        <v>10016000</v>
      </c>
      <c r="CI136" s="415"/>
      <c r="CJ136" s="416"/>
      <c r="CK136" s="402">
        <f>$CH136*AL136</f>
        <v>0</v>
      </c>
      <c r="CL136" s="403"/>
      <c r="CM136" s="404"/>
      <c r="CN136" s="405"/>
      <c r="CO136" s="406"/>
      <c r="CP136" s="407"/>
      <c r="CQ136" s="394"/>
      <c r="CR136" s="394"/>
      <c r="CS136" s="394"/>
      <c r="CT136" s="408"/>
      <c r="CU136" s="408"/>
      <c r="CV136" s="121"/>
      <c r="CW136" s="401"/>
      <c r="CX136" s="401"/>
      <c r="CY136" s="401"/>
      <c r="CZ136" s="401"/>
      <c r="DA136" s="401"/>
      <c r="DB136" s="121"/>
      <c r="DC136" s="121"/>
      <c r="DD136" s="121"/>
      <c r="DE136" s="121"/>
      <c r="DF136" s="123"/>
      <c r="DG136" s="123"/>
      <c r="DH136" s="123"/>
      <c r="DI136" s="123"/>
      <c r="DJ136" s="394"/>
      <c r="DK136" s="394"/>
      <c r="DL136" s="394"/>
      <c r="DM136" s="394"/>
      <c r="DN136" s="394"/>
      <c r="DO136" s="394"/>
      <c r="DP136" s="394"/>
      <c r="DQ136" s="394"/>
      <c r="DR136" s="394"/>
      <c r="DS136" s="394"/>
      <c r="DT136" s="394"/>
      <c r="DU136" s="394"/>
      <c r="DV136" s="394"/>
      <c r="DW136" s="394"/>
      <c r="DX136" s="394"/>
      <c r="DY136" s="394"/>
      <c r="DZ136" s="394"/>
      <c r="EA136" s="394"/>
      <c r="EB136" s="157"/>
      <c r="EC136" s="157" t="s">
        <v>209</v>
      </c>
      <c r="ED136" s="157" t="s">
        <v>155</v>
      </c>
    </row>
    <row r="137" spans="1:134" s="124" customFormat="1" ht="21" customHeight="1">
      <c r="A137" s="117" t="str">
        <f t="shared" ref="A137" si="47">B136</f>
        <v>내부</v>
      </c>
      <c r="B137" s="391"/>
      <c r="C137" s="392"/>
      <c r="D137" s="393"/>
      <c r="E137" s="391"/>
      <c r="F137" s="392"/>
      <c r="G137" s="392"/>
      <c r="H137" s="392"/>
      <c r="I137" s="393"/>
      <c r="J137" s="391"/>
      <c r="K137" s="392"/>
      <c r="L137" s="392"/>
      <c r="M137" s="392"/>
      <c r="N137" s="393"/>
      <c r="O137" s="391"/>
      <c r="P137" s="392"/>
      <c r="Q137" s="392"/>
      <c r="R137" s="392"/>
      <c r="S137" s="392"/>
      <c r="T137" s="392"/>
      <c r="U137" s="392"/>
      <c r="V137" s="392"/>
      <c r="W137" s="392"/>
      <c r="X137" s="393"/>
      <c r="Y137" s="381"/>
      <c r="Z137" s="384"/>
      <c r="AA137" s="384"/>
      <c r="AB137" s="382"/>
      <c r="AC137" s="381"/>
      <c r="AD137" s="382"/>
      <c r="AE137" s="381"/>
      <c r="AF137" s="382"/>
      <c r="AG137" s="381"/>
      <c r="AH137" s="384"/>
      <c r="AI137" s="382"/>
      <c r="AJ137" s="395" t="s">
        <v>19</v>
      </c>
      <c r="AK137" s="386"/>
      <c r="AL137" s="396">
        <f>SUM(AP137:CG137)</f>
        <v>0.91999999999999993</v>
      </c>
      <c r="AM137" s="397"/>
      <c r="AN137" s="398">
        <f>+AL137</f>
        <v>0.91999999999999993</v>
      </c>
      <c r="AO137" s="399"/>
      <c r="AP137" s="400"/>
      <c r="AQ137" s="397"/>
      <c r="AR137" s="398"/>
      <c r="AS137" s="397"/>
      <c r="AT137" s="398"/>
      <c r="AU137" s="397"/>
      <c r="AV137" s="398"/>
      <c r="AW137" s="397"/>
      <c r="AX137" s="398">
        <v>0.15</v>
      </c>
      <c r="AY137" s="397"/>
      <c r="AZ137" s="398">
        <v>0.1</v>
      </c>
      <c r="BA137" s="397"/>
      <c r="BB137" s="398">
        <v>0.48</v>
      </c>
      <c r="BC137" s="397"/>
      <c r="BD137" s="398">
        <v>0.09</v>
      </c>
      <c r="BE137" s="397"/>
      <c r="BF137" s="398">
        <v>0.02</v>
      </c>
      <c r="BG137" s="397"/>
      <c r="BH137" s="398"/>
      <c r="BI137" s="397"/>
      <c r="BJ137" s="398">
        <v>0.08</v>
      </c>
      <c r="BK137" s="397"/>
      <c r="BL137" s="398"/>
      <c r="BM137" s="397"/>
      <c r="BN137" s="398"/>
      <c r="BO137" s="397"/>
      <c r="BP137" s="398"/>
      <c r="BQ137" s="397"/>
      <c r="BR137" s="398"/>
      <c r="BS137" s="397"/>
      <c r="BT137" s="398"/>
      <c r="BU137" s="397"/>
      <c r="BV137" s="398"/>
      <c r="BW137" s="397"/>
      <c r="BX137" s="398"/>
      <c r="BY137" s="397"/>
      <c r="BZ137" s="398"/>
      <c r="CA137" s="397"/>
      <c r="CB137" s="398"/>
      <c r="CC137" s="397"/>
      <c r="CD137" s="398"/>
      <c r="CE137" s="397"/>
      <c r="CF137" s="398"/>
      <c r="CG137" s="397"/>
      <c r="CH137" s="417"/>
      <c r="CI137" s="418"/>
      <c r="CJ137" s="419"/>
      <c r="CK137" s="409">
        <f>CH136*AL137</f>
        <v>9214720</v>
      </c>
      <c r="CL137" s="410"/>
      <c r="CM137" s="411"/>
      <c r="CN137" s="412">
        <f>+CK137</f>
        <v>9214720</v>
      </c>
      <c r="CO137" s="410"/>
      <c r="CP137" s="413"/>
      <c r="CQ137" s="394"/>
      <c r="CR137" s="394"/>
      <c r="CS137" s="394"/>
      <c r="CT137" s="121"/>
      <c r="CU137" s="121"/>
      <c r="CV137" s="121"/>
      <c r="CW137" s="122"/>
      <c r="CX137" s="122"/>
      <c r="CY137" s="122"/>
      <c r="CZ137" s="122"/>
      <c r="DA137" s="122"/>
      <c r="DB137" s="121"/>
      <c r="DC137" s="121"/>
      <c r="DD137" s="121"/>
      <c r="DE137" s="121"/>
      <c r="DF137" s="123"/>
      <c r="DG137" s="123"/>
      <c r="DH137" s="123"/>
      <c r="DI137" s="123"/>
      <c r="DJ137" s="394"/>
      <c r="DK137" s="394"/>
      <c r="DL137" s="394"/>
      <c r="DM137" s="394"/>
      <c r="DN137" s="394"/>
      <c r="DO137" s="394"/>
      <c r="DP137" s="394"/>
      <c r="DQ137" s="394"/>
      <c r="DR137" s="394"/>
      <c r="DS137" s="394"/>
      <c r="DT137" s="394"/>
      <c r="DU137" s="394"/>
      <c r="DV137" s="394"/>
      <c r="DW137" s="394"/>
      <c r="DX137" s="394"/>
      <c r="DY137" s="394"/>
      <c r="DZ137" s="394"/>
      <c r="EA137" s="394"/>
      <c r="EB137" s="157"/>
      <c r="EC137" s="157" t="s">
        <v>210</v>
      </c>
      <c r="ED137" s="157" t="s">
        <v>156</v>
      </c>
    </row>
    <row r="138" spans="1:134" s="124" customFormat="1" ht="21" customHeight="1">
      <c r="A138" s="117" t="str">
        <f t="shared" ref="A138" si="48">B138</f>
        <v>내부</v>
      </c>
      <c r="B138" s="388" t="s">
        <v>106</v>
      </c>
      <c r="C138" s="389"/>
      <c r="D138" s="390"/>
      <c r="E138" s="388"/>
      <c r="F138" s="389"/>
      <c r="G138" s="389"/>
      <c r="H138" s="389"/>
      <c r="I138" s="390"/>
      <c r="J138" s="388"/>
      <c r="K138" s="389"/>
      <c r="L138" s="389"/>
      <c r="M138" s="389"/>
      <c r="N138" s="390"/>
      <c r="O138" s="388"/>
      <c r="P138" s="389"/>
      <c r="Q138" s="389"/>
      <c r="R138" s="389"/>
      <c r="S138" s="389"/>
      <c r="T138" s="389"/>
      <c r="U138" s="389"/>
      <c r="V138" s="389"/>
      <c r="W138" s="389"/>
      <c r="X138" s="390"/>
      <c r="Y138" s="379"/>
      <c r="Z138" s="383"/>
      <c r="AA138" s="383"/>
      <c r="AB138" s="380"/>
      <c r="AC138" s="379"/>
      <c r="AD138" s="380"/>
      <c r="AE138" s="379"/>
      <c r="AF138" s="380"/>
      <c r="AG138" s="379"/>
      <c r="AH138" s="383"/>
      <c r="AI138" s="380"/>
      <c r="AJ138" s="385" t="s">
        <v>18</v>
      </c>
      <c r="AK138" s="386"/>
      <c r="AL138" s="387">
        <f>SUM(AP138:CG138)</f>
        <v>0</v>
      </c>
      <c r="AM138" s="375"/>
      <c r="AN138" s="376"/>
      <c r="AO138" s="377"/>
      <c r="AP138" s="378"/>
      <c r="AQ138" s="375"/>
      <c r="AR138" s="374"/>
      <c r="AS138" s="375"/>
      <c r="AT138" s="374"/>
      <c r="AU138" s="375"/>
      <c r="AV138" s="374"/>
      <c r="AW138" s="375"/>
      <c r="AX138" s="374"/>
      <c r="AY138" s="375"/>
      <c r="AZ138" s="374"/>
      <c r="BA138" s="375"/>
      <c r="BB138" s="374"/>
      <c r="BC138" s="375"/>
      <c r="BD138" s="374"/>
      <c r="BE138" s="375"/>
      <c r="BF138" s="374"/>
      <c r="BG138" s="375"/>
      <c r="BH138" s="374"/>
      <c r="BI138" s="375"/>
      <c r="BJ138" s="374"/>
      <c r="BK138" s="375"/>
      <c r="BL138" s="374"/>
      <c r="BM138" s="375"/>
      <c r="BN138" s="374"/>
      <c r="BO138" s="375"/>
      <c r="BP138" s="374"/>
      <c r="BQ138" s="375"/>
      <c r="BR138" s="374"/>
      <c r="BS138" s="375"/>
      <c r="BT138" s="374"/>
      <c r="BU138" s="375"/>
      <c r="BV138" s="374"/>
      <c r="BW138" s="375"/>
      <c r="BX138" s="374"/>
      <c r="BY138" s="375"/>
      <c r="BZ138" s="374"/>
      <c r="CA138" s="375"/>
      <c r="CB138" s="374"/>
      <c r="CC138" s="375"/>
      <c r="CD138" s="374"/>
      <c r="CE138" s="375"/>
      <c r="CF138" s="374"/>
      <c r="CG138" s="375"/>
      <c r="CH138" s="414"/>
      <c r="CI138" s="415"/>
      <c r="CJ138" s="416"/>
      <c r="CK138" s="402">
        <f>$CH138*AL138</f>
        <v>0</v>
      </c>
      <c r="CL138" s="403"/>
      <c r="CM138" s="404"/>
      <c r="CN138" s="405"/>
      <c r="CO138" s="406"/>
      <c r="CP138" s="407"/>
      <c r="CQ138" s="394"/>
      <c r="CR138" s="394"/>
      <c r="CS138" s="394"/>
      <c r="CT138" s="408"/>
      <c r="CU138" s="408"/>
      <c r="CV138" s="121"/>
      <c r="CW138" s="401"/>
      <c r="CX138" s="401"/>
      <c r="CY138" s="401"/>
      <c r="CZ138" s="401"/>
      <c r="DA138" s="401"/>
      <c r="DB138" s="121"/>
      <c r="DC138" s="121"/>
      <c r="DD138" s="121"/>
      <c r="DE138" s="121"/>
      <c r="DF138" s="123"/>
      <c r="DG138" s="123"/>
      <c r="DH138" s="123"/>
      <c r="DI138" s="123"/>
      <c r="DJ138" s="394"/>
      <c r="DK138" s="394"/>
      <c r="DL138" s="394"/>
      <c r="DM138" s="394"/>
      <c r="DN138" s="394"/>
      <c r="DO138" s="394"/>
      <c r="DP138" s="394"/>
      <c r="DQ138" s="394"/>
      <c r="DR138" s="394"/>
      <c r="DS138" s="394"/>
      <c r="DT138" s="394"/>
      <c r="DU138" s="394"/>
      <c r="DV138" s="394"/>
      <c r="DW138" s="394"/>
      <c r="DX138" s="394"/>
      <c r="DY138" s="394"/>
      <c r="DZ138" s="394"/>
      <c r="EA138" s="394"/>
      <c r="EB138" s="157"/>
      <c r="EC138" s="157" t="s">
        <v>209</v>
      </c>
      <c r="ED138" s="157" t="s">
        <v>155</v>
      </c>
    </row>
    <row r="139" spans="1:134" s="124" customFormat="1" ht="21" customHeight="1">
      <c r="A139" s="117" t="str">
        <f t="shared" ref="A139" si="49">B138</f>
        <v>내부</v>
      </c>
      <c r="B139" s="391"/>
      <c r="C139" s="392"/>
      <c r="D139" s="393"/>
      <c r="E139" s="391"/>
      <c r="F139" s="392"/>
      <c r="G139" s="392"/>
      <c r="H139" s="392"/>
      <c r="I139" s="393"/>
      <c r="J139" s="391"/>
      <c r="K139" s="392"/>
      <c r="L139" s="392"/>
      <c r="M139" s="392"/>
      <c r="N139" s="393"/>
      <c r="O139" s="391"/>
      <c r="P139" s="392"/>
      <c r="Q139" s="392"/>
      <c r="R139" s="392"/>
      <c r="S139" s="392"/>
      <c r="T139" s="392"/>
      <c r="U139" s="392"/>
      <c r="V139" s="392"/>
      <c r="W139" s="392"/>
      <c r="X139" s="393"/>
      <c r="Y139" s="381"/>
      <c r="Z139" s="384"/>
      <c r="AA139" s="384"/>
      <c r="AB139" s="382"/>
      <c r="AC139" s="381"/>
      <c r="AD139" s="382"/>
      <c r="AE139" s="381"/>
      <c r="AF139" s="382"/>
      <c r="AG139" s="381"/>
      <c r="AH139" s="384"/>
      <c r="AI139" s="382"/>
      <c r="AJ139" s="395" t="s">
        <v>19</v>
      </c>
      <c r="AK139" s="386"/>
      <c r="AL139" s="396">
        <f>SUM(AP139:CG139)</f>
        <v>0</v>
      </c>
      <c r="AM139" s="397"/>
      <c r="AN139" s="398">
        <f>+AL139</f>
        <v>0</v>
      </c>
      <c r="AO139" s="399"/>
      <c r="AP139" s="400"/>
      <c r="AQ139" s="397"/>
      <c r="AR139" s="398"/>
      <c r="AS139" s="397"/>
      <c r="AT139" s="398"/>
      <c r="AU139" s="397"/>
      <c r="AV139" s="398"/>
      <c r="AW139" s="397"/>
      <c r="AX139" s="398"/>
      <c r="AY139" s="397"/>
      <c r="AZ139" s="398"/>
      <c r="BA139" s="397"/>
      <c r="BB139" s="398"/>
      <c r="BC139" s="397"/>
      <c r="BD139" s="398"/>
      <c r="BE139" s="397"/>
      <c r="BF139" s="398"/>
      <c r="BG139" s="397"/>
      <c r="BH139" s="398"/>
      <c r="BI139" s="397"/>
      <c r="BJ139" s="398"/>
      <c r="BK139" s="397"/>
      <c r="BL139" s="398"/>
      <c r="BM139" s="397"/>
      <c r="BN139" s="398"/>
      <c r="BO139" s="397"/>
      <c r="BP139" s="398"/>
      <c r="BQ139" s="397"/>
      <c r="BR139" s="398"/>
      <c r="BS139" s="397"/>
      <c r="BT139" s="398"/>
      <c r="BU139" s="397"/>
      <c r="BV139" s="398"/>
      <c r="BW139" s="397"/>
      <c r="BX139" s="398"/>
      <c r="BY139" s="397"/>
      <c r="BZ139" s="398"/>
      <c r="CA139" s="397"/>
      <c r="CB139" s="398"/>
      <c r="CC139" s="397"/>
      <c r="CD139" s="398"/>
      <c r="CE139" s="397"/>
      <c r="CF139" s="398"/>
      <c r="CG139" s="397"/>
      <c r="CH139" s="417"/>
      <c r="CI139" s="418"/>
      <c r="CJ139" s="419"/>
      <c r="CK139" s="409">
        <f>CH138*AL139</f>
        <v>0</v>
      </c>
      <c r="CL139" s="410"/>
      <c r="CM139" s="411"/>
      <c r="CN139" s="412">
        <f>+CK139</f>
        <v>0</v>
      </c>
      <c r="CO139" s="410"/>
      <c r="CP139" s="413"/>
      <c r="CQ139" s="394"/>
      <c r="CR139" s="394"/>
      <c r="CS139" s="394"/>
      <c r="CT139" s="121"/>
      <c r="CU139" s="121"/>
      <c r="CV139" s="121"/>
      <c r="CW139" s="122"/>
      <c r="CX139" s="122"/>
      <c r="CY139" s="122"/>
      <c r="CZ139" s="122"/>
      <c r="DA139" s="122"/>
      <c r="DB139" s="121"/>
      <c r="DC139" s="121"/>
      <c r="DD139" s="121"/>
      <c r="DE139" s="121"/>
      <c r="DF139" s="123"/>
      <c r="DG139" s="123"/>
      <c r="DH139" s="123"/>
      <c r="DI139" s="123"/>
      <c r="DJ139" s="394"/>
      <c r="DK139" s="394"/>
      <c r="DL139" s="394"/>
      <c r="DM139" s="394"/>
      <c r="DN139" s="394"/>
      <c r="DO139" s="394"/>
      <c r="DP139" s="394"/>
      <c r="DQ139" s="394"/>
      <c r="DR139" s="394"/>
      <c r="DS139" s="394"/>
      <c r="DT139" s="394"/>
      <c r="DU139" s="394"/>
      <c r="DV139" s="394"/>
      <c r="DW139" s="394"/>
      <c r="DX139" s="394"/>
      <c r="DY139" s="394"/>
      <c r="DZ139" s="394"/>
      <c r="EA139" s="394"/>
      <c r="EB139" s="157"/>
      <c r="EC139" s="157" t="s">
        <v>210</v>
      </c>
      <c r="ED139" s="157" t="s">
        <v>156</v>
      </c>
    </row>
    <row r="140" spans="1:134" s="124" customFormat="1" ht="21" customHeight="1">
      <c r="A140" s="117" t="str">
        <f t="shared" ref="A140" si="50">B140</f>
        <v>내부</v>
      </c>
      <c r="B140" s="388" t="s">
        <v>106</v>
      </c>
      <c r="C140" s="389"/>
      <c r="D140" s="390"/>
      <c r="E140" s="388"/>
      <c r="F140" s="389"/>
      <c r="G140" s="389"/>
      <c r="H140" s="389"/>
      <c r="I140" s="390"/>
      <c r="J140" s="388"/>
      <c r="K140" s="389"/>
      <c r="L140" s="389"/>
      <c r="M140" s="389"/>
      <c r="N140" s="390"/>
      <c r="O140" s="388"/>
      <c r="P140" s="389"/>
      <c r="Q140" s="389"/>
      <c r="R140" s="389"/>
      <c r="S140" s="389"/>
      <c r="T140" s="389"/>
      <c r="U140" s="389"/>
      <c r="V140" s="389"/>
      <c r="W140" s="389"/>
      <c r="X140" s="390"/>
      <c r="Y140" s="379"/>
      <c r="Z140" s="383"/>
      <c r="AA140" s="383"/>
      <c r="AB140" s="380"/>
      <c r="AC140" s="379"/>
      <c r="AD140" s="380"/>
      <c r="AE140" s="379"/>
      <c r="AF140" s="380"/>
      <c r="AG140" s="379"/>
      <c r="AH140" s="383"/>
      <c r="AI140" s="380"/>
      <c r="AJ140" s="385" t="s">
        <v>18</v>
      </c>
      <c r="AK140" s="386"/>
      <c r="AL140" s="387">
        <f>SUM(AP140:CG140)</f>
        <v>0</v>
      </c>
      <c r="AM140" s="375"/>
      <c r="AN140" s="376"/>
      <c r="AO140" s="377"/>
      <c r="AP140" s="378"/>
      <c r="AQ140" s="375"/>
      <c r="AR140" s="374"/>
      <c r="AS140" s="375"/>
      <c r="AT140" s="374"/>
      <c r="AU140" s="375"/>
      <c r="AV140" s="374"/>
      <c r="AW140" s="375"/>
      <c r="AX140" s="374"/>
      <c r="AY140" s="375"/>
      <c r="AZ140" s="374"/>
      <c r="BA140" s="375"/>
      <c r="BB140" s="374"/>
      <c r="BC140" s="375"/>
      <c r="BD140" s="374"/>
      <c r="BE140" s="375"/>
      <c r="BF140" s="374"/>
      <c r="BG140" s="375"/>
      <c r="BH140" s="374"/>
      <c r="BI140" s="375"/>
      <c r="BJ140" s="374"/>
      <c r="BK140" s="375"/>
      <c r="BL140" s="374"/>
      <c r="BM140" s="375"/>
      <c r="BN140" s="374"/>
      <c r="BO140" s="375"/>
      <c r="BP140" s="374"/>
      <c r="BQ140" s="375"/>
      <c r="BR140" s="374"/>
      <c r="BS140" s="375"/>
      <c r="BT140" s="374"/>
      <c r="BU140" s="375"/>
      <c r="BV140" s="374"/>
      <c r="BW140" s="375"/>
      <c r="BX140" s="374"/>
      <c r="BY140" s="375"/>
      <c r="BZ140" s="374"/>
      <c r="CA140" s="375"/>
      <c r="CB140" s="374"/>
      <c r="CC140" s="375"/>
      <c r="CD140" s="374"/>
      <c r="CE140" s="375"/>
      <c r="CF140" s="374"/>
      <c r="CG140" s="375"/>
      <c r="CH140" s="414"/>
      <c r="CI140" s="415"/>
      <c r="CJ140" s="416"/>
      <c r="CK140" s="402">
        <f>$CH140*AL140</f>
        <v>0</v>
      </c>
      <c r="CL140" s="403"/>
      <c r="CM140" s="404"/>
      <c r="CN140" s="405"/>
      <c r="CO140" s="406"/>
      <c r="CP140" s="407"/>
      <c r="CQ140" s="394"/>
      <c r="CR140" s="394"/>
      <c r="CS140" s="394"/>
      <c r="CT140" s="408"/>
      <c r="CU140" s="408"/>
      <c r="CV140" s="121"/>
      <c r="CW140" s="401"/>
      <c r="CX140" s="401"/>
      <c r="CY140" s="401"/>
      <c r="CZ140" s="401"/>
      <c r="DA140" s="401"/>
      <c r="DB140" s="121"/>
      <c r="DC140" s="121"/>
      <c r="DD140" s="121"/>
      <c r="DE140" s="121"/>
      <c r="DF140" s="123"/>
      <c r="DG140" s="123"/>
      <c r="DH140" s="123"/>
      <c r="DI140" s="123"/>
      <c r="DJ140" s="394"/>
      <c r="DK140" s="394"/>
      <c r="DL140" s="394"/>
      <c r="DM140" s="394"/>
      <c r="DN140" s="394"/>
      <c r="DO140" s="394"/>
      <c r="DP140" s="394"/>
      <c r="DQ140" s="394"/>
      <c r="DR140" s="394"/>
      <c r="DS140" s="394"/>
      <c r="DT140" s="394"/>
      <c r="DU140" s="394"/>
      <c r="DV140" s="394"/>
      <c r="DW140" s="394"/>
      <c r="DX140" s="394"/>
      <c r="DY140" s="394"/>
      <c r="DZ140" s="394"/>
      <c r="EA140" s="394"/>
      <c r="EB140" s="157"/>
      <c r="EC140" s="157" t="s">
        <v>209</v>
      </c>
      <c r="ED140" s="157" t="s">
        <v>155</v>
      </c>
    </row>
    <row r="141" spans="1:134" s="124" customFormat="1" ht="21" customHeight="1">
      <c r="A141" s="117" t="str">
        <f t="shared" ref="A141" si="51">B140</f>
        <v>내부</v>
      </c>
      <c r="B141" s="391"/>
      <c r="C141" s="392"/>
      <c r="D141" s="393"/>
      <c r="E141" s="391"/>
      <c r="F141" s="392"/>
      <c r="G141" s="392"/>
      <c r="H141" s="392"/>
      <c r="I141" s="393"/>
      <c r="J141" s="391"/>
      <c r="K141" s="392"/>
      <c r="L141" s="392"/>
      <c r="M141" s="392"/>
      <c r="N141" s="393"/>
      <c r="O141" s="391"/>
      <c r="P141" s="392"/>
      <c r="Q141" s="392"/>
      <c r="R141" s="392"/>
      <c r="S141" s="392"/>
      <c r="T141" s="392"/>
      <c r="U141" s="392"/>
      <c r="V141" s="392"/>
      <c r="W141" s="392"/>
      <c r="X141" s="393"/>
      <c r="Y141" s="381"/>
      <c r="Z141" s="384"/>
      <c r="AA141" s="384"/>
      <c r="AB141" s="382"/>
      <c r="AC141" s="381"/>
      <c r="AD141" s="382"/>
      <c r="AE141" s="381"/>
      <c r="AF141" s="382"/>
      <c r="AG141" s="381"/>
      <c r="AH141" s="384"/>
      <c r="AI141" s="382"/>
      <c r="AJ141" s="395" t="s">
        <v>19</v>
      </c>
      <c r="AK141" s="386"/>
      <c r="AL141" s="396">
        <f>SUM(AP141:CG141)</f>
        <v>0</v>
      </c>
      <c r="AM141" s="397"/>
      <c r="AN141" s="398">
        <f>+AL141</f>
        <v>0</v>
      </c>
      <c r="AO141" s="399"/>
      <c r="AP141" s="400"/>
      <c r="AQ141" s="397"/>
      <c r="AR141" s="398"/>
      <c r="AS141" s="397"/>
      <c r="AT141" s="398"/>
      <c r="AU141" s="397"/>
      <c r="AV141" s="398"/>
      <c r="AW141" s="397"/>
      <c r="AX141" s="398"/>
      <c r="AY141" s="397"/>
      <c r="AZ141" s="398"/>
      <c r="BA141" s="397"/>
      <c r="BB141" s="398"/>
      <c r="BC141" s="397"/>
      <c r="BD141" s="398"/>
      <c r="BE141" s="397"/>
      <c r="BF141" s="398"/>
      <c r="BG141" s="397"/>
      <c r="BH141" s="398"/>
      <c r="BI141" s="397"/>
      <c r="BJ141" s="398"/>
      <c r="BK141" s="397"/>
      <c r="BL141" s="398"/>
      <c r="BM141" s="397"/>
      <c r="BN141" s="398"/>
      <c r="BO141" s="397"/>
      <c r="BP141" s="398"/>
      <c r="BQ141" s="397"/>
      <c r="BR141" s="398"/>
      <c r="BS141" s="397"/>
      <c r="BT141" s="398"/>
      <c r="BU141" s="397"/>
      <c r="BV141" s="398"/>
      <c r="BW141" s="397"/>
      <c r="BX141" s="398"/>
      <c r="BY141" s="397"/>
      <c r="BZ141" s="398"/>
      <c r="CA141" s="397"/>
      <c r="CB141" s="398"/>
      <c r="CC141" s="397"/>
      <c r="CD141" s="398"/>
      <c r="CE141" s="397"/>
      <c r="CF141" s="398"/>
      <c r="CG141" s="397"/>
      <c r="CH141" s="417"/>
      <c r="CI141" s="418"/>
      <c r="CJ141" s="419"/>
      <c r="CK141" s="409">
        <f>CH140*AL141</f>
        <v>0</v>
      </c>
      <c r="CL141" s="410"/>
      <c r="CM141" s="411"/>
      <c r="CN141" s="412">
        <f>+CK141</f>
        <v>0</v>
      </c>
      <c r="CO141" s="410"/>
      <c r="CP141" s="413"/>
      <c r="CQ141" s="394"/>
      <c r="CR141" s="394"/>
      <c r="CS141" s="394"/>
      <c r="CT141" s="121"/>
      <c r="CU141" s="121"/>
      <c r="CV141" s="121"/>
      <c r="CW141" s="122"/>
      <c r="CX141" s="122"/>
      <c r="CY141" s="122"/>
      <c r="CZ141" s="122"/>
      <c r="DA141" s="122"/>
      <c r="DB141" s="121"/>
      <c r="DC141" s="121"/>
      <c r="DD141" s="121"/>
      <c r="DE141" s="121"/>
      <c r="DF141" s="123"/>
      <c r="DG141" s="123"/>
      <c r="DH141" s="123"/>
      <c r="DI141" s="123"/>
      <c r="DJ141" s="394"/>
      <c r="DK141" s="394"/>
      <c r="DL141" s="394"/>
      <c r="DM141" s="394"/>
      <c r="DN141" s="394"/>
      <c r="DO141" s="394"/>
      <c r="DP141" s="394"/>
      <c r="DQ141" s="394"/>
      <c r="DR141" s="394"/>
      <c r="DS141" s="394"/>
      <c r="DT141" s="394"/>
      <c r="DU141" s="394"/>
      <c r="DV141" s="394"/>
      <c r="DW141" s="394"/>
      <c r="DX141" s="394"/>
      <c r="DY141" s="394"/>
      <c r="DZ141" s="394"/>
      <c r="EA141" s="394"/>
      <c r="EB141" s="157"/>
      <c r="EC141" s="157" t="s">
        <v>210</v>
      </c>
      <c r="ED141" s="157" t="s">
        <v>156</v>
      </c>
    </row>
    <row r="142" spans="1:134" s="124" customFormat="1" ht="21" customHeight="1">
      <c r="A142" s="117" t="str">
        <f t="shared" ref="A142" si="52">B142</f>
        <v>내부</v>
      </c>
      <c r="B142" s="388" t="s">
        <v>106</v>
      </c>
      <c r="C142" s="389"/>
      <c r="D142" s="390"/>
      <c r="E142" s="388"/>
      <c r="F142" s="389"/>
      <c r="G142" s="389"/>
      <c r="H142" s="389"/>
      <c r="I142" s="390"/>
      <c r="J142" s="388"/>
      <c r="K142" s="389"/>
      <c r="L142" s="389"/>
      <c r="M142" s="389"/>
      <c r="N142" s="390"/>
      <c r="O142" s="388"/>
      <c r="P142" s="389"/>
      <c r="Q142" s="389"/>
      <c r="R142" s="389"/>
      <c r="S142" s="389"/>
      <c r="T142" s="389"/>
      <c r="U142" s="389"/>
      <c r="V142" s="389"/>
      <c r="W142" s="389"/>
      <c r="X142" s="390"/>
      <c r="Y142" s="379"/>
      <c r="Z142" s="383"/>
      <c r="AA142" s="383"/>
      <c r="AB142" s="380"/>
      <c r="AC142" s="379"/>
      <c r="AD142" s="380"/>
      <c r="AE142" s="379"/>
      <c r="AF142" s="380"/>
      <c r="AG142" s="379"/>
      <c r="AH142" s="383"/>
      <c r="AI142" s="380"/>
      <c r="AJ142" s="385" t="s">
        <v>18</v>
      </c>
      <c r="AK142" s="386"/>
      <c r="AL142" s="387">
        <f>SUM(AP142:CG142)</f>
        <v>0</v>
      </c>
      <c r="AM142" s="375"/>
      <c r="AN142" s="376"/>
      <c r="AO142" s="377"/>
      <c r="AP142" s="378"/>
      <c r="AQ142" s="375"/>
      <c r="AR142" s="374"/>
      <c r="AS142" s="375"/>
      <c r="AT142" s="374"/>
      <c r="AU142" s="375"/>
      <c r="AV142" s="374"/>
      <c r="AW142" s="375"/>
      <c r="AX142" s="374"/>
      <c r="AY142" s="375"/>
      <c r="AZ142" s="374"/>
      <c r="BA142" s="375"/>
      <c r="BB142" s="374"/>
      <c r="BC142" s="375"/>
      <c r="BD142" s="374"/>
      <c r="BE142" s="375"/>
      <c r="BF142" s="374"/>
      <c r="BG142" s="375"/>
      <c r="BH142" s="374"/>
      <c r="BI142" s="375"/>
      <c r="BJ142" s="374"/>
      <c r="BK142" s="375"/>
      <c r="BL142" s="374"/>
      <c r="BM142" s="375"/>
      <c r="BN142" s="374"/>
      <c r="BO142" s="375"/>
      <c r="BP142" s="374"/>
      <c r="BQ142" s="375"/>
      <c r="BR142" s="374"/>
      <c r="BS142" s="375"/>
      <c r="BT142" s="374"/>
      <c r="BU142" s="375"/>
      <c r="BV142" s="374"/>
      <c r="BW142" s="375"/>
      <c r="BX142" s="374"/>
      <c r="BY142" s="375"/>
      <c r="BZ142" s="374"/>
      <c r="CA142" s="375"/>
      <c r="CB142" s="374"/>
      <c r="CC142" s="375"/>
      <c r="CD142" s="374"/>
      <c r="CE142" s="375"/>
      <c r="CF142" s="374"/>
      <c r="CG142" s="375"/>
      <c r="CH142" s="414"/>
      <c r="CI142" s="415"/>
      <c r="CJ142" s="420"/>
      <c r="CK142" s="402">
        <f>$CH142*AL142</f>
        <v>0</v>
      </c>
      <c r="CL142" s="403"/>
      <c r="CM142" s="404"/>
      <c r="CN142" s="405"/>
      <c r="CO142" s="406"/>
      <c r="CP142" s="407"/>
      <c r="CQ142" s="394"/>
      <c r="CR142" s="394"/>
      <c r="CS142" s="394"/>
      <c r="CT142" s="408"/>
      <c r="CU142" s="408"/>
      <c r="CV142" s="121"/>
      <c r="CW142" s="401"/>
      <c r="CX142" s="401"/>
      <c r="CY142" s="401"/>
      <c r="CZ142" s="401"/>
      <c r="DA142" s="401"/>
      <c r="DB142" s="121"/>
      <c r="DC142" s="121"/>
      <c r="DD142" s="121"/>
      <c r="DE142" s="121"/>
      <c r="DF142" s="123"/>
      <c r="DG142" s="123"/>
      <c r="DH142" s="123"/>
      <c r="DI142" s="123"/>
      <c r="DJ142" s="394"/>
      <c r="DK142" s="394"/>
      <c r="DL142" s="394"/>
      <c r="DM142" s="394"/>
      <c r="DN142" s="394"/>
      <c r="DO142" s="394"/>
      <c r="DP142" s="394"/>
      <c r="DQ142" s="394"/>
      <c r="DR142" s="394"/>
      <c r="DS142" s="394"/>
      <c r="DT142" s="394"/>
      <c r="DU142" s="394"/>
      <c r="DV142" s="394"/>
      <c r="DW142" s="394"/>
      <c r="DX142" s="394"/>
      <c r="DY142" s="394"/>
      <c r="DZ142" s="394"/>
      <c r="EA142" s="394"/>
      <c r="EB142" s="157"/>
      <c r="EC142" s="157" t="s">
        <v>145</v>
      </c>
      <c r="ED142" s="157" t="s">
        <v>157</v>
      </c>
    </row>
    <row r="143" spans="1:134" s="124" customFormat="1" ht="21" customHeight="1">
      <c r="A143" s="117" t="str">
        <f t="shared" ref="A143" si="53">B142</f>
        <v>내부</v>
      </c>
      <c r="B143" s="391"/>
      <c r="C143" s="392"/>
      <c r="D143" s="393"/>
      <c r="E143" s="391"/>
      <c r="F143" s="392"/>
      <c r="G143" s="392"/>
      <c r="H143" s="392"/>
      <c r="I143" s="393"/>
      <c r="J143" s="391"/>
      <c r="K143" s="392"/>
      <c r="L143" s="392"/>
      <c r="M143" s="392"/>
      <c r="N143" s="393"/>
      <c r="O143" s="391"/>
      <c r="P143" s="392"/>
      <c r="Q143" s="392"/>
      <c r="R143" s="392"/>
      <c r="S143" s="392"/>
      <c r="T143" s="392"/>
      <c r="U143" s="392"/>
      <c r="V143" s="392"/>
      <c r="W143" s="392"/>
      <c r="X143" s="393"/>
      <c r="Y143" s="381"/>
      <c r="Z143" s="384"/>
      <c r="AA143" s="384"/>
      <c r="AB143" s="382"/>
      <c r="AC143" s="381"/>
      <c r="AD143" s="382"/>
      <c r="AE143" s="381"/>
      <c r="AF143" s="382"/>
      <c r="AG143" s="381"/>
      <c r="AH143" s="384"/>
      <c r="AI143" s="382"/>
      <c r="AJ143" s="395" t="s">
        <v>19</v>
      </c>
      <c r="AK143" s="386"/>
      <c r="AL143" s="396">
        <f>SUM(AP143:CG143)</f>
        <v>0</v>
      </c>
      <c r="AM143" s="397"/>
      <c r="AN143" s="398">
        <f>+AL143</f>
        <v>0</v>
      </c>
      <c r="AO143" s="399"/>
      <c r="AP143" s="400"/>
      <c r="AQ143" s="397"/>
      <c r="AR143" s="398"/>
      <c r="AS143" s="397"/>
      <c r="AT143" s="398"/>
      <c r="AU143" s="397"/>
      <c r="AV143" s="398"/>
      <c r="AW143" s="397"/>
      <c r="AX143" s="398"/>
      <c r="AY143" s="397"/>
      <c r="AZ143" s="398"/>
      <c r="BA143" s="397"/>
      <c r="BB143" s="398"/>
      <c r="BC143" s="397"/>
      <c r="BD143" s="398"/>
      <c r="BE143" s="397"/>
      <c r="BF143" s="398"/>
      <c r="BG143" s="397"/>
      <c r="BH143" s="398"/>
      <c r="BI143" s="397"/>
      <c r="BJ143" s="398"/>
      <c r="BK143" s="397"/>
      <c r="BL143" s="398"/>
      <c r="BM143" s="397"/>
      <c r="BN143" s="398"/>
      <c r="BO143" s="397"/>
      <c r="BP143" s="398"/>
      <c r="BQ143" s="397"/>
      <c r="BR143" s="398"/>
      <c r="BS143" s="397"/>
      <c r="BT143" s="398"/>
      <c r="BU143" s="397"/>
      <c r="BV143" s="398"/>
      <c r="BW143" s="397"/>
      <c r="BX143" s="398"/>
      <c r="BY143" s="397"/>
      <c r="BZ143" s="398"/>
      <c r="CA143" s="397"/>
      <c r="CB143" s="398"/>
      <c r="CC143" s="397"/>
      <c r="CD143" s="398"/>
      <c r="CE143" s="397"/>
      <c r="CF143" s="398"/>
      <c r="CG143" s="397"/>
      <c r="CH143" s="417"/>
      <c r="CI143" s="418"/>
      <c r="CJ143" s="421"/>
      <c r="CK143" s="409">
        <f>CH142*AL143</f>
        <v>0</v>
      </c>
      <c r="CL143" s="410"/>
      <c r="CM143" s="411"/>
      <c r="CN143" s="412">
        <f>+CK143</f>
        <v>0</v>
      </c>
      <c r="CO143" s="410"/>
      <c r="CP143" s="413"/>
      <c r="CQ143" s="394"/>
      <c r="CR143" s="394"/>
      <c r="CS143" s="394"/>
      <c r="CT143" s="121"/>
      <c r="CU143" s="121"/>
      <c r="CV143" s="121"/>
      <c r="CW143" s="122"/>
      <c r="CX143" s="122"/>
      <c r="CY143" s="122"/>
      <c r="CZ143" s="122"/>
      <c r="DA143" s="122"/>
      <c r="DB143" s="121"/>
      <c r="DC143" s="121"/>
      <c r="DD143" s="121"/>
      <c r="DE143" s="121"/>
      <c r="DF143" s="123"/>
      <c r="DG143" s="123"/>
      <c r="DH143" s="123"/>
      <c r="DI143" s="123"/>
      <c r="DJ143" s="394"/>
      <c r="DK143" s="394"/>
      <c r="DL143" s="394"/>
      <c r="DM143" s="394"/>
      <c r="DN143" s="394"/>
      <c r="DO143" s="394"/>
      <c r="DP143" s="394"/>
      <c r="DQ143" s="394"/>
      <c r="DR143" s="394"/>
      <c r="DS143" s="394"/>
      <c r="DT143" s="394"/>
      <c r="DU143" s="394"/>
      <c r="DV143" s="394"/>
      <c r="DW143" s="394"/>
      <c r="DX143" s="394"/>
      <c r="DY143" s="394"/>
      <c r="DZ143" s="394"/>
      <c r="EA143" s="394"/>
      <c r="EB143" s="157"/>
      <c r="EC143" s="157" t="s">
        <v>146</v>
      </c>
      <c r="ED143" s="157" t="s">
        <v>158</v>
      </c>
    </row>
    <row r="144" spans="1:134" s="124" customFormat="1" ht="21" customHeight="1">
      <c r="A144" s="117" t="str">
        <f t="shared" ref="A144" si="54">B144</f>
        <v>외부</v>
      </c>
      <c r="B144" s="388" t="s">
        <v>107</v>
      </c>
      <c r="C144" s="389"/>
      <c r="D144" s="390"/>
      <c r="E144" s="388"/>
      <c r="F144" s="389"/>
      <c r="G144" s="389"/>
      <c r="H144" s="389"/>
      <c r="I144" s="390"/>
      <c r="J144" s="388"/>
      <c r="K144" s="389"/>
      <c r="L144" s="389"/>
      <c r="M144" s="389"/>
      <c r="N144" s="390"/>
      <c r="O144" s="388"/>
      <c r="P144" s="389"/>
      <c r="Q144" s="389"/>
      <c r="R144" s="389"/>
      <c r="S144" s="389"/>
      <c r="T144" s="389"/>
      <c r="U144" s="389"/>
      <c r="V144" s="389"/>
      <c r="W144" s="389"/>
      <c r="X144" s="390"/>
      <c r="Y144" s="379"/>
      <c r="Z144" s="383"/>
      <c r="AA144" s="383"/>
      <c r="AB144" s="380"/>
      <c r="AC144" s="379"/>
      <c r="AD144" s="380"/>
      <c r="AE144" s="379"/>
      <c r="AF144" s="380"/>
      <c r="AG144" s="379"/>
      <c r="AH144" s="383"/>
      <c r="AI144" s="380"/>
      <c r="AJ144" s="385" t="s">
        <v>18</v>
      </c>
      <c r="AK144" s="386"/>
      <c r="AL144" s="387">
        <f>SUM(AP144:CG144)</f>
        <v>0</v>
      </c>
      <c r="AM144" s="375"/>
      <c r="AN144" s="376"/>
      <c r="AO144" s="377"/>
      <c r="AP144" s="378"/>
      <c r="AQ144" s="375"/>
      <c r="AR144" s="374"/>
      <c r="AS144" s="375"/>
      <c r="AT144" s="374"/>
      <c r="AU144" s="375"/>
      <c r="AV144" s="374"/>
      <c r="AW144" s="375"/>
      <c r="AX144" s="374"/>
      <c r="AY144" s="375"/>
      <c r="AZ144" s="374"/>
      <c r="BA144" s="375"/>
      <c r="BB144" s="374"/>
      <c r="BC144" s="375"/>
      <c r="BD144" s="374"/>
      <c r="BE144" s="375"/>
      <c r="BF144" s="374"/>
      <c r="BG144" s="375"/>
      <c r="BH144" s="374"/>
      <c r="BI144" s="375"/>
      <c r="BJ144" s="374"/>
      <c r="BK144" s="375"/>
      <c r="BL144" s="374"/>
      <c r="BM144" s="375"/>
      <c r="BN144" s="374"/>
      <c r="BO144" s="375"/>
      <c r="BP144" s="374"/>
      <c r="BQ144" s="375"/>
      <c r="BR144" s="374"/>
      <c r="BS144" s="375"/>
      <c r="BT144" s="374"/>
      <c r="BU144" s="375"/>
      <c r="BV144" s="374"/>
      <c r="BW144" s="375"/>
      <c r="BX144" s="374"/>
      <c r="BY144" s="375"/>
      <c r="BZ144" s="374"/>
      <c r="CA144" s="375"/>
      <c r="CB144" s="374"/>
      <c r="CC144" s="375"/>
      <c r="CD144" s="374"/>
      <c r="CE144" s="375"/>
      <c r="CF144" s="374"/>
      <c r="CG144" s="375"/>
      <c r="CH144" s="414"/>
      <c r="CI144" s="415"/>
      <c r="CJ144" s="420"/>
      <c r="CK144" s="402">
        <f>$CH144*AL144</f>
        <v>0</v>
      </c>
      <c r="CL144" s="403"/>
      <c r="CM144" s="404"/>
      <c r="CN144" s="405"/>
      <c r="CO144" s="406"/>
      <c r="CP144" s="407"/>
      <c r="CQ144" s="394"/>
      <c r="CR144" s="394"/>
      <c r="CS144" s="394"/>
      <c r="CT144" s="121"/>
      <c r="CU144" s="121"/>
      <c r="CV144" s="121"/>
      <c r="CW144" s="122"/>
      <c r="CX144" s="122"/>
      <c r="CY144" s="122"/>
      <c r="CZ144" s="122"/>
      <c r="DA144" s="122"/>
      <c r="DB144" s="121"/>
      <c r="DC144" s="121"/>
      <c r="DD144" s="121"/>
      <c r="DE144" s="121"/>
      <c r="DF144" s="123"/>
      <c r="DG144" s="123"/>
      <c r="DH144" s="123"/>
      <c r="DI144" s="123"/>
      <c r="DJ144" s="394"/>
      <c r="DK144" s="394"/>
      <c r="DL144" s="394"/>
      <c r="DM144" s="394"/>
      <c r="DN144" s="394"/>
      <c r="DO144" s="394"/>
      <c r="DP144" s="394"/>
      <c r="DQ144" s="394"/>
      <c r="DR144" s="394"/>
      <c r="DS144" s="394"/>
      <c r="DT144" s="394"/>
      <c r="DU144" s="394"/>
      <c r="DV144" s="394"/>
      <c r="DW144" s="394"/>
      <c r="DX144" s="394"/>
      <c r="DY144" s="394"/>
      <c r="DZ144" s="394"/>
      <c r="EA144" s="394"/>
      <c r="EB144" s="157"/>
      <c r="EC144" s="157"/>
      <c r="ED144" s="157"/>
    </row>
    <row r="145" spans="1:138" s="124" customFormat="1" ht="21" customHeight="1">
      <c r="A145" s="117" t="str">
        <f t="shared" ref="A145" si="55">B144</f>
        <v>외부</v>
      </c>
      <c r="B145" s="391"/>
      <c r="C145" s="392"/>
      <c r="D145" s="393"/>
      <c r="E145" s="391"/>
      <c r="F145" s="392"/>
      <c r="G145" s="392"/>
      <c r="H145" s="392"/>
      <c r="I145" s="393"/>
      <c r="J145" s="391"/>
      <c r="K145" s="392"/>
      <c r="L145" s="392"/>
      <c r="M145" s="392"/>
      <c r="N145" s="393"/>
      <c r="O145" s="391"/>
      <c r="P145" s="392"/>
      <c r="Q145" s="392"/>
      <c r="R145" s="392"/>
      <c r="S145" s="392"/>
      <c r="T145" s="392"/>
      <c r="U145" s="392"/>
      <c r="V145" s="392"/>
      <c r="W145" s="392"/>
      <c r="X145" s="393"/>
      <c r="Y145" s="381"/>
      <c r="Z145" s="384"/>
      <c r="AA145" s="384"/>
      <c r="AB145" s="382"/>
      <c r="AC145" s="381"/>
      <c r="AD145" s="382"/>
      <c r="AE145" s="381"/>
      <c r="AF145" s="382"/>
      <c r="AG145" s="381"/>
      <c r="AH145" s="384"/>
      <c r="AI145" s="382"/>
      <c r="AJ145" s="395" t="s">
        <v>19</v>
      </c>
      <c r="AK145" s="386"/>
      <c r="AL145" s="396">
        <f>SUM(AP145:CG145)</f>
        <v>0</v>
      </c>
      <c r="AM145" s="397"/>
      <c r="AN145" s="398">
        <f>+AL145</f>
        <v>0</v>
      </c>
      <c r="AO145" s="399"/>
      <c r="AP145" s="400"/>
      <c r="AQ145" s="397"/>
      <c r="AR145" s="398"/>
      <c r="AS145" s="397"/>
      <c r="AT145" s="398"/>
      <c r="AU145" s="397"/>
      <c r="AV145" s="398"/>
      <c r="AW145" s="397"/>
      <c r="AX145" s="398"/>
      <c r="AY145" s="397"/>
      <c r="AZ145" s="398"/>
      <c r="BA145" s="397"/>
      <c r="BB145" s="398"/>
      <c r="BC145" s="397"/>
      <c r="BD145" s="398"/>
      <c r="BE145" s="397"/>
      <c r="BF145" s="398"/>
      <c r="BG145" s="397"/>
      <c r="BH145" s="398"/>
      <c r="BI145" s="397"/>
      <c r="BJ145" s="398"/>
      <c r="BK145" s="397"/>
      <c r="BL145" s="398"/>
      <c r="BM145" s="397"/>
      <c r="BN145" s="398"/>
      <c r="BO145" s="397"/>
      <c r="BP145" s="398"/>
      <c r="BQ145" s="397"/>
      <c r="BR145" s="398"/>
      <c r="BS145" s="397"/>
      <c r="BT145" s="398"/>
      <c r="BU145" s="397"/>
      <c r="BV145" s="398"/>
      <c r="BW145" s="397"/>
      <c r="BX145" s="398"/>
      <c r="BY145" s="397"/>
      <c r="BZ145" s="398"/>
      <c r="CA145" s="397"/>
      <c r="CB145" s="398"/>
      <c r="CC145" s="397"/>
      <c r="CD145" s="398"/>
      <c r="CE145" s="397"/>
      <c r="CF145" s="398"/>
      <c r="CG145" s="397"/>
      <c r="CH145" s="417"/>
      <c r="CI145" s="418"/>
      <c r="CJ145" s="421"/>
      <c r="CK145" s="409">
        <f>CH144*AL145</f>
        <v>0</v>
      </c>
      <c r="CL145" s="410"/>
      <c r="CM145" s="411"/>
      <c r="CN145" s="412">
        <f>+CK145</f>
        <v>0</v>
      </c>
      <c r="CO145" s="410"/>
      <c r="CP145" s="413"/>
      <c r="CQ145" s="394"/>
      <c r="CR145" s="394"/>
      <c r="CS145" s="394"/>
      <c r="CT145" s="121"/>
      <c r="CU145" s="121"/>
      <c r="CV145" s="121"/>
      <c r="CW145" s="122"/>
      <c r="CX145" s="122"/>
      <c r="CY145" s="122"/>
      <c r="CZ145" s="122"/>
      <c r="DA145" s="122"/>
      <c r="DB145" s="121"/>
      <c r="DC145" s="121"/>
      <c r="DD145" s="121"/>
      <c r="DE145" s="121"/>
      <c r="DF145" s="123"/>
      <c r="DG145" s="123"/>
      <c r="DH145" s="123"/>
      <c r="DI145" s="123"/>
      <c r="DJ145" s="394"/>
      <c r="DK145" s="394"/>
      <c r="DL145" s="394"/>
      <c r="DM145" s="394"/>
      <c r="DN145" s="394"/>
      <c r="DO145" s="394"/>
      <c r="DP145" s="394"/>
      <c r="DQ145" s="394"/>
      <c r="DR145" s="394"/>
      <c r="DS145" s="394"/>
      <c r="DT145" s="394"/>
      <c r="DU145" s="394"/>
      <c r="DV145" s="394"/>
      <c r="DW145" s="394"/>
      <c r="DX145" s="394"/>
      <c r="DY145" s="394"/>
      <c r="DZ145" s="394"/>
      <c r="EA145" s="394"/>
      <c r="EB145" s="157"/>
      <c r="EC145" s="157"/>
      <c r="ED145" s="157"/>
    </row>
    <row r="146" spans="1:138" s="124" customFormat="1" ht="21" customHeight="1">
      <c r="A146" s="117" t="str">
        <f t="shared" ref="A146" si="56">B146</f>
        <v>내부</v>
      </c>
      <c r="B146" s="388" t="s">
        <v>232</v>
      </c>
      <c r="C146" s="389"/>
      <c r="D146" s="390"/>
      <c r="E146" s="388"/>
      <c r="F146" s="389"/>
      <c r="G146" s="389"/>
      <c r="H146" s="389"/>
      <c r="I146" s="390"/>
      <c r="J146" s="388"/>
      <c r="K146" s="389"/>
      <c r="L146" s="389"/>
      <c r="M146" s="389"/>
      <c r="N146" s="390"/>
      <c r="O146" s="388"/>
      <c r="P146" s="389"/>
      <c r="Q146" s="389"/>
      <c r="R146" s="389"/>
      <c r="S146" s="389"/>
      <c r="T146" s="389"/>
      <c r="U146" s="389"/>
      <c r="V146" s="389"/>
      <c r="W146" s="389"/>
      <c r="X146" s="390"/>
      <c r="Y146" s="379"/>
      <c r="Z146" s="383"/>
      <c r="AA146" s="383"/>
      <c r="AB146" s="380"/>
      <c r="AC146" s="379"/>
      <c r="AD146" s="380"/>
      <c r="AE146" s="379"/>
      <c r="AF146" s="380"/>
      <c r="AG146" s="379"/>
      <c r="AH146" s="383"/>
      <c r="AI146" s="380"/>
      <c r="AJ146" s="385" t="s">
        <v>18</v>
      </c>
      <c r="AK146" s="386"/>
      <c r="AL146" s="387">
        <f>SUM(AP146:CG146)</f>
        <v>0</v>
      </c>
      <c r="AM146" s="375"/>
      <c r="AN146" s="376"/>
      <c r="AO146" s="377"/>
      <c r="AP146" s="378"/>
      <c r="AQ146" s="375"/>
      <c r="AR146" s="374"/>
      <c r="AS146" s="375"/>
      <c r="AT146" s="374"/>
      <c r="AU146" s="375"/>
      <c r="AV146" s="374"/>
      <c r="AW146" s="375"/>
      <c r="AX146" s="374"/>
      <c r="AY146" s="375"/>
      <c r="AZ146" s="374"/>
      <c r="BA146" s="375"/>
      <c r="BB146" s="374"/>
      <c r="BC146" s="375"/>
      <c r="BD146" s="374"/>
      <c r="BE146" s="375"/>
      <c r="BF146" s="374"/>
      <c r="BG146" s="375"/>
      <c r="BH146" s="374"/>
      <c r="BI146" s="375"/>
      <c r="BJ146" s="374"/>
      <c r="BK146" s="375"/>
      <c r="BL146" s="374"/>
      <c r="BM146" s="375"/>
      <c r="BN146" s="374"/>
      <c r="BO146" s="375"/>
      <c r="BP146" s="374"/>
      <c r="BQ146" s="375"/>
      <c r="BR146" s="374"/>
      <c r="BS146" s="375"/>
      <c r="BT146" s="374"/>
      <c r="BU146" s="375"/>
      <c r="BV146" s="374"/>
      <c r="BW146" s="375"/>
      <c r="BX146" s="374"/>
      <c r="BY146" s="375"/>
      <c r="BZ146" s="374"/>
      <c r="CA146" s="375"/>
      <c r="CB146" s="374"/>
      <c r="CC146" s="375"/>
      <c r="CD146" s="374"/>
      <c r="CE146" s="375"/>
      <c r="CF146" s="374"/>
      <c r="CG146" s="375"/>
      <c r="CH146" s="414"/>
      <c r="CI146" s="415"/>
      <c r="CJ146" s="420"/>
      <c r="CK146" s="402">
        <f>$CH146*AL146</f>
        <v>0</v>
      </c>
      <c r="CL146" s="403"/>
      <c r="CM146" s="404"/>
      <c r="CN146" s="405"/>
      <c r="CO146" s="406"/>
      <c r="CP146" s="407"/>
      <c r="CQ146" s="394"/>
      <c r="CR146" s="394"/>
      <c r="CS146" s="394"/>
      <c r="CT146" s="121"/>
      <c r="CU146" s="121"/>
      <c r="CV146" s="121"/>
      <c r="CW146" s="122"/>
      <c r="CX146" s="122"/>
      <c r="CY146" s="122"/>
      <c r="CZ146" s="122"/>
      <c r="DA146" s="122"/>
      <c r="DB146" s="121"/>
      <c r="DC146" s="121"/>
      <c r="DD146" s="121"/>
      <c r="DE146" s="121"/>
      <c r="DF146" s="123"/>
      <c r="DG146" s="123"/>
      <c r="DH146" s="123"/>
      <c r="DI146" s="123"/>
      <c r="DJ146" s="394"/>
      <c r="DK146" s="394"/>
      <c r="DL146" s="394"/>
      <c r="DM146" s="394"/>
      <c r="DN146" s="394"/>
      <c r="DO146" s="394"/>
      <c r="DP146" s="394"/>
      <c r="DQ146" s="394"/>
      <c r="DR146" s="394"/>
      <c r="DS146" s="394"/>
      <c r="DT146" s="394"/>
      <c r="DU146" s="394"/>
      <c r="DV146" s="394"/>
      <c r="DW146" s="394"/>
      <c r="DX146" s="394"/>
      <c r="DY146" s="394"/>
      <c r="DZ146" s="394"/>
      <c r="EA146" s="394"/>
      <c r="EB146" s="157"/>
      <c r="EC146" s="157"/>
      <c r="ED146" s="157"/>
    </row>
    <row r="147" spans="1:138" s="124" customFormat="1" ht="21" customHeight="1">
      <c r="A147" s="117" t="str">
        <f t="shared" ref="A147" si="57">B146</f>
        <v>내부</v>
      </c>
      <c r="B147" s="391"/>
      <c r="C147" s="392"/>
      <c r="D147" s="393"/>
      <c r="E147" s="391"/>
      <c r="F147" s="392"/>
      <c r="G147" s="392"/>
      <c r="H147" s="392"/>
      <c r="I147" s="393"/>
      <c r="J147" s="391"/>
      <c r="K147" s="392"/>
      <c r="L147" s="392"/>
      <c r="M147" s="392"/>
      <c r="N147" s="393"/>
      <c r="O147" s="391"/>
      <c r="P147" s="392"/>
      <c r="Q147" s="392"/>
      <c r="R147" s="392"/>
      <c r="S147" s="392"/>
      <c r="T147" s="392"/>
      <c r="U147" s="392"/>
      <c r="V147" s="392"/>
      <c r="W147" s="392"/>
      <c r="X147" s="393"/>
      <c r="Y147" s="381"/>
      <c r="Z147" s="384"/>
      <c r="AA147" s="384"/>
      <c r="AB147" s="382"/>
      <c r="AC147" s="381"/>
      <c r="AD147" s="382"/>
      <c r="AE147" s="381"/>
      <c r="AF147" s="382"/>
      <c r="AG147" s="381"/>
      <c r="AH147" s="384"/>
      <c r="AI147" s="382"/>
      <c r="AJ147" s="395" t="s">
        <v>19</v>
      </c>
      <c r="AK147" s="386"/>
      <c r="AL147" s="396">
        <f>SUM(AP147:CG147)</f>
        <v>0</v>
      </c>
      <c r="AM147" s="397"/>
      <c r="AN147" s="398">
        <f>+AL147</f>
        <v>0</v>
      </c>
      <c r="AO147" s="399"/>
      <c r="AP147" s="400"/>
      <c r="AQ147" s="397"/>
      <c r="AR147" s="398"/>
      <c r="AS147" s="397"/>
      <c r="AT147" s="398"/>
      <c r="AU147" s="397"/>
      <c r="AV147" s="398"/>
      <c r="AW147" s="397"/>
      <c r="AX147" s="398"/>
      <c r="AY147" s="397"/>
      <c r="AZ147" s="398"/>
      <c r="BA147" s="397"/>
      <c r="BB147" s="398"/>
      <c r="BC147" s="397"/>
      <c r="BD147" s="398"/>
      <c r="BE147" s="397"/>
      <c r="BF147" s="398"/>
      <c r="BG147" s="397"/>
      <c r="BH147" s="398"/>
      <c r="BI147" s="397"/>
      <c r="BJ147" s="398"/>
      <c r="BK147" s="397"/>
      <c r="BL147" s="398"/>
      <c r="BM147" s="397"/>
      <c r="BN147" s="398"/>
      <c r="BO147" s="397"/>
      <c r="BP147" s="398"/>
      <c r="BQ147" s="397"/>
      <c r="BR147" s="398"/>
      <c r="BS147" s="397"/>
      <c r="BT147" s="398"/>
      <c r="BU147" s="397"/>
      <c r="BV147" s="398"/>
      <c r="BW147" s="397"/>
      <c r="BX147" s="398"/>
      <c r="BY147" s="397"/>
      <c r="BZ147" s="398"/>
      <c r="CA147" s="397"/>
      <c r="CB147" s="398"/>
      <c r="CC147" s="397"/>
      <c r="CD147" s="398"/>
      <c r="CE147" s="397"/>
      <c r="CF147" s="398"/>
      <c r="CG147" s="397"/>
      <c r="CH147" s="417"/>
      <c r="CI147" s="418"/>
      <c r="CJ147" s="421"/>
      <c r="CK147" s="409">
        <f>CH146*AL147</f>
        <v>0</v>
      </c>
      <c r="CL147" s="410"/>
      <c r="CM147" s="411"/>
      <c r="CN147" s="412">
        <f>+CK147</f>
        <v>0</v>
      </c>
      <c r="CO147" s="410"/>
      <c r="CP147" s="413"/>
      <c r="CQ147" s="394"/>
      <c r="CR147" s="394"/>
      <c r="CS147" s="394"/>
      <c r="CT147" s="121"/>
      <c r="CU147" s="121"/>
      <c r="CV147" s="121"/>
      <c r="CW147" s="122"/>
      <c r="CX147" s="122"/>
      <c r="CY147" s="122"/>
      <c r="CZ147" s="122"/>
      <c r="DA147" s="122"/>
      <c r="DB147" s="121"/>
      <c r="DC147" s="121"/>
      <c r="DD147" s="121"/>
      <c r="DE147" s="121"/>
      <c r="DF147" s="123"/>
      <c r="DG147" s="123"/>
      <c r="DH147" s="123"/>
      <c r="DI147" s="123"/>
      <c r="DJ147" s="394"/>
      <c r="DK147" s="394"/>
      <c r="DL147" s="394"/>
      <c r="DM147" s="394"/>
      <c r="DN147" s="394"/>
      <c r="DO147" s="394"/>
      <c r="DP147" s="394"/>
      <c r="DQ147" s="394"/>
      <c r="DR147" s="394"/>
      <c r="DS147" s="394"/>
      <c r="DT147" s="394"/>
      <c r="DU147" s="394"/>
      <c r="DV147" s="394"/>
      <c r="DW147" s="394"/>
      <c r="DX147" s="394"/>
      <c r="DY147" s="394"/>
      <c r="DZ147" s="394"/>
      <c r="EA147" s="394"/>
      <c r="EB147" s="157"/>
      <c r="EC147" s="157"/>
      <c r="ED147" s="157"/>
    </row>
    <row r="148" spans="1:138" s="124" customFormat="1" ht="21" customHeight="1">
      <c r="A148" s="117" t="str">
        <f t="shared" ref="A148" si="58">B148</f>
        <v>내부</v>
      </c>
      <c r="B148" s="388" t="s">
        <v>232</v>
      </c>
      <c r="C148" s="389"/>
      <c r="D148" s="390"/>
      <c r="E148" s="388"/>
      <c r="F148" s="389"/>
      <c r="G148" s="389"/>
      <c r="H148" s="389"/>
      <c r="I148" s="390"/>
      <c r="J148" s="388"/>
      <c r="K148" s="389"/>
      <c r="L148" s="389"/>
      <c r="M148" s="389"/>
      <c r="N148" s="390"/>
      <c r="O148" s="388"/>
      <c r="P148" s="389"/>
      <c r="Q148" s="389"/>
      <c r="R148" s="389"/>
      <c r="S148" s="389"/>
      <c r="T148" s="389"/>
      <c r="U148" s="389"/>
      <c r="V148" s="389"/>
      <c r="W148" s="389"/>
      <c r="X148" s="390"/>
      <c r="Y148" s="379"/>
      <c r="Z148" s="383"/>
      <c r="AA148" s="383"/>
      <c r="AB148" s="380"/>
      <c r="AC148" s="379"/>
      <c r="AD148" s="380"/>
      <c r="AE148" s="379"/>
      <c r="AF148" s="380"/>
      <c r="AG148" s="379"/>
      <c r="AH148" s="383"/>
      <c r="AI148" s="380"/>
      <c r="AJ148" s="385" t="s">
        <v>18</v>
      </c>
      <c r="AK148" s="386"/>
      <c r="AL148" s="387">
        <f>SUM(AP148:CG148)</f>
        <v>0</v>
      </c>
      <c r="AM148" s="375"/>
      <c r="AN148" s="376"/>
      <c r="AO148" s="377"/>
      <c r="AP148" s="378"/>
      <c r="AQ148" s="375"/>
      <c r="AR148" s="374"/>
      <c r="AS148" s="375"/>
      <c r="AT148" s="374"/>
      <c r="AU148" s="375"/>
      <c r="AV148" s="374"/>
      <c r="AW148" s="375"/>
      <c r="AX148" s="374"/>
      <c r="AY148" s="375"/>
      <c r="AZ148" s="374"/>
      <c r="BA148" s="375"/>
      <c r="BB148" s="374"/>
      <c r="BC148" s="375"/>
      <c r="BD148" s="374"/>
      <c r="BE148" s="375"/>
      <c r="BF148" s="374"/>
      <c r="BG148" s="375"/>
      <c r="BH148" s="374"/>
      <c r="BI148" s="375"/>
      <c r="BJ148" s="374"/>
      <c r="BK148" s="375"/>
      <c r="BL148" s="374"/>
      <c r="BM148" s="375"/>
      <c r="BN148" s="374"/>
      <c r="BO148" s="375"/>
      <c r="BP148" s="374"/>
      <c r="BQ148" s="375"/>
      <c r="BR148" s="374"/>
      <c r="BS148" s="375"/>
      <c r="BT148" s="374"/>
      <c r="BU148" s="375"/>
      <c r="BV148" s="374"/>
      <c r="BW148" s="375"/>
      <c r="BX148" s="374"/>
      <c r="BY148" s="375"/>
      <c r="BZ148" s="374"/>
      <c r="CA148" s="375"/>
      <c r="CB148" s="374"/>
      <c r="CC148" s="375"/>
      <c r="CD148" s="374"/>
      <c r="CE148" s="375"/>
      <c r="CF148" s="374"/>
      <c r="CG148" s="375"/>
      <c r="CH148" s="414"/>
      <c r="CI148" s="415"/>
      <c r="CJ148" s="420"/>
      <c r="CK148" s="402">
        <f>$CH148*AL148</f>
        <v>0</v>
      </c>
      <c r="CL148" s="403"/>
      <c r="CM148" s="404"/>
      <c r="CN148" s="405"/>
      <c r="CO148" s="406"/>
      <c r="CP148" s="407"/>
      <c r="CQ148" s="394"/>
      <c r="CR148" s="394"/>
      <c r="CS148" s="394"/>
      <c r="CT148" s="121"/>
      <c r="CU148" s="121"/>
      <c r="CV148" s="121"/>
      <c r="CW148" s="122"/>
      <c r="CX148" s="122"/>
      <c r="CY148" s="122"/>
      <c r="CZ148" s="122"/>
      <c r="DA148" s="122"/>
      <c r="DB148" s="121"/>
      <c r="DC148" s="121"/>
      <c r="DD148" s="121"/>
      <c r="DE148" s="121"/>
      <c r="DF148" s="123"/>
      <c r="DG148" s="123"/>
      <c r="DH148" s="123"/>
      <c r="DI148" s="123"/>
      <c r="DJ148" s="394"/>
      <c r="DK148" s="394"/>
      <c r="DL148" s="394"/>
      <c r="DM148" s="394"/>
      <c r="DN148" s="394"/>
      <c r="DO148" s="394"/>
      <c r="DP148" s="394"/>
      <c r="DQ148" s="394"/>
      <c r="DR148" s="394"/>
      <c r="DS148" s="394"/>
      <c r="DT148" s="394"/>
      <c r="DU148" s="394"/>
      <c r="DV148" s="394"/>
      <c r="DW148" s="394"/>
      <c r="DX148" s="394"/>
      <c r="DY148" s="394"/>
      <c r="DZ148" s="394"/>
      <c r="EA148" s="394"/>
      <c r="EB148" s="157"/>
      <c r="EC148" s="157"/>
      <c r="ED148" s="157"/>
    </row>
    <row r="149" spans="1:138" s="124" customFormat="1" ht="21" customHeight="1">
      <c r="A149" s="117" t="str">
        <f t="shared" ref="A149" si="59">B148</f>
        <v>내부</v>
      </c>
      <c r="B149" s="391"/>
      <c r="C149" s="392"/>
      <c r="D149" s="393"/>
      <c r="E149" s="391"/>
      <c r="F149" s="392"/>
      <c r="G149" s="392"/>
      <c r="H149" s="392"/>
      <c r="I149" s="393"/>
      <c r="J149" s="391"/>
      <c r="K149" s="392"/>
      <c r="L149" s="392"/>
      <c r="M149" s="392"/>
      <c r="N149" s="393"/>
      <c r="O149" s="391"/>
      <c r="P149" s="392"/>
      <c r="Q149" s="392"/>
      <c r="R149" s="392"/>
      <c r="S149" s="392"/>
      <c r="T149" s="392"/>
      <c r="U149" s="392"/>
      <c r="V149" s="392"/>
      <c r="W149" s="392"/>
      <c r="X149" s="393"/>
      <c r="Y149" s="381"/>
      <c r="Z149" s="384"/>
      <c r="AA149" s="384"/>
      <c r="AB149" s="382"/>
      <c r="AC149" s="381"/>
      <c r="AD149" s="382"/>
      <c r="AE149" s="381"/>
      <c r="AF149" s="382"/>
      <c r="AG149" s="381"/>
      <c r="AH149" s="384"/>
      <c r="AI149" s="382"/>
      <c r="AJ149" s="395" t="s">
        <v>19</v>
      </c>
      <c r="AK149" s="386"/>
      <c r="AL149" s="396">
        <f>SUM(AP149:CG149)</f>
        <v>0</v>
      </c>
      <c r="AM149" s="397"/>
      <c r="AN149" s="398">
        <f>+AL149</f>
        <v>0</v>
      </c>
      <c r="AO149" s="399"/>
      <c r="AP149" s="400"/>
      <c r="AQ149" s="397"/>
      <c r="AR149" s="398"/>
      <c r="AS149" s="397"/>
      <c r="AT149" s="398"/>
      <c r="AU149" s="397"/>
      <c r="AV149" s="398"/>
      <c r="AW149" s="397"/>
      <c r="AX149" s="398"/>
      <c r="AY149" s="397"/>
      <c r="AZ149" s="398"/>
      <c r="BA149" s="397"/>
      <c r="BB149" s="398"/>
      <c r="BC149" s="397"/>
      <c r="BD149" s="398"/>
      <c r="BE149" s="397"/>
      <c r="BF149" s="398"/>
      <c r="BG149" s="397"/>
      <c r="BH149" s="398"/>
      <c r="BI149" s="397"/>
      <c r="BJ149" s="398"/>
      <c r="BK149" s="397"/>
      <c r="BL149" s="398"/>
      <c r="BM149" s="397"/>
      <c r="BN149" s="398"/>
      <c r="BO149" s="397"/>
      <c r="BP149" s="398"/>
      <c r="BQ149" s="397"/>
      <c r="BR149" s="398"/>
      <c r="BS149" s="397"/>
      <c r="BT149" s="398"/>
      <c r="BU149" s="397"/>
      <c r="BV149" s="398"/>
      <c r="BW149" s="397"/>
      <c r="BX149" s="398"/>
      <c r="BY149" s="397"/>
      <c r="BZ149" s="398"/>
      <c r="CA149" s="397"/>
      <c r="CB149" s="398"/>
      <c r="CC149" s="397"/>
      <c r="CD149" s="398"/>
      <c r="CE149" s="397"/>
      <c r="CF149" s="398"/>
      <c r="CG149" s="397"/>
      <c r="CH149" s="417"/>
      <c r="CI149" s="418"/>
      <c r="CJ149" s="421"/>
      <c r="CK149" s="409">
        <f>CH148*AL149</f>
        <v>0</v>
      </c>
      <c r="CL149" s="410"/>
      <c r="CM149" s="411"/>
      <c r="CN149" s="412">
        <f>+CK149</f>
        <v>0</v>
      </c>
      <c r="CO149" s="410"/>
      <c r="CP149" s="413"/>
      <c r="CQ149" s="394"/>
      <c r="CR149" s="394"/>
      <c r="CS149" s="394"/>
      <c r="CT149" s="121"/>
      <c r="CU149" s="121"/>
      <c r="CV149" s="121"/>
      <c r="CW149" s="122"/>
      <c r="CX149" s="122"/>
      <c r="CY149" s="122"/>
      <c r="CZ149" s="122"/>
      <c r="DA149" s="122"/>
      <c r="DB149" s="121"/>
      <c r="DC149" s="121"/>
      <c r="DD149" s="121"/>
      <c r="DE149" s="121"/>
      <c r="DF149" s="123"/>
      <c r="DG149" s="123"/>
      <c r="DH149" s="123"/>
      <c r="DI149" s="123"/>
      <c r="DJ149" s="394"/>
      <c r="DK149" s="394"/>
      <c r="DL149" s="394"/>
      <c r="DM149" s="394"/>
      <c r="DN149" s="394"/>
      <c r="DO149" s="394"/>
      <c r="DP149" s="394"/>
      <c r="DQ149" s="394"/>
      <c r="DR149" s="394"/>
      <c r="DS149" s="394"/>
      <c r="DT149" s="394"/>
      <c r="DU149" s="394"/>
      <c r="DV149" s="394"/>
      <c r="DW149" s="394"/>
      <c r="DX149" s="394"/>
      <c r="DY149" s="394"/>
      <c r="DZ149" s="394"/>
      <c r="EA149" s="394"/>
      <c r="EB149" s="157"/>
      <c r="EC149" s="157"/>
      <c r="ED149" s="157"/>
    </row>
    <row r="150" spans="1:138" s="124" customFormat="1" ht="21" customHeight="1">
      <c r="A150" s="117" t="str">
        <f t="shared" ref="A150" si="60">B150</f>
        <v>내부</v>
      </c>
      <c r="B150" s="388" t="s">
        <v>232</v>
      </c>
      <c r="C150" s="389"/>
      <c r="D150" s="390"/>
      <c r="E150" s="388"/>
      <c r="F150" s="389"/>
      <c r="G150" s="389"/>
      <c r="H150" s="389"/>
      <c r="I150" s="390"/>
      <c r="J150" s="388"/>
      <c r="K150" s="389"/>
      <c r="L150" s="389"/>
      <c r="M150" s="389"/>
      <c r="N150" s="390"/>
      <c r="O150" s="388"/>
      <c r="P150" s="389"/>
      <c r="Q150" s="389"/>
      <c r="R150" s="389"/>
      <c r="S150" s="389"/>
      <c r="T150" s="389"/>
      <c r="U150" s="389"/>
      <c r="V150" s="389"/>
      <c r="W150" s="389"/>
      <c r="X150" s="390"/>
      <c r="Y150" s="379"/>
      <c r="Z150" s="383"/>
      <c r="AA150" s="383"/>
      <c r="AB150" s="380"/>
      <c r="AC150" s="379"/>
      <c r="AD150" s="380"/>
      <c r="AE150" s="379"/>
      <c r="AF150" s="380"/>
      <c r="AG150" s="379"/>
      <c r="AH150" s="383"/>
      <c r="AI150" s="380"/>
      <c r="AJ150" s="385" t="s">
        <v>18</v>
      </c>
      <c r="AK150" s="386"/>
      <c r="AL150" s="387">
        <f>SUM(AP150:CG150)</f>
        <v>0</v>
      </c>
      <c r="AM150" s="375"/>
      <c r="AN150" s="376"/>
      <c r="AO150" s="377"/>
      <c r="AP150" s="378"/>
      <c r="AQ150" s="375"/>
      <c r="AR150" s="374"/>
      <c r="AS150" s="375"/>
      <c r="AT150" s="374"/>
      <c r="AU150" s="375"/>
      <c r="AV150" s="374"/>
      <c r="AW150" s="375"/>
      <c r="AX150" s="374"/>
      <c r="AY150" s="375"/>
      <c r="AZ150" s="374"/>
      <c r="BA150" s="375"/>
      <c r="BB150" s="374"/>
      <c r="BC150" s="375"/>
      <c r="BD150" s="374"/>
      <c r="BE150" s="375"/>
      <c r="BF150" s="374"/>
      <c r="BG150" s="375"/>
      <c r="BH150" s="374"/>
      <c r="BI150" s="375"/>
      <c r="BJ150" s="374"/>
      <c r="BK150" s="375"/>
      <c r="BL150" s="374"/>
      <c r="BM150" s="375"/>
      <c r="BN150" s="374"/>
      <c r="BO150" s="375"/>
      <c r="BP150" s="374"/>
      <c r="BQ150" s="375"/>
      <c r="BR150" s="374"/>
      <c r="BS150" s="375"/>
      <c r="BT150" s="374"/>
      <c r="BU150" s="375"/>
      <c r="BV150" s="374"/>
      <c r="BW150" s="375"/>
      <c r="BX150" s="374"/>
      <c r="BY150" s="375"/>
      <c r="BZ150" s="374"/>
      <c r="CA150" s="375"/>
      <c r="CB150" s="374"/>
      <c r="CC150" s="375"/>
      <c r="CD150" s="374"/>
      <c r="CE150" s="375"/>
      <c r="CF150" s="374"/>
      <c r="CG150" s="375"/>
      <c r="CH150" s="414"/>
      <c r="CI150" s="415"/>
      <c r="CJ150" s="420"/>
      <c r="CK150" s="402">
        <f>$CH150*AL150</f>
        <v>0</v>
      </c>
      <c r="CL150" s="403"/>
      <c r="CM150" s="404"/>
      <c r="CN150" s="405"/>
      <c r="CO150" s="406"/>
      <c r="CP150" s="407"/>
      <c r="CQ150" s="394"/>
      <c r="CR150" s="394"/>
      <c r="CS150" s="394"/>
      <c r="CT150" s="121"/>
      <c r="CU150" s="121"/>
      <c r="CV150" s="121"/>
      <c r="CW150" s="122"/>
      <c r="CX150" s="122"/>
      <c r="CY150" s="122"/>
      <c r="CZ150" s="122"/>
      <c r="DA150" s="122"/>
      <c r="DB150" s="121"/>
      <c r="DC150" s="121"/>
      <c r="DD150" s="121"/>
      <c r="DE150" s="121"/>
      <c r="DF150" s="123"/>
      <c r="DG150" s="123"/>
      <c r="DH150" s="123"/>
      <c r="DI150" s="123"/>
      <c r="DJ150" s="394"/>
      <c r="DK150" s="394"/>
      <c r="DL150" s="394"/>
      <c r="DM150" s="394"/>
      <c r="DN150" s="394"/>
      <c r="DO150" s="394"/>
      <c r="DP150" s="394"/>
      <c r="DQ150" s="394"/>
      <c r="DR150" s="394"/>
      <c r="DS150" s="394"/>
      <c r="DT150" s="394"/>
      <c r="DU150" s="394"/>
      <c r="DV150" s="394"/>
      <c r="DW150" s="394"/>
      <c r="DX150" s="394"/>
      <c r="DY150" s="394"/>
      <c r="DZ150" s="394"/>
      <c r="EA150" s="394"/>
      <c r="EB150" s="157"/>
      <c r="EC150" s="157"/>
      <c r="ED150" s="157"/>
    </row>
    <row r="151" spans="1:138" s="124" customFormat="1" ht="21" customHeight="1">
      <c r="A151" s="117" t="str">
        <f t="shared" ref="A151" si="61">B150</f>
        <v>내부</v>
      </c>
      <c r="B151" s="391"/>
      <c r="C151" s="392"/>
      <c r="D151" s="393"/>
      <c r="E151" s="391"/>
      <c r="F151" s="392"/>
      <c r="G151" s="392"/>
      <c r="H151" s="392"/>
      <c r="I151" s="393"/>
      <c r="J151" s="391"/>
      <c r="K151" s="392"/>
      <c r="L151" s="392"/>
      <c r="M151" s="392"/>
      <c r="N151" s="393"/>
      <c r="O151" s="391"/>
      <c r="P151" s="392"/>
      <c r="Q151" s="392"/>
      <c r="R151" s="392"/>
      <c r="S151" s="392"/>
      <c r="T151" s="392"/>
      <c r="U151" s="392"/>
      <c r="V151" s="392"/>
      <c r="W151" s="392"/>
      <c r="X151" s="393"/>
      <c r="Y151" s="381"/>
      <c r="Z151" s="384"/>
      <c r="AA151" s="384"/>
      <c r="AB151" s="382"/>
      <c r="AC151" s="381"/>
      <c r="AD151" s="382"/>
      <c r="AE151" s="381"/>
      <c r="AF151" s="382"/>
      <c r="AG151" s="381"/>
      <c r="AH151" s="384"/>
      <c r="AI151" s="382"/>
      <c r="AJ151" s="395" t="s">
        <v>19</v>
      </c>
      <c r="AK151" s="386"/>
      <c r="AL151" s="396">
        <f>SUM(AP151:CG151)</f>
        <v>0</v>
      </c>
      <c r="AM151" s="397"/>
      <c r="AN151" s="398">
        <f>+AL151</f>
        <v>0</v>
      </c>
      <c r="AO151" s="399"/>
      <c r="AP151" s="400"/>
      <c r="AQ151" s="397"/>
      <c r="AR151" s="398"/>
      <c r="AS151" s="397"/>
      <c r="AT151" s="398"/>
      <c r="AU151" s="397"/>
      <c r="AV151" s="398"/>
      <c r="AW151" s="397"/>
      <c r="AX151" s="398"/>
      <c r="AY151" s="397"/>
      <c r="AZ151" s="398"/>
      <c r="BA151" s="397"/>
      <c r="BB151" s="398"/>
      <c r="BC151" s="397"/>
      <c r="BD151" s="398"/>
      <c r="BE151" s="397"/>
      <c r="BF151" s="398"/>
      <c r="BG151" s="397"/>
      <c r="BH151" s="398"/>
      <c r="BI151" s="397"/>
      <c r="BJ151" s="398"/>
      <c r="BK151" s="397"/>
      <c r="BL151" s="398"/>
      <c r="BM151" s="397"/>
      <c r="BN151" s="398"/>
      <c r="BO151" s="397"/>
      <c r="BP151" s="398"/>
      <c r="BQ151" s="397"/>
      <c r="BR151" s="398"/>
      <c r="BS151" s="397"/>
      <c r="BT151" s="398"/>
      <c r="BU151" s="397"/>
      <c r="BV151" s="398"/>
      <c r="BW151" s="397"/>
      <c r="BX151" s="398"/>
      <c r="BY151" s="397"/>
      <c r="BZ151" s="398"/>
      <c r="CA151" s="397"/>
      <c r="CB151" s="398"/>
      <c r="CC151" s="397"/>
      <c r="CD151" s="398"/>
      <c r="CE151" s="397"/>
      <c r="CF151" s="398"/>
      <c r="CG151" s="397"/>
      <c r="CH151" s="417"/>
      <c r="CI151" s="418"/>
      <c r="CJ151" s="421"/>
      <c r="CK151" s="409">
        <f>CH150*AL151</f>
        <v>0</v>
      </c>
      <c r="CL151" s="410"/>
      <c r="CM151" s="411"/>
      <c r="CN151" s="412">
        <f>+CK151</f>
        <v>0</v>
      </c>
      <c r="CO151" s="410"/>
      <c r="CP151" s="413"/>
      <c r="CQ151" s="394"/>
      <c r="CR151" s="394"/>
      <c r="CS151" s="394"/>
      <c r="CT151" s="121"/>
      <c r="CU151" s="121"/>
      <c r="CV151" s="121"/>
      <c r="CW151" s="122"/>
      <c r="CX151" s="122"/>
      <c r="CY151" s="122"/>
      <c r="CZ151" s="122"/>
      <c r="DA151" s="122"/>
      <c r="DB151" s="121"/>
      <c r="DC151" s="121"/>
      <c r="DD151" s="121"/>
      <c r="DE151" s="121"/>
      <c r="DF151" s="123"/>
      <c r="DG151" s="123"/>
      <c r="DH151" s="123"/>
      <c r="DI151" s="123"/>
      <c r="DJ151" s="394"/>
      <c r="DK151" s="394"/>
      <c r="DL151" s="394"/>
      <c r="DM151" s="394"/>
      <c r="DN151" s="394"/>
      <c r="DO151" s="394"/>
      <c r="DP151" s="394"/>
      <c r="DQ151" s="394"/>
      <c r="DR151" s="394"/>
      <c r="DS151" s="394"/>
      <c r="DT151" s="394"/>
      <c r="DU151" s="394"/>
      <c r="DV151" s="394"/>
      <c r="DW151" s="394"/>
      <c r="DX151" s="394"/>
      <c r="DY151" s="394"/>
      <c r="DZ151" s="394"/>
      <c r="EA151" s="394"/>
      <c r="EB151" s="157"/>
      <c r="EC151" s="157"/>
      <c r="ED151" s="157"/>
    </row>
    <row r="152" spans="1:138" s="124" customFormat="1" ht="21" customHeight="1">
      <c r="A152" s="117" t="str">
        <f t="shared" ref="A152" si="62">B152</f>
        <v>외부</v>
      </c>
      <c r="B152" s="388" t="s">
        <v>233</v>
      </c>
      <c r="C152" s="389"/>
      <c r="D152" s="390"/>
      <c r="E152" s="388"/>
      <c r="F152" s="389"/>
      <c r="G152" s="389"/>
      <c r="H152" s="389"/>
      <c r="I152" s="390"/>
      <c r="J152" s="388"/>
      <c r="K152" s="389"/>
      <c r="L152" s="389"/>
      <c r="M152" s="389"/>
      <c r="N152" s="390"/>
      <c r="O152" s="388"/>
      <c r="P152" s="389"/>
      <c r="Q152" s="389"/>
      <c r="R152" s="389"/>
      <c r="S152" s="389"/>
      <c r="T152" s="389"/>
      <c r="U152" s="389"/>
      <c r="V152" s="389"/>
      <c r="W152" s="389"/>
      <c r="X152" s="390"/>
      <c r="Y152" s="379"/>
      <c r="Z152" s="383"/>
      <c r="AA152" s="383"/>
      <c r="AB152" s="380"/>
      <c r="AC152" s="379"/>
      <c r="AD152" s="380"/>
      <c r="AE152" s="379"/>
      <c r="AF152" s="380"/>
      <c r="AG152" s="379"/>
      <c r="AH152" s="383"/>
      <c r="AI152" s="380"/>
      <c r="AJ152" s="385" t="s">
        <v>18</v>
      </c>
      <c r="AK152" s="386"/>
      <c r="AL152" s="387">
        <f>SUM(AP152:CG152)</f>
        <v>0</v>
      </c>
      <c r="AM152" s="375"/>
      <c r="AN152" s="376"/>
      <c r="AO152" s="377"/>
      <c r="AP152" s="378"/>
      <c r="AQ152" s="375"/>
      <c r="AR152" s="374"/>
      <c r="AS152" s="375"/>
      <c r="AT152" s="374"/>
      <c r="AU152" s="375"/>
      <c r="AV152" s="374"/>
      <c r="AW152" s="375"/>
      <c r="AX152" s="374"/>
      <c r="AY152" s="375"/>
      <c r="AZ152" s="374"/>
      <c r="BA152" s="375"/>
      <c r="BB152" s="374"/>
      <c r="BC152" s="375"/>
      <c r="BD152" s="374"/>
      <c r="BE152" s="375"/>
      <c r="BF152" s="374"/>
      <c r="BG152" s="375"/>
      <c r="BH152" s="374"/>
      <c r="BI152" s="375"/>
      <c r="BJ152" s="374"/>
      <c r="BK152" s="375"/>
      <c r="BL152" s="374"/>
      <c r="BM152" s="375"/>
      <c r="BN152" s="374"/>
      <c r="BO152" s="375"/>
      <c r="BP152" s="374"/>
      <c r="BQ152" s="375"/>
      <c r="BR152" s="374"/>
      <c r="BS152" s="375"/>
      <c r="BT152" s="374"/>
      <c r="BU152" s="375"/>
      <c r="BV152" s="374"/>
      <c r="BW152" s="375"/>
      <c r="BX152" s="374"/>
      <c r="BY152" s="375"/>
      <c r="BZ152" s="374"/>
      <c r="CA152" s="375"/>
      <c r="CB152" s="374"/>
      <c r="CC152" s="375"/>
      <c r="CD152" s="374"/>
      <c r="CE152" s="375"/>
      <c r="CF152" s="374"/>
      <c r="CG152" s="375"/>
      <c r="CH152" s="414"/>
      <c r="CI152" s="415"/>
      <c r="CJ152" s="420"/>
      <c r="CK152" s="402">
        <f>$CH152*AL152</f>
        <v>0</v>
      </c>
      <c r="CL152" s="403"/>
      <c r="CM152" s="404"/>
      <c r="CN152" s="405"/>
      <c r="CO152" s="406"/>
      <c r="CP152" s="407"/>
      <c r="CQ152" s="394"/>
      <c r="CR152" s="394"/>
      <c r="CS152" s="394"/>
      <c r="CT152" s="121"/>
      <c r="CU152" s="121"/>
      <c r="CV152" s="121"/>
      <c r="CW152" s="122"/>
      <c r="CX152" s="122"/>
      <c r="CY152" s="122"/>
      <c r="CZ152" s="122"/>
      <c r="DA152" s="122"/>
      <c r="DB152" s="121"/>
      <c r="DC152" s="121"/>
      <c r="DD152" s="121"/>
      <c r="DE152" s="121"/>
      <c r="DF152" s="123"/>
      <c r="DG152" s="123"/>
      <c r="DH152" s="123"/>
      <c r="DI152" s="123"/>
      <c r="DJ152" s="394"/>
      <c r="DK152" s="394"/>
      <c r="DL152" s="394"/>
      <c r="DM152" s="394"/>
      <c r="DN152" s="394"/>
      <c r="DO152" s="394"/>
      <c r="DP152" s="394"/>
      <c r="DQ152" s="394"/>
      <c r="DR152" s="394"/>
      <c r="DS152" s="394"/>
      <c r="DT152" s="394"/>
      <c r="DU152" s="394"/>
      <c r="DV152" s="394"/>
      <c r="DW152" s="394"/>
      <c r="DX152" s="394"/>
      <c r="DY152" s="394"/>
      <c r="DZ152" s="394"/>
      <c r="EA152" s="394"/>
      <c r="EB152" s="157"/>
      <c r="EC152" s="157"/>
      <c r="ED152" s="157"/>
    </row>
    <row r="153" spans="1:138" s="124" customFormat="1" ht="21" customHeight="1" thickBot="1">
      <c r="A153" s="117" t="str">
        <f t="shared" ref="A153" si="63">B152</f>
        <v>외부</v>
      </c>
      <c r="B153" s="391"/>
      <c r="C153" s="392"/>
      <c r="D153" s="393"/>
      <c r="E153" s="391"/>
      <c r="F153" s="392"/>
      <c r="G153" s="392"/>
      <c r="H153" s="392"/>
      <c r="I153" s="393"/>
      <c r="J153" s="391"/>
      <c r="K153" s="392"/>
      <c r="L153" s="392"/>
      <c r="M153" s="392"/>
      <c r="N153" s="393"/>
      <c r="O153" s="425"/>
      <c r="P153" s="426"/>
      <c r="Q153" s="426"/>
      <c r="R153" s="426"/>
      <c r="S153" s="426"/>
      <c r="T153" s="426"/>
      <c r="U153" s="426"/>
      <c r="V153" s="426"/>
      <c r="W153" s="426"/>
      <c r="X153" s="427"/>
      <c r="Y153" s="381"/>
      <c r="Z153" s="384"/>
      <c r="AA153" s="384"/>
      <c r="AB153" s="382"/>
      <c r="AC153" s="381"/>
      <c r="AD153" s="382"/>
      <c r="AE153" s="381"/>
      <c r="AF153" s="382"/>
      <c r="AG153" s="422"/>
      <c r="AH153" s="423"/>
      <c r="AI153" s="424"/>
      <c r="AJ153" s="428" t="s">
        <v>19</v>
      </c>
      <c r="AK153" s="429"/>
      <c r="AL153" s="396">
        <f>SUM(AP153:CG153)</f>
        <v>0</v>
      </c>
      <c r="AM153" s="397"/>
      <c r="AN153" s="398">
        <f>+AL153</f>
        <v>0</v>
      </c>
      <c r="AO153" s="399"/>
      <c r="AP153" s="435"/>
      <c r="AQ153" s="434"/>
      <c r="AR153" s="433"/>
      <c r="AS153" s="434"/>
      <c r="AT153" s="433"/>
      <c r="AU153" s="434"/>
      <c r="AV153" s="433"/>
      <c r="AW153" s="434"/>
      <c r="AX153" s="433"/>
      <c r="AY153" s="434"/>
      <c r="AZ153" s="433"/>
      <c r="BA153" s="434"/>
      <c r="BB153" s="433"/>
      <c r="BC153" s="434"/>
      <c r="BD153" s="433"/>
      <c r="BE153" s="434"/>
      <c r="BF153" s="433"/>
      <c r="BG153" s="434"/>
      <c r="BH153" s="433"/>
      <c r="BI153" s="434"/>
      <c r="BJ153" s="433"/>
      <c r="BK153" s="434"/>
      <c r="BL153" s="433"/>
      <c r="BM153" s="434"/>
      <c r="BN153" s="433"/>
      <c r="BO153" s="434"/>
      <c r="BP153" s="433"/>
      <c r="BQ153" s="434"/>
      <c r="BR153" s="433"/>
      <c r="BS153" s="434"/>
      <c r="BT153" s="433"/>
      <c r="BU153" s="434"/>
      <c r="BV153" s="433"/>
      <c r="BW153" s="434"/>
      <c r="BX153" s="433"/>
      <c r="BY153" s="434"/>
      <c r="BZ153" s="433"/>
      <c r="CA153" s="434"/>
      <c r="CB153" s="433"/>
      <c r="CC153" s="434"/>
      <c r="CD153" s="433"/>
      <c r="CE153" s="434"/>
      <c r="CF153" s="433"/>
      <c r="CG153" s="434"/>
      <c r="CH153" s="430"/>
      <c r="CI153" s="431"/>
      <c r="CJ153" s="432"/>
      <c r="CK153" s="409">
        <f>CH152*AL153</f>
        <v>0</v>
      </c>
      <c r="CL153" s="410"/>
      <c r="CM153" s="411"/>
      <c r="CN153" s="412">
        <f>+CK153</f>
        <v>0</v>
      </c>
      <c r="CO153" s="410"/>
      <c r="CP153" s="413"/>
      <c r="CQ153" s="394"/>
      <c r="CR153" s="394"/>
      <c r="CS153" s="394"/>
      <c r="CT153" s="121"/>
      <c r="CU153" s="121"/>
      <c r="CV153" s="121"/>
      <c r="CW153" s="122"/>
      <c r="CX153" s="122"/>
      <c r="CY153" s="122"/>
      <c r="CZ153" s="122"/>
      <c r="DA153" s="122"/>
      <c r="DB153" s="121"/>
      <c r="DC153" s="121"/>
      <c r="DD153" s="121"/>
      <c r="DE153" s="121"/>
      <c r="DF153" s="123"/>
      <c r="DG153" s="123"/>
      <c r="DH153" s="123"/>
      <c r="DI153" s="123"/>
      <c r="DJ153" s="394"/>
      <c r="DK153" s="394"/>
      <c r="DL153" s="394"/>
      <c r="DM153" s="394"/>
      <c r="DN153" s="394"/>
      <c r="DO153" s="394"/>
      <c r="DP153" s="394"/>
      <c r="DQ153" s="394"/>
      <c r="DR153" s="394"/>
      <c r="DS153" s="394"/>
      <c r="DT153" s="394"/>
      <c r="DU153" s="394"/>
      <c r="DV153" s="394"/>
      <c r="DW153" s="394"/>
      <c r="DX153" s="394"/>
      <c r="DY153" s="394"/>
      <c r="DZ153" s="394"/>
      <c r="EA153" s="394"/>
      <c r="EB153" s="157"/>
      <c r="EC153" s="157"/>
      <c r="ED153" s="157"/>
    </row>
    <row r="154" spans="1:138" ht="21" customHeight="1" thickTop="1">
      <c r="B154" s="439" t="s">
        <v>106</v>
      </c>
      <c r="C154" s="440"/>
      <c r="D154" s="440"/>
      <c r="E154" s="440"/>
      <c r="F154" s="440"/>
      <c r="G154" s="440"/>
      <c r="H154" s="440"/>
      <c r="I154" s="440"/>
      <c r="J154" s="440"/>
      <c r="K154" s="440"/>
      <c r="L154" s="440"/>
      <c r="M154" s="440"/>
      <c r="N154" s="440"/>
      <c r="O154" s="440"/>
      <c r="P154" s="440"/>
      <c r="Q154" s="440"/>
      <c r="R154" s="440"/>
      <c r="S154" s="440"/>
      <c r="T154" s="440"/>
      <c r="U154" s="440"/>
      <c r="V154" s="440"/>
      <c r="W154" s="440"/>
      <c r="X154" s="440"/>
      <c r="Y154" s="440"/>
      <c r="Z154" s="440"/>
      <c r="AA154" s="440"/>
      <c r="AB154" s="440"/>
      <c r="AC154" s="440"/>
      <c r="AD154" s="440"/>
      <c r="AE154" s="440"/>
      <c r="AF154" s="440"/>
      <c r="AG154" s="440"/>
      <c r="AH154" s="440"/>
      <c r="AI154" s="441"/>
      <c r="AJ154" s="443" t="s">
        <v>18</v>
      </c>
      <c r="AK154" s="444"/>
      <c r="AL154" s="445">
        <f>SUMIFS($AL$114:$AL$153,$B$114:$B$153,B154,$AJ$114:$AJ$153,AJ154)</f>
        <v>32.25</v>
      </c>
      <c r="AM154" s="437"/>
      <c r="AN154" s="446"/>
      <c r="AO154" s="447"/>
      <c r="AP154" s="438">
        <f>SUMIFS(AP$114:AP$153,$B$114:$B$153,$B$154,$AJ$114:$AJ$153,$AJ$154)</f>
        <v>0.25</v>
      </c>
      <c r="AQ154" s="437"/>
      <c r="AR154" s="436">
        <f>SUMIFS(AR$114:AR$153,$B$114:$B$153,$B$154,$AJ$114:$AJ$153,$AJ$154)</f>
        <v>4.5</v>
      </c>
      <c r="AS154" s="437"/>
      <c r="AT154" s="436">
        <f>SUMIFS(AT$114:AT$153,$B$114:$B$153,$B$154,$AJ$114:$AJ$153,$AJ$154)</f>
        <v>4</v>
      </c>
      <c r="AU154" s="437"/>
      <c r="AV154" s="436">
        <f>SUMIFS(AV$114:AV$153,$B$114:$B$153,$B$154,$AJ$114:$AJ$153,$AJ$154)</f>
        <v>4</v>
      </c>
      <c r="AW154" s="437"/>
      <c r="AX154" s="436">
        <f>SUMIFS(AX$114:AX$153,$B$114:$B$153,$B$154,$AJ$114:$AJ$153,$AJ$154)</f>
        <v>3</v>
      </c>
      <c r="AY154" s="437"/>
      <c r="AZ154" s="436">
        <f>SUMIFS(AZ$114:AZ$153,$B$114:$B$153,$B$154,$AJ$114:$AJ$153,$AJ$154)</f>
        <v>3</v>
      </c>
      <c r="BA154" s="437"/>
      <c r="BB154" s="436">
        <f>SUMIFS(BB$114:BB$153,$B$114:$B$153,$B$154,$AJ$114:$AJ$153,$AJ$154)</f>
        <v>3</v>
      </c>
      <c r="BC154" s="437"/>
      <c r="BD154" s="436">
        <f>SUMIFS(BD$114:BD$153,$B$114:$B$153,$B$154,$AJ$114:$AJ$153,$AJ$154)</f>
        <v>3</v>
      </c>
      <c r="BE154" s="437"/>
      <c r="BF154" s="436">
        <f>SUMIFS(BF$114:BF$153,$B$114:$B$153,$B$154,$AJ$114:$AJ$153,$AJ$154)</f>
        <v>3</v>
      </c>
      <c r="BG154" s="437"/>
      <c r="BH154" s="436">
        <f>SUMIFS(BH$114:BH$153,$B$114:$B$153,$B$154,$AJ$114:$AJ$153,$AJ$154)</f>
        <v>3</v>
      </c>
      <c r="BI154" s="437"/>
      <c r="BJ154" s="436">
        <f>SUMIFS(BJ$114:BJ$153,$B$114:$B$153,$B$154,$AJ$114:$AJ$153,$AJ$154)</f>
        <v>1.5</v>
      </c>
      <c r="BK154" s="437"/>
      <c r="BL154" s="436">
        <f>SUMIFS(BL$114:BL$153,$B$114:$B$153,$B$154,$AJ$114:$AJ$153,$AJ$154)</f>
        <v>0</v>
      </c>
      <c r="BM154" s="437"/>
      <c r="BN154" s="436">
        <f>SUMIFS(BN$114:BN$153,$B$114:$B$153,$B$154,$AJ$114:$AJ$153,$AJ$154)</f>
        <v>0</v>
      </c>
      <c r="BO154" s="437"/>
      <c r="BP154" s="436">
        <f>SUMIFS(BP$114:BP$153,$B$114:$B$153,$B$154,$AJ$114:$AJ$153,$AJ$154)</f>
        <v>0</v>
      </c>
      <c r="BQ154" s="437"/>
      <c r="BR154" s="436">
        <f>SUMIFS(BR$114:BR$153,$B$114:$B$153,$B$154,$AJ$114:$AJ$153,$AJ$154)</f>
        <v>0</v>
      </c>
      <c r="BS154" s="437"/>
      <c r="BT154" s="436">
        <f>SUMIFS(BT$114:BT$153,$B$114:$B$153,$B$154,$AJ$114:$AJ$153,$AJ$154)</f>
        <v>0</v>
      </c>
      <c r="BU154" s="437"/>
      <c r="BV154" s="436">
        <f>SUMIFS(BV$114:BV$153,$B$114:$B$153,$B$154,$AJ$114:$AJ$153,$AJ$154)</f>
        <v>0</v>
      </c>
      <c r="BW154" s="437"/>
      <c r="BX154" s="436">
        <f>SUMIFS(BX$114:BX$153,$B$114:$B$153,$B$154,$AJ$114:$AJ$153,$AJ$154)</f>
        <v>0</v>
      </c>
      <c r="BY154" s="437"/>
      <c r="BZ154" s="436">
        <f>SUMIFS(BZ$114:BZ$153,$B$114:$B$153,$B$154,$AJ$114:$AJ$153,$AJ$154)</f>
        <v>0</v>
      </c>
      <c r="CA154" s="437"/>
      <c r="CB154" s="436">
        <f>SUMIFS(CB$114:CB$153,$B$114:$B$153,$B$154,$AJ$114:$AJ$153,$AJ$154)</f>
        <v>0</v>
      </c>
      <c r="CC154" s="437"/>
      <c r="CD154" s="436">
        <f>SUMIFS(CD$114:CD$153,$B$114:$B$153,$B$154,$AJ$114:$AJ$153,$AJ$154)</f>
        <v>0</v>
      </c>
      <c r="CE154" s="437"/>
      <c r="CF154" s="436">
        <f>SUMIFS(CF$114:CF$153,$B$114:$B$153,$B$154,$AJ$114:$AJ$153,$AJ$154)</f>
        <v>0</v>
      </c>
      <c r="CG154" s="459"/>
      <c r="CH154" s="460"/>
      <c r="CI154" s="461"/>
      <c r="CJ154" s="462"/>
      <c r="CK154" s="466">
        <f>SUMIFS(CK$114:CK$153,$B$114:$B$153,$B$154,$AJ$114:$AJ$153,$AJ$154)</f>
        <v>392678500</v>
      </c>
      <c r="CL154" s="467"/>
      <c r="CM154" s="468"/>
      <c r="CN154" s="456"/>
      <c r="CO154" s="457"/>
      <c r="CP154" s="458"/>
      <c r="CQ154" s="448"/>
      <c r="CR154" s="448"/>
      <c r="CS154" s="448"/>
      <c r="CT154" s="118"/>
      <c r="CU154" s="118"/>
      <c r="CV154" s="118"/>
      <c r="CW154" s="120"/>
      <c r="CX154" s="120"/>
      <c r="CY154" s="120"/>
      <c r="CZ154" s="120"/>
      <c r="DA154" s="120"/>
      <c r="DB154" s="119"/>
      <c r="DC154" s="119"/>
      <c r="DD154" s="119"/>
      <c r="DE154" s="119"/>
      <c r="DF154" s="119"/>
      <c r="DG154" s="119"/>
      <c r="DH154" s="119"/>
      <c r="DI154" s="119"/>
      <c r="DJ154" s="448"/>
      <c r="DK154" s="448"/>
      <c r="DL154" s="448"/>
      <c r="DM154" s="448"/>
      <c r="DN154" s="448"/>
      <c r="DO154" s="448"/>
      <c r="DP154" s="448"/>
      <c r="DQ154" s="448"/>
      <c r="DR154" s="448"/>
      <c r="DS154" s="448"/>
      <c r="DT154" s="448"/>
      <c r="DU154" s="448"/>
      <c r="DV154" s="448"/>
      <c r="DW154" s="448"/>
      <c r="DX154" s="448"/>
      <c r="DY154" s="448"/>
      <c r="DZ154" s="448"/>
      <c r="EA154" s="448"/>
      <c r="EB154" s="157"/>
      <c r="EC154" s="157"/>
      <c r="ED154" s="157"/>
      <c r="EF154" s="66"/>
      <c r="EG154" s="66"/>
      <c r="EH154" s="66"/>
    </row>
    <row r="155" spans="1:138" ht="21" customHeight="1">
      <c r="B155" s="442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5"/>
      <c r="AJ155" s="449" t="s">
        <v>19</v>
      </c>
      <c r="AK155" s="450"/>
      <c r="AL155" s="451">
        <f>SUMIFS($AL$114:$AL$153,$A$114:$A$153,B154,$AJ$114:$AJ$153,AJ155)</f>
        <v>37.570000000000007</v>
      </c>
      <c r="AM155" s="452"/>
      <c r="AN155" s="453">
        <f>SUMIFS(AN$114:AN$153,$A$114:$A$153,$B$154,$AJ$114:$AJ$153,$AJ$155)</f>
        <v>37.570000000000007</v>
      </c>
      <c r="AO155" s="454"/>
      <c r="AP155" s="455">
        <f>SUMIFS(AP$114:AP$153,$A$114:$A$153,$B$154,$AJ$114:$AJ$153,$AJ$155)</f>
        <v>0.22</v>
      </c>
      <c r="AQ155" s="452"/>
      <c r="AR155" s="453">
        <f>SUMIFS(AR$114:AR$153,$A$114:$A$153,$B$154,$AJ$114:$AJ$153,$AJ$155)</f>
        <v>0.11</v>
      </c>
      <c r="AS155" s="452"/>
      <c r="AT155" s="453">
        <f>SUMIFS(AT$114:AT$153,$A$114:$A$153,$B$154,$AJ$114:$AJ$153,$AJ$155)</f>
        <v>1.3800000000000001</v>
      </c>
      <c r="AU155" s="452"/>
      <c r="AV155" s="453">
        <f>SUMIFS(AV$114:AV$153,$A$114:$A$153,$B$154,$AJ$114:$AJ$153,$AJ$155)</f>
        <v>2.31</v>
      </c>
      <c r="AW155" s="452"/>
      <c r="AX155" s="453">
        <f>SUMIFS(AX$114:AX$153,$A$114:$A$153,$B$154,$AJ$114:$AJ$153,$AJ$155)</f>
        <v>2.8499999999999996</v>
      </c>
      <c r="AY155" s="452"/>
      <c r="AZ155" s="453">
        <f>SUMIFS(AZ$114:AZ$153,$A$114:$A$153,$B$154,$AJ$114:$AJ$153,$AJ$155)</f>
        <v>2.98</v>
      </c>
      <c r="BA155" s="452"/>
      <c r="BB155" s="453">
        <f>SUMIFS(BB$114:BB$153,$A$114:$A$153,$B$154,$AJ$114:$AJ$153,$AJ$155)</f>
        <v>5.3000000000000007</v>
      </c>
      <c r="BC155" s="452"/>
      <c r="BD155" s="453">
        <f>SUMIFS(BD$114:BD$153,$A$114:$A$153,$B$154,$AJ$114:$AJ$153,$AJ$155)</f>
        <v>4.7</v>
      </c>
      <c r="BE155" s="452"/>
      <c r="BF155" s="453">
        <f>SUMIFS(BF$114:BF$153,$A$114:$A$153,$B$154,$AJ$114:$AJ$153,$AJ$155)</f>
        <v>4.7799999999999994</v>
      </c>
      <c r="BG155" s="452"/>
      <c r="BH155" s="453">
        <f>SUMIFS(BH$114:BH$153,$A$114:$A$153,$B$154,$AJ$114:$AJ$153,$AJ$155)</f>
        <v>4.17</v>
      </c>
      <c r="BI155" s="452"/>
      <c r="BJ155" s="453">
        <f>SUMIFS(BJ$114:BJ$153,$A$114:$A$153,$B$154,$AJ$114:$AJ$153,$AJ$155)</f>
        <v>4.34</v>
      </c>
      <c r="BK155" s="452"/>
      <c r="BL155" s="453">
        <f>SUMIFS(BL$114:BL$153,$A$114:$A$153,$B$154,$AJ$114:$AJ$153,$AJ$155)</f>
        <v>4.43</v>
      </c>
      <c r="BM155" s="452"/>
      <c r="BN155" s="453">
        <f>SUMIFS(BN$114:BN$153,$A$114:$A$153,$B$154,$AJ$114:$AJ$153,$AJ$155)</f>
        <v>0</v>
      </c>
      <c r="BO155" s="452"/>
      <c r="BP155" s="453">
        <f>SUMIFS(BP$114:BP$153,$A$114:$A$153,$B$154,$AJ$114:$AJ$153,$AJ$155)</f>
        <v>0</v>
      </c>
      <c r="BQ155" s="452"/>
      <c r="BR155" s="453">
        <f>SUMIFS(BR$114:BR$153,$A$114:$A$153,$B$154,$AJ$114:$AJ$153,$AJ$155)</f>
        <v>0</v>
      </c>
      <c r="BS155" s="452"/>
      <c r="BT155" s="453">
        <f>SUMIFS(BT$114:BT$153,$A$114:$A$153,$B$154,$AJ$114:$AJ$153,$AJ$155)</f>
        <v>0</v>
      </c>
      <c r="BU155" s="452"/>
      <c r="BV155" s="453">
        <f>SUMIFS(BV$114:BV$153,$A$114:$A$153,$B$154,$AJ$114:$AJ$153,$AJ$155)</f>
        <v>0</v>
      </c>
      <c r="BW155" s="452"/>
      <c r="BX155" s="453">
        <f>SUMIFS(BX$114:BX$153,$A$114:$A$153,$B$154,$AJ$114:$AJ$153,$AJ$155)</f>
        <v>0</v>
      </c>
      <c r="BY155" s="452"/>
      <c r="BZ155" s="453">
        <f>SUMIFS(BZ$114:BZ$153,$A$114:$A$153,$B$154,$AJ$114:$AJ$153,$AJ$155)</f>
        <v>0</v>
      </c>
      <c r="CA155" s="452"/>
      <c r="CB155" s="453">
        <f>SUMIFS(CB$114:CB$153,$A$114:$A$153,$B$154,$AJ$114:$AJ$153,$AJ$155)</f>
        <v>0</v>
      </c>
      <c r="CC155" s="452"/>
      <c r="CD155" s="453">
        <f>SUMIFS(CD$114:CD$153,$A$114:$A$153,$B$154,$AJ$114:$AJ$153,$AJ$155)</f>
        <v>0</v>
      </c>
      <c r="CE155" s="452"/>
      <c r="CF155" s="453">
        <f>SUMIFS(CF$114:CF$153,$A$114:$A$153,$B$154,$AJ$114:$AJ$153,$AJ$155)</f>
        <v>0</v>
      </c>
      <c r="CG155" s="454"/>
      <c r="CH155" s="463"/>
      <c r="CI155" s="464"/>
      <c r="CJ155" s="465"/>
      <c r="CK155" s="409">
        <f>SUMIFS(CK$114:CK$153,$A$114:$A$153,$B$154,$AJ$114:$AJ$153,$AJ$155)</f>
        <v>425126900</v>
      </c>
      <c r="CL155" s="410"/>
      <c r="CM155" s="411"/>
      <c r="CN155" s="412">
        <f>SUMIFS(CN$114:CN$153,$A$114:$A$153,$B$154,$AJ$114:$AJ$153,$AJ$155)</f>
        <v>425126900</v>
      </c>
      <c r="CO155" s="410"/>
      <c r="CP155" s="413"/>
      <c r="CQ155" s="448"/>
      <c r="CR155" s="448"/>
      <c r="CS155" s="448"/>
      <c r="CT155" s="118"/>
      <c r="CU155" s="118"/>
      <c r="CV155" s="118"/>
      <c r="CW155" s="120"/>
      <c r="CX155" s="120"/>
      <c r="CY155" s="120"/>
      <c r="CZ155" s="120"/>
      <c r="DA155" s="120"/>
      <c r="DB155" s="118"/>
      <c r="DC155" s="118"/>
      <c r="DD155" s="118"/>
      <c r="DE155" s="118"/>
      <c r="DF155" s="119"/>
      <c r="DG155" s="119"/>
      <c r="DH155" s="119"/>
      <c r="DI155" s="119"/>
      <c r="DJ155" s="448"/>
      <c r="DK155" s="448"/>
      <c r="DL155" s="448"/>
      <c r="DM155" s="448"/>
      <c r="DN155" s="448"/>
      <c r="DO155" s="448"/>
      <c r="DP155" s="448"/>
      <c r="DQ155" s="448"/>
      <c r="DR155" s="448"/>
      <c r="DS155" s="448"/>
      <c r="DT155" s="448"/>
      <c r="DU155" s="448"/>
      <c r="DV155" s="448"/>
      <c r="DW155" s="448"/>
      <c r="DX155" s="448"/>
      <c r="DY155" s="448"/>
      <c r="DZ155" s="448"/>
      <c r="EA155" s="448"/>
      <c r="EB155" s="157"/>
      <c r="EC155" s="157"/>
      <c r="ED155" s="157"/>
      <c r="EF155" s="66"/>
      <c r="EG155" s="66"/>
      <c r="EH155" s="66"/>
    </row>
    <row r="156" spans="1:138" ht="21" customHeight="1">
      <c r="B156" s="469" t="s">
        <v>107</v>
      </c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1"/>
      <c r="AF156" s="211"/>
      <c r="AG156" s="211"/>
      <c r="AH156" s="211"/>
      <c r="AI156" s="212"/>
      <c r="AJ156" s="473" t="s">
        <v>18</v>
      </c>
      <c r="AK156" s="474"/>
      <c r="AL156" s="475">
        <f>SUMIFS($AL$114:$AL$153,$B$114:$B$153,B156,$AJ$114:$AJ$153,AJ156)</f>
        <v>24</v>
      </c>
      <c r="AM156" s="476"/>
      <c r="AN156" s="477"/>
      <c r="AO156" s="478"/>
      <c r="AP156" s="488">
        <f>SUMIFS(AP$114:AP$153,$B$114:B$153,$B$156,$AJ$114:$AJ$153,$AJ$156)</f>
        <v>0</v>
      </c>
      <c r="AQ156" s="489"/>
      <c r="AR156" s="484">
        <f>SUMIFS(AR$114:AR$153,$B$114:$B$153,$B$156,$AJ$114:$AJ$153,$AJ$156)</f>
        <v>0</v>
      </c>
      <c r="AS156" s="476"/>
      <c r="AT156" s="484">
        <f>SUMIFS(AT$114:AT$153,$B$114:$B$153,$B$156,$AJ$114:$AJ$153,$AJ$156)</f>
        <v>2</v>
      </c>
      <c r="AU156" s="476"/>
      <c r="AV156" s="484">
        <f>SUMIFS(AV$114:AV$153,$B$114:$B$153,$B$156,$AJ$114:$AJ$153,$AJ$156)</f>
        <v>2</v>
      </c>
      <c r="AW156" s="476"/>
      <c r="AX156" s="484">
        <f>SUMIFS(AX$114:AX$153,$B$114:$B$153,$B$156,$AJ$114:$AJ$153,$AJ$156)</f>
        <v>2</v>
      </c>
      <c r="AY156" s="476"/>
      <c r="AZ156" s="484">
        <f>SUMIFS(AZ$114:AZ$153,$B$114:$B$153,$B$156,$AJ$114:$AJ$153,$AJ$156)</f>
        <v>2</v>
      </c>
      <c r="BA156" s="476"/>
      <c r="BB156" s="484">
        <f>SUMIFS(BB$114:BB$153,$B$114:$B$153,$B$156,$AJ$114:$AJ$153,$AJ$156)</f>
        <v>3</v>
      </c>
      <c r="BC156" s="476"/>
      <c r="BD156" s="484">
        <f>SUMIFS(BD$114:BD$153,$B$114:$B$153,$B$156,$AJ$114:$AJ$153,$AJ$156)</f>
        <v>3</v>
      </c>
      <c r="BE156" s="476"/>
      <c r="BF156" s="484">
        <f>SUMIFS(BF$114:BF$153,$B$114:$B$153,$B$156,$AJ$114:$AJ$153,$AJ$156)</f>
        <v>3</v>
      </c>
      <c r="BG156" s="476"/>
      <c r="BH156" s="484">
        <f>SUMIFS(BH$114:BH$153,$B$114:$B$153,$B$156,$AJ$114:$AJ$153,$AJ$156)</f>
        <v>3</v>
      </c>
      <c r="BI156" s="476"/>
      <c r="BJ156" s="484">
        <f>SUMIFS(BJ$114:BJ$153,$B$114:$B$153,$B$156,$AJ$114:$AJ$153,$AJ$156)</f>
        <v>4</v>
      </c>
      <c r="BK156" s="476"/>
      <c r="BL156" s="484">
        <f>SUMIFS(BL$114:BL$153,$B$114:$B$153,$B$156,$AJ$114:$AJ$153,$AJ$156)</f>
        <v>0</v>
      </c>
      <c r="BM156" s="476"/>
      <c r="BN156" s="484">
        <f>SUMIFS(BN$114:BN$153,$B$114:$B$153,$B$156,$AJ$114:$AJ$153,$AJ$156)</f>
        <v>0</v>
      </c>
      <c r="BO156" s="476"/>
      <c r="BP156" s="484">
        <f>SUMIFS(BP$114:BP$153,$B$114:$B$153,$B$156,$AJ$114:$AJ$153,$AJ$156)</f>
        <v>0</v>
      </c>
      <c r="BQ156" s="476"/>
      <c r="BR156" s="484">
        <f>SUMIFS(BR$114:BR$153,$B$114:$B$153,$B$156,$AJ$114:$AJ$153,$AJ$156)</f>
        <v>0</v>
      </c>
      <c r="BS156" s="476"/>
      <c r="BT156" s="484">
        <f>SUMIFS(BT$114:BT$153,$B$114:$B$153,$B$156,$AJ$114:$AJ$153,$AJ$156)</f>
        <v>0</v>
      </c>
      <c r="BU156" s="476"/>
      <c r="BV156" s="484">
        <f>SUMIFS(BV$114:BV$153,$B$114:$B$153,$B$156,$AJ$114:$AJ$153,$AJ$156)</f>
        <v>0</v>
      </c>
      <c r="BW156" s="476"/>
      <c r="BX156" s="484">
        <f>SUMIFS(BX$114:BX$153,$B$114:$B$153,$B$156,$AJ$114:$AJ$153,$AJ$156)</f>
        <v>0</v>
      </c>
      <c r="BY156" s="476"/>
      <c r="BZ156" s="484">
        <f>SUMIFS(BZ$114:BZ$153,$B$114:$B$153,$B$156,$AJ$114:$AJ$153,$AJ$156)</f>
        <v>0</v>
      </c>
      <c r="CA156" s="476"/>
      <c r="CB156" s="484">
        <f>SUMIFS(CB$114:CB$153,$B$114:$B$153,$B$156,$AJ$114:$AJ$153,$AJ$156)</f>
        <v>0</v>
      </c>
      <c r="CC156" s="476"/>
      <c r="CD156" s="484">
        <f>SUMIFS(CD$114:CD$153,$B$114:$B$153,$B$156,$AJ$114:$AJ$153,$AJ$156)</f>
        <v>0</v>
      </c>
      <c r="CE156" s="476"/>
      <c r="CF156" s="484">
        <f>SUMIFS(CF$114:CF$153,$B$114:$B$153,$B$156,$AJ$114:$AJ$153,$AJ$156)</f>
        <v>0</v>
      </c>
      <c r="CG156" s="485"/>
      <c r="CH156" s="460"/>
      <c r="CI156" s="461"/>
      <c r="CJ156" s="462"/>
      <c r="CK156" s="402">
        <f>SUMIFS(CK$114:CK$153,$B$114:$B$153,$B$156,$AJ$114:$AJ$153,$AJ$156)</f>
        <v>117980000</v>
      </c>
      <c r="CL156" s="403"/>
      <c r="CM156" s="404"/>
      <c r="CN156" s="481"/>
      <c r="CO156" s="482"/>
      <c r="CP156" s="483"/>
      <c r="CQ156" s="448"/>
      <c r="CR156" s="448"/>
      <c r="CS156" s="448"/>
      <c r="CT156" s="118"/>
      <c r="CU156" s="118"/>
      <c r="CV156" s="118"/>
      <c r="CW156" s="120"/>
      <c r="CX156" s="120"/>
      <c r="CY156" s="120"/>
      <c r="CZ156" s="120"/>
      <c r="DA156" s="120"/>
      <c r="DB156" s="119"/>
      <c r="DC156" s="119"/>
      <c r="DD156" s="119"/>
      <c r="DE156" s="119"/>
      <c r="DF156" s="119"/>
      <c r="DG156" s="119"/>
      <c r="DH156" s="119"/>
      <c r="DI156" s="119"/>
      <c r="DJ156" s="448"/>
      <c r="DK156" s="448"/>
      <c r="DL156" s="448"/>
      <c r="DM156" s="448"/>
      <c r="DN156" s="448"/>
      <c r="DO156" s="448"/>
      <c r="DP156" s="448"/>
      <c r="DQ156" s="448"/>
      <c r="DR156" s="448"/>
      <c r="DS156" s="448"/>
      <c r="DT156" s="448"/>
      <c r="DU156" s="448"/>
      <c r="DV156" s="448"/>
      <c r="DW156" s="448"/>
      <c r="DX156" s="448"/>
      <c r="DY156" s="448"/>
      <c r="DZ156" s="448"/>
      <c r="EA156" s="448"/>
      <c r="EB156" s="157"/>
      <c r="EC156" s="157"/>
      <c r="ED156" s="157"/>
      <c r="EF156" s="66"/>
      <c r="EG156" s="66"/>
      <c r="EH156" s="66"/>
    </row>
    <row r="157" spans="1:138" ht="21" customHeight="1">
      <c r="B157" s="470"/>
      <c r="C157" s="471"/>
      <c r="D157" s="471"/>
      <c r="E157" s="471"/>
      <c r="F157" s="471"/>
      <c r="G157" s="471"/>
      <c r="H157" s="471"/>
      <c r="I157" s="471"/>
      <c r="J157" s="471"/>
      <c r="K157" s="471"/>
      <c r="L157" s="471"/>
      <c r="M157" s="471"/>
      <c r="N157" s="471"/>
      <c r="O157" s="471"/>
      <c r="P157" s="471"/>
      <c r="Q157" s="471"/>
      <c r="R157" s="471"/>
      <c r="S157" s="471"/>
      <c r="T157" s="471"/>
      <c r="U157" s="471"/>
      <c r="V157" s="471"/>
      <c r="W157" s="471"/>
      <c r="X157" s="471"/>
      <c r="Y157" s="471"/>
      <c r="Z157" s="471"/>
      <c r="AA157" s="471"/>
      <c r="AB157" s="471"/>
      <c r="AC157" s="471"/>
      <c r="AD157" s="471"/>
      <c r="AE157" s="471"/>
      <c r="AF157" s="471"/>
      <c r="AG157" s="471"/>
      <c r="AH157" s="471"/>
      <c r="AI157" s="472"/>
      <c r="AJ157" s="479" t="s">
        <v>19</v>
      </c>
      <c r="AK157" s="480"/>
      <c r="AL157" s="451">
        <f>SUMIFS($AL$114:$AL$153,$A$114:$A$153,B156,$AJ$114:$AJ$153,AJ157)</f>
        <v>1</v>
      </c>
      <c r="AM157" s="452"/>
      <c r="AN157" s="453">
        <f>SUMIFS(AN$114:AN$153,$A$114:$A$153,$B$156,$AJ$114:$AJ$153,$AJ$157)</f>
        <v>1</v>
      </c>
      <c r="AO157" s="454"/>
      <c r="AP157" s="288">
        <f>SUMIFS(AP$114:AP$153,$A$114:$A$153,$B$156,$AJ$114:$AJ$153,$AJ$157)</f>
        <v>0</v>
      </c>
      <c r="AQ157" s="289"/>
      <c r="AR157" s="287">
        <f>SUMIFS(AR$114:AR$153,$A$114:$A$153,$B$156,$AJ$114:$AJ$153,$AJ$157)</f>
        <v>0</v>
      </c>
      <c r="AS157" s="289"/>
      <c r="AT157" s="287">
        <f>SUMIFS(AT$114:AT$153,$A$114:$A$153,$B$156,$AJ$114:$AJ$153,$AJ$157)</f>
        <v>0</v>
      </c>
      <c r="AU157" s="289"/>
      <c r="AV157" s="287">
        <f>SUMIFS(AV$114:AV$153,$A$114:$A$153,$B$156,$AJ$114:$AJ$153,$AJ$157)</f>
        <v>0</v>
      </c>
      <c r="AW157" s="289"/>
      <c r="AX157" s="287">
        <f>SUMIFS(AX$114:AX$153,$A$114:$A$153,$B$156,$AJ$114:$AJ$153,$AJ$157)</f>
        <v>0</v>
      </c>
      <c r="AY157" s="289"/>
      <c r="AZ157" s="287">
        <f>SUMIFS(AZ$114:AZ$153,$A$114:$A$153,$B$156,$AJ$114:$AJ$153,$AJ$157)</f>
        <v>0</v>
      </c>
      <c r="BA157" s="289"/>
      <c r="BB157" s="287">
        <f>SUMIFS(BB$114:BB$153,$A$114:$A$153,$B$156,$AJ$114:$AJ$153,$AJ$157)</f>
        <v>0</v>
      </c>
      <c r="BC157" s="289"/>
      <c r="BD157" s="287">
        <f>SUMIFS(BD$114:BD$153,$A$114:$A$153,$B$156,$AJ$114:$AJ$153,$AJ$157)</f>
        <v>0</v>
      </c>
      <c r="BE157" s="289"/>
      <c r="BF157" s="287">
        <f>SUMIFS(BF$114:BF$153,$A$114:$A$153,$B$156,$AJ$114:$AJ$153,$AJ$157)</f>
        <v>0</v>
      </c>
      <c r="BG157" s="289"/>
      <c r="BH157" s="287">
        <f>SUMIFS(BH$114:BH$153,$A$114:$A$153,$B$156,$AJ$114:$AJ$153,$AJ$157)</f>
        <v>0</v>
      </c>
      <c r="BI157" s="289"/>
      <c r="BJ157" s="287">
        <f>SUMIFS(BJ$114:BJ$153,$A$114:$A$153,$B$156,$AJ$114:$AJ$153,$AJ$157)</f>
        <v>1</v>
      </c>
      <c r="BK157" s="289"/>
      <c r="BL157" s="287">
        <f>SUMIFS(BL$114:BL$153,$A$114:$A$153,$B$156,$AJ$114:$AJ$153,$AJ$157)</f>
        <v>0</v>
      </c>
      <c r="BM157" s="289"/>
      <c r="BN157" s="287">
        <f>SUMIFS(BN$114:BN$153,$A$114:$A$153,$B$156,$AJ$114:$AJ$153,$AJ$157)</f>
        <v>0</v>
      </c>
      <c r="BO157" s="289"/>
      <c r="BP157" s="287">
        <f>SUMIFS(BP$114:BP$153,$A$114:$A$153,$B$156,$AJ$114:$AJ$153,$AJ$157)</f>
        <v>0</v>
      </c>
      <c r="BQ157" s="289"/>
      <c r="BR157" s="287">
        <f>SUMIFS(BR$114:BR$153,$A$114:$A$153,$B$156,$AJ$114:$AJ$153,$AJ$157)</f>
        <v>0</v>
      </c>
      <c r="BS157" s="289"/>
      <c r="BT157" s="287">
        <f>SUMIFS(BT$114:BT$153,$A$114:$A$153,$B$156,$AJ$114:$AJ$153,$AJ$157)</f>
        <v>0</v>
      </c>
      <c r="BU157" s="289"/>
      <c r="BV157" s="287">
        <f>SUMIFS(BV$114:BV$153,$A$114:$A$153,$B$156,$AJ$114:$AJ$153,$AJ$157)</f>
        <v>0</v>
      </c>
      <c r="BW157" s="289"/>
      <c r="BX157" s="287">
        <f>SUMIFS(BX$114:BX$153,$A$114:$A$153,$B$156,$AJ$114:$AJ$153,$AJ$157)</f>
        <v>0</v>
      </c>
      <c r="BY157" s="289"/>
      <c r="BZ157" s="287">
        <f>SUMIFS(BZ$114:BZ$153,$A$114:$A$153,$B$156,$AJ$114:$AJ$153,$AJ$157)</f>
        <v>0</v>
      </c>
      <c r="CA157" s="289"/>
      <c r="CB157" s="287">
        <f>SUMIFS(CB$114:CB$153,$A$114:$A$153,$B$156,$AJ$114:$AJ$153,$AJ$157)</f>
        <v>0</v>
      </c>
      <c r="CC157" s="289"/>
      <c r="CD157" s="287">
        <f>SUMIFS(CD$114:CD$153,$A$114:$A$153,$B$156,$AJ$114:$AJ$153,$AJ$157)</f>
        <v>0</v>
      </c>
      <c r="CE157" s="289"/>
      <c r="CF157" s="287">
        <f>SUMIFS(CF$114:CF$153,$A$114:$A$153,$B$156,$AJ$114:$AJ$153,$AJ$157)</f>
        <v>0</v>
      </c>
      <c r="CG157" s="486"/>
      <c r="CH157" s="463"/>
      <c r="CI157" s="464"/>
      <c r="CJ157" s="465"/>
      <c r="CK157" s="409">
        <f>SUMIFS(CK$114:CK$153,$A$114:$A$153,$B$156,$AJ$114:$AJ$153,$AJ$157)</f>
        <v>68530000</v>
      </c>
      <c r="CL157" s="410"/>
      <c r="CM157" s="411"/>
      <c r="CN157" s="412">
        <f>SUMIFS(CN$114:CN$153,$A$114:$A$153,$B$156,$AJ$114:$AJ$153,$AJ$157)</f>
        <v>68530000</v>
      </c>
      <c r="CO157" s="410"/>
      <c r="CP157" s="413"/>
      <c r="CQ157" s="448"/>
      <c r="CR157" s="448"/>
      <c r="CS157" s="448"/>
      <c r="CT157" s="118"/>
      <c r="CU157" s="118"/>
      <c r="CV157" s="118"/>
      <c r="CW157" s="120"/>
      <c r="CX157" s="120"/>
      <c r="CY157" s="120"/>
      <c r="CZ157" s="120"/>
      <c r="DA157" s="120"/>
      <c r="DB157" s="118"/>
      <c r="DC157" s="118"/>
      <c r="DD157" s="118"/>
      <c r="DE157" s="118"/>
      <c r="DF157" s="119"/>
      <c r="DG157" s="119"/>
      <c r="DH157" s="119"/>
      <c r="DI157" s="119"/>
      <c r="DJ157" s="448"/>
      <c r="DK157" s="448"/>
      <c r="DL157" s="448"/>
      <c r="DM157" s="448"/>
      <c r="DN157" s="448"/>
      <c r="DO157" s="448"/>
      <c r="DP157" s="448"/>
      <c r="DQ157" s="448"/>
      <c r="DR157" s="448"/>
      <c r="DS157" s="448"/>
      <c r="DT157" s="448"/>
      <c r="DU157" s="448"/>
      <c r="DV157" s="448"/>
      <c r="DW157" s="448"/>
      <c r="DX157" s="448"/>
      <c r="DY157" s="448"/>
      <c r="DZ157" s="448"/>
      <c r="EA157" s="448"/>
      <c r="EB157" s="157"/>
      <c r="EC157" s="157"/>
      <c r="ED157" s="157"/>
      <c r="EF157" s="66"/>
      <c r="EG157" s="66"/>
      <c r="EH157" s="66"/>
    </row>
    <row r="158" spans="1:138" ht="21" customHeight="1">
      <c r="B158" s="442" t="s">
        <v>108</v>
      </c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5"/>
      <c r="AJ158" s="473" t="s">
        <v>18</v>
      </c>
      <c r="AK158" s="474"/>
      <c r="AL158" s="475">
        <f>+AL154+AL156</f>
        <v>56.25</v>
      </c>
      <c r="AM158" s="476"/>
      <c r="AN158" s="477"/>
      <c r="AO158" s="478"/>
      <c r="AP158" s="487">
        <f t="shared" ref="AP158:AP159" si="64">+AP154+AP156</f>
        <v>0.25</v>
      </c>
      <c r="AQ158" s="476"/>
      <c r="AR158" s="484">
        <f t="shared" ref="AR158:AR159" si="65">+AR154+AR156</f>
        <v>4.5</v>
      </c>
      <c r="AS158" s="476"/>
      <c r="AT158" s="484">
        <f t="shared" ref="AT158:AT159" si="66">+AT154+AT156</f>
        <v>6</v>
      </c>
      <c r="AU158" s="476"/>
      <c r="AV158" s="484">
        <f t="shared" ref="AV158:AV159" si="67">+AV154+AV156</f>
        <v>6</v>
      </c>
      <c r="AW158" s="476"/>
      <c r="AX158" s="484">
        <f t="shared" ref="AX158:AX159" si="68">+AX154+AX156</f>
        <v>5</v>
      </c>
      <c r="AY158" s="476"/>
      <c r="AZ158" s="484">
        <f t="shared" ref="AZ158:AZ159" si="69">+AZ154+AZ156</f>
        <v>5</v>
      </c>
      <c r="BA158" s="476"/>
      <c r="BB158" s="484">
        <f t="shared" ref="BB158:BB159" si="70">+BB154+BB156</f>
        <v>6</v>
      </c>
      <c r="BC158" s="476"/>
      <c r="BD158" s="484">
        <f t="shared" ref="BD158:BD159" si="71">+BD154+BD156</f>
        <v>6</v>
      </c>
      <c r="BE158" s="476"/>
      <c r="BF158" s="484">
        <f t="shared" ref="BF158:BF159" si="72">+BF154+BF156</f>
        <v>6</v>
      </c>
      <c r="BG158" s="476"/>
      <c r="BH158" s="484">
        <f t="shared" ref="BH158:BH159" si="73">+BH154+BH156</f>
        <v>6</v>
      </c>
      <c r="BI158" s="476"/>
      <c r="BJ158" s="484">
        <f t="shared" ref="BJ158:BJ159" si="74">+BJ154+BJ156</f>
        <v>5.5</v>
      </c>
      <c r="BK158" s="476"/>
      <c r="BL158" s="484">
        <f t="shared" ref="BL158:BL159" si="75">+BL154+BL156</f>
        <v>0</v>
      </c>
      <c r="BM158" s="476"/>
      <c r="BN158" s="484">
        <f t="shared" ref="BN158:BN159" si="76">+BN154+BN156</f>
        <v>0</v>
      </c>
      <c r="BO158" s="476"/>
      <c r="BP158" s="484">
        <f t="shared" ref="BP158:BP159" si="77">+BP154+BP156</f>
        <v>0</v>
      </c>
      <c r="BQ158" s="476"/>
      <c r="BR158" s="484">
        <f t="shared" ref="BR158:BR159" si="78">+BR154+BR156</f>
        <v>0</v>
      </c>
      <c r="BS158" s="476"/>
      <c r="BT158" s="484">
        <f t="shared" ref="BT158:BT159" si="79">+BT154+BT156</f>
        <v>0</v>
      </c>
      <c r="BU158" s="476"/>
      <c r="BV158" s="484">
        <f t="shared" ref="BV158:BV159" si="80">+BV154+BV156</f>
        <v>0</v>
      </c>
      <c r="BW158" s="476"/>
      <c r="BX158" s="484">
        <f t="shared" ref="BX158:BX159" si="81">+BX154+BX156</f>
        <v>0</v>
      </c>
      <c r="BY158" s="476"/>
      <c r="BZ158" s="484">
        <f t="shared" ref="BZ158:BZ159" si="82">+BZ154+BZ156</f>
        <v>0</v>
      </c>
      <c r="CA158" s="476"/>
      <c r="CB158" s="484">
        <f t="shared" ref="CB158:CB159" si="83">+CB154+CB156</f>
        <v>0</v>
      </c>
      <c r="CC158" s="476"/>
      <c r="CD158" s="484">
        <f t="shared" ref="CD158:CD159" si="84">+CD154+CD156</f>
        <v>0</v>
      </c>
      <c r="CE158" s="476"/>
      <c r="CF158" s="484">
        <f t="shared" ref="CF158:CF159" si="85">+CF154+CF156</f>
        <v>0</v>
      </c>
      <c r="CG158" s="485"/>
      <c r="CH158" s="460"/>
      <c r="CI158" s="461"/>
      <c r="CJ158" s="462"/>
      <c r="CK158" s="503">
        <f>+CK154+CK156</f>
        <v>510658500</v>
      </c>
      <c r="CL158" s="307"/>
      <c r="CM158" s="308"/>
      <c r="CN158" s="497"/>
      <c r="CO158" s="498"/>
      <c r="CP158" s="499"/>
      <c r="CQ158" s="448"/>
      <c r="CR158" s="448"/>
      <c r="CS158" s="448"/>
      <c r="CT158" s="118"/>
      <c r="CU158" s="118"/>
      <c r="CV158" s="118"/>
      <c r="CW158" s="120"/>
      <c r="CX158" s="120"/>
      <c r="CY158" s="120"/>
      <c r="CZ158" s="120"/>
      <c r="DA158" s="120"/>
      <c r="DB158" s="119"/>
      <c r="DC158" s="119"/>
      <c r="DD158" s="119"/>
      <c r="DE158" s="119"/>
      <c r="DF158" s="119"/>
      <c r="DG158" s="119"/>
      <c r="DH158" s="119"/>
      <c r="DI158" s="119"/>
      <c r="DJ158" s="448"/>
      <c r="DK158" s="448"/>
      <c r="DL158" s="448"/>
      <c r="DM158" s="448"/>
      <c r="DN158" s="448"/>
      <c r="DO158" s="448"/>
      <c r="DP158" s="448"/>
      <c r="DQ158" s="448"/>
      <c r="DR158" s="448"/>
      <c r="DS158" s="448"/>
      <c r="DT158" s="448"/>
      <c r="DU158" s="448"/>
      <c r="DV158" s="448"/>
      <c r="DW158" s="448"/>
      <c r="DX158" s="448"/>
      <c r="DY158" s="448"/>
      <c r="DZ158" s="448"/>
      <c r="EA158" s="448"/>
      <c r="EB158" s="157"/>
      <c r="EC158" s="157"/>
      <c r="ED158" s="157"/>
      <c r="EF158" s="66"/>
      <c r="EG158" s="66"/>
      <c r="EH158" s="66"/>
    </row>
    <row r="159" spans="1:138" ht="21" customHeight="1" thickBot="1">
      <c r="B159" s="508"/>
      <c r="C159" s="509"/>
      <c r="D159" s="509"/>
      <c r="E159" s="509"/>
      <c r="F159" s="509"/>
      <c r="G159" s="509"/>
      <c r="H159" s="509"/>
      <c r="I159" s="509"/>
      <c r="J159" s="509"/>
      <c r="K159" s="509"/>
      <c r="L159" s="509"/>
      <c r="M159" s="509"/>
      <c r="N159" s="509"/>
      <c r="O159" s="509"/>
      <c r="P159" s="509"/>
      <c r="Q159" s="509"/>
      <c r="R159" s="509"/>
      <c r="S159" s="509"/>
      <c r="T159" s="509"/>
      <c r="U159" s="509"/>
      <c r="V159" s="509"/>
      <c r="W159" s="509"/>
      <c r="X159" s="509"/>
      <c r="Y159" s="509"/>
      <c r="Z159" s="509"/>
      <c r="AA159" s="509"/>
      <c r="AB159" s="509"/>
      <c r="AC159" s="509"/>
      <c r="AD159" s="509"/>
      <c r="AE159" s="509"/>
      <c r="AF159" s="509"/>
      <c r="AG159" s="509"/>
      <c r="AH159" s="509"/>
      <c r="AI159" s="510"/>
      <c r="AJ159" s="490" t="s">
        <v>19</v>
      </c>
      <c r="AK159" s="491"/>
      <c r="AL159" s="492">
        <f>+AL155+AL157</f>
        <v>38.570000000000007</v>
      </c>
      <c r="AM159" s="493"/>
      <c r="AN159" s="494">
        <f t="shared" ref="AN159" si="86">+AN155+AN157</f>
        <v>38.570000000000007</v>
      </c>
      <c r="AO159" s="495"/>
      <c r="AP159" s="496">
        <f t="shared" si="64"/>
        <v>0.22</v>
      </c>
      <c r="AQ159" s="493"/>
      <c r="AR159" s="494">
        <f t="shared" si="65"/>
        <v>0.11</v>
      </c>
      <c r="AS159" s="493"/>
      <c r="AT159" s="494">
        <f t="shared" si="66"/>
        <v>1.3800000000000001</v>
      </c>
      <c r="AU159" s="493"/>
      <c r="AV159" s="494">
        <f t="shared" si="67"/>
        <v>2.31</v>
      </c>
      <c r="AW159" s="493"/>
      <c r="AX159" s="494">
        <f t="shared" si="68"/>
        <v>2.8499999999999996</v>
      </c>
      <c r="AY159" s="493"/>
      <c r="AZ159" s="494">
        <f t="shared" si="69"/>
        <v>2.98</v>
      </c>
      <c r="BA159" s="493"/>
      <c r="BB159" s="494">
        <f t="shared" si="70"/>
        <v>5.3000000000000007</v>
      </c>
      <c r="BC159" s="493"/>
      <c r="BD159" s="494">
        <f t="shared" si="71"/>
        <v>4.7</v>
      </c>
      <c r="BE159" s="493"/>
      <c r="BF159" s="494">
        <f t="shared" si="72"/>
        <v>4.7799999999999994</v>
      </c>
      <c r="BG159" s="493"/>
      <c r="BH159" s="494">
        <f t="shared" si="73"/>
        <v>4.17</v>
      </c>
      <c r="BI159" s="493"/>
      <c r="BJ159" s="494">
        <f t="shared" si="74"/>
        <v>5.34</v>
      </c>
      <c r="BK159" s="493"/>
      <c r="BL159" s="494">
        <f t="shared" si="75"/>
        <v>4.43</v>
      </c>
      <c r="BM159" s="493"/>
      <c r="BN159" s="494">
        <f t="shared" si="76"/>
        <v>0</v>
      </c>
      <c r="BO159" s="493"/>
      <c r="BP159" s="494">
        <f t="shared" si="77"/>
        <v>0</v>
      </c>
      <c r="BQ159" s="493"/>
      <c r="BR159" s="494">
        <f t="shared" si="78"/>
        <v>0</v>
      </c>
      <c r="BS159" s="493"/>
      <c r="BT159" s="494">
        <f t="shared" si="79"/>
        <v>0</v>
      </c>
      <c r="BU159" s="493"/>
      <c r="BV159" s="494">
        <f t="shared" si="80"/>
        <v>0</v>
      </c>
      <c r="BW159" s="493"/>
      <c r="BX159" s="494">
        <f t="shared" si="81"/>
        <v>0</v>
      </c>
      <c r="BY159" s="493"/>
      <c r="BZ159" s="494">
        <f t="shared" si="82"/>
        <v>0</v>
      </c>
      <c r="CA159" s="493"/>
      <c r="CB159" s="494">
        <f t="shared" si="83"/>
        <v>0</v>
      </c>
      <c r="CC159" s="493"/>
      <c r="CD159" s="494">
        <f t="shared" si="84"/>
        <v>0</v>
      </c>
      <c r="CE159" s="493"/>
      <c r="CF159" s="494">
        <f t="shared" si="85"/>
        <v>0</v>
      </c>
      <c r="CG159" s="495"/>
      <c r="CH159" s="463"/>
      <c r="CI159" s="464"/>
      <c r="CJ159" s="465"/>
      <c r="CK159" s="504">
        <f>+CK155+CK157</f>
        <v>493656900</v>
      </c>
      <c r="CL159" s="501"/>
      <c r="CM159" s="505"/>
      <c r="CN159" s="500">
        <f t="shared" ref="CN159" si="87">+CN155+CN157</f>
        <v>493656900</v>
      </c>
      <c r="CO159" s="501"/>
      <c r="CP159" s="502"/>
      <c r="CQ159" s="448"/>
      <c r="CR159" s="448"/>
      <c r="CS159" s="448"/>
      <c r="CT159" s="118"/>
      <c r="CU159" s="118"/>
      <c r="CV159" s="118"/>
      <c r="CW159" s="120"/>
      <c r="CX159" s="120"/>
      <c r="CY159" s="120"/>
      <c r="CZ159" s="120"/>
      <c r="DA159" s="120"/>
      <c r="DB159" s="118"/>
      <c r="DC159" s="118"/>
      <c r="DD159" s="118"/>
      <c r="DE159" s="118"/>
      <c r="DF159" s="119"/>
      <c r="DG159" s="119"/>
      <c r="DH159" s="119"/>
      <c r="DI159" s="119"/>
      <c r="DJ159" s="448"/>
      <c r="DK159" s="448"/>
      <c r="DL159" s="448"/>
      <c r="DM159" s="448"/>
      <c r="DN159" s="448"/>
      <c r="DO159" s="448"/>
      <c r="DP159" s="448"/>
      <c r="DQ159" s="448"/>
      <c r="DR159" s="448"/>
      <c r="DS159" s="448"/>
      <c r="DT159" s="448"/>
      <c r="DU159" s="448"/>
      <c r="DV159" s="448"/>
      <c r="DW159" s="448"/>
      <c r="DX159" s="448"/>
      <c r="DY159" s="448"/>
      <c r="DZ159" s="448"/>
      <c r="EA159" s="448"/>
      <c r="EB159" s="157"/>
      <c r="EC159" s="157"/>
      <c r="ED159" s="157"/>
      <c r="EF159" s="66"/>
      <c r="EG159" s="66"/>
      <c r="EH159" s="66"/>
    </row>
    <row r="160" spans="1:138" ht="21" customHeight="1" thickTop="1"/>
    <row r="161" spans="2:138" ht="21" customHeight="1">
      <c r="B161" s="75" t="s">
        <v>162</v>
      </c>
      <c r="AO161" s="76"/>
      <c r="CP161" s="76" t="s">
        <v>49</v>
      </c>
      <c r="DG161" s="67"/>
      <c r="DH161" s="67"/>
      <c r="DI161" s="67"/>
      <c r="DJ161" s="67"/>
      <c r="DL161" s="66"/>
      <c r="DM161" s="66"/>
      <c r="DN161" s="66"/>
      <c r="DO161" s="66"/>
      <c r="EB161" s="157"/>
      <c r="EC161" s="157"/>
      <c r="ED161" s="157"/>
      <c r="EF161" s="66"/>
      <c r="EG161" s="66"/>
      <c r="EH161" s="66"/>
    </row>
    <row r="162" spans="2:138" ht="8.25" customHeight="1" thickBot="1">
      <c r="DG162" s="67"/>
      <c r="DH162" s="67"/>
      <c r="DI162" s="67"/>
      <c r="DJ162" s="67"/>
      <c r="DL162" s="66"/>
      <c r="DM162" s="66"/>
      <c r="DN162" s="66"/>
      <c r="DO162" s="66"/>
      <c r="EB162" s="157"/>
      <c r="EC162" s="157"/>
      <c r="ED162" s="157"/>
      <c r="EF162" s="66"/>
      <c r="EG162" s="66"/>
      <c r="EH162" s="66"/>
    </row>
    <row r="163" spans="2:138" ht="21" customHeight="1" thickTop="1">
      <c r="B163" s="197" t="s">
        <v>51</v>
      </c>
      <c r="C163" s="198"/>
      <c r="D163" s="198"/>
      <c r="E163" s="198"/>
      <c r="F163" s="199"/>
      <c r="G163" s="197" t="s">
        <v>61</v>
      </c>
      <c r="H163" s="198"/>
      <c r="I163" s="198"/>
      <c r="J163" s="198"/>
      <c r="K163" s="199"/>
      <c r="L163" s="197" t="s">
        <v>62</v>
      </c>
      <c r="M163" s="198"/>
      <c r="N163" s="198"/>
      <c r="O163" s="198"/>
      <c r="P163" s="198"/>
      <c r="Q163" s="198"/>
      <c r="R163" s="198"/>
      <c r="S163" s="198"/>
      <c r="T163" s="198"/>
      <c r="U163" s="199"/>
      <c r="V163" s="239" t="s">
        <v>105</v>
      </c>
      <c r="W163" s="199"/>
      <c r="X163" s="239" t="s">
        <v>163</v>
      </c>
      <c r="Y163" s="198"/>
      <c r="Z163" s="319" t="s">
        <v>8</v>
      </c>
      <c r="AA163" s="320"/>
      <c r="AB163" s="321"/>
      <c r="AC163" s="512"/>
      <c r="AD163" s="512"/>
      <c r="AE163" s="513"/>
      <c r="AF163" s="339"/>
      <c r="AG163" s="360"/>
      <c r="AH163" s="340"/>
      <c r="AI163" s="511"/>
      <c r="AJ163" s="512"/>
      <c r="AK163" s="513"/>
      <c r="AL163" s="512" t="s">
        <v>98</v>
      </c>
      <c r="AM163" s="512"/>
      <c r="AN163" s="513"/>
      <c r="AO163" s="512" t="s">
        <v>63</v>
      </c>
      <c r="AP163" s="512"/>
      <c r="AQ163" s="513"/>
      <c r="AR163" s="339" t="s">
        <v>217</v>
      </c>
      <c r="AS163" s="360"/>
      <c r="AT163" s="340"/>
      <c r="AU163" s="511" t="s">
        <v>212</v>
      </c>
      <c r="AV163" s="512"/>
      <c r="AW163" s="513"/>
      <c r="AX163" s="339" t="s">
        <v>216</v>
      </c>
      <c r="AY163" s="360"/>
      <c r="AZ163" s="340"/>
      <c r="BA163" s="511" t="s">
        <v>218</v>
      </c>
      <c r="BB163" s="512"/>
      <c r="BC163" s="513"/>
      <c r="BD163" s="511" t="s">
        <v>214</v>
      </c>
      <c r="BE163" s="512"/>
      <c r="BF163" s="513"/>
      <c r="BG163" s="339" t="s">
        <v>215</v>
      </c>
      <c r="BH163" s="360"/>
      <c r="BI163" s="340"/>
      <c r="BJ163" s="339" t="s">
        <v>219</v>
      </c>
      <c r="BK163" s="360"/>
      <c r="BL163" s="340"/>
      <c r="BM163" s="339" t="s">
        <v>220</v>
      </c>
      <c r="BN163" s="360"/>
      <c r="BO163" s="340"/>
      <c r="BP163" s="339" t="s">
        <v>221</v>
      </c>
      <c r="BQ163" s="360"/>
      <c r="BR163" s="340"/>
      <c r="BS163" s="339" t="s">
        <v>222</v>
      </c>
      <c r="BT163" s="360"/>
      <c r="BU163" s="340"/>
      <c r="BV163" s="514"/>
      <c r="BW163" s="515"/>
      <c r="BX163" s="516"/>
      <c r="BY163" s="514"/>
      <c r="BZ163" s="515"/>
      <c r="CA163" s="516"/>
      <c r="CB163" s="514"/>
      <c r="CC163" s="515"/>
      <c r="CD163" s="516"/>
      <c r="CE163" s="514"/>
      <c r="CF163" s="515"/>
      <c r="CG163" s="516"/>
      <c r="CH163" s="514"/>
      <c r="CI163" s="515"/>
      <c r="CJ163" s="516"/>
      <c r="CK163" s="514"/>
      <c r="CL163" s="515"/>
      <c r="CM163" s="516"/>
      <c r="CN163" s="514"/>
      <c r="CO163" s="515"/>
      <c r="CP163" s="516"/>
      <c r="DG163" s="67"/>
      <c r="DH163" s="67"/>
      <c r="DI163" s="67"/>
      <c r="DJ163" s="67"/>
      <c r="DL163" s="66"/>
      <c r="DM163" s="66"/>
      <c r="DN163" s="66"/>
      <c r="DO163" s="66"/>
      <c r="EB163" s="157"/>
      <c r="EC163" s="157"/>
      <c r="ED163" s="157"/>
      <c r="EF163" s="66"/>
      <c r="EG163" s="66"/>
      <c r="EH163" s="66"/>
    </row>
    <row r="164" spans="2:138" ht="21" customHeight="1">
      <c r="B164" s="336"/>
      <c r="C164" s="337"/>
      <c r="D164" s="337"/>
      <c r="E164" s="337"/>
      <c r="F164" s="338"/>
      <c r="G164" s="336"/>
      <c r="H164" s="337"/>
      <c r="I164" s="337"/>
      <c r="J164" s="337"/>
      <c r="K164" s="338"/>
      <c r="L164" s="336"/>
      <c r="M164" s="337"/>
      <c r="N164" s="337"/>
      <c r="O164" s="337"/>
      <c r="P164" s="337"/>
      <c r="Q164" s="337"/>
      <c r="R164" s="337"/>
      <c r="S164" s="337"/>
      <c r="T164" s="337"/>
      <c r="U164" s="338"/>
      <c r="V164" s="336"/>
      <c r="W164" s="338"/>
      <c r="X164" s="336"/>
      <c r="Y164" s="337"/>
      <c r="Z164" s="506"/>
      <c r="AA164" s="337"/>
      <c r="AB164" s="507"/>
      <c r="AC164" s="660" t="s">
        <v>293</v>
      </c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360"/>
      <c r="BN164" s="360"/>
      <c r="BO164" s="360"/>
      <c r="BP164" s="360"/>
      <c r="BQ164" s="360"/>
      <c r="BR164" s="360"/>
      <c r="BS164" s="360"/>
      <c r="BT164" s="360"/>
      <c r="BU164" s="360"/>
      <c r="BV164" s="360"/>
      <c r="BW164" s="360"/>
      <c r="BX164" s="360"/>
      <c r="BY164" s="360"/>
      <c r="BZ164" s="360"/>
      <c r="CA164" s="360"/>
      <c r="CB164" s="360"/>
      <c r="CC164" s="360"/>
      <c r="CD164" s="360"/>
      <c r="CE164" s="360"/>
      <c r="CF164" s="360"/>
      <c r="CG164" s="360"/>
      <c r="CH164" s="360"/>
      <c r="CI164" s="360"/>
      <c r="CJ164" s="360"/>
      <c r="CK164" s="360"/>
      <c r="CL164" s="360"/>
      <c r="CM164" s="360"/>
      <c r="CN164" s="360"/>
      <c r="CO164" s="360"/>
      <c r="CP164" s="340"/>
      <c r="DG164" s="67"/>
      <c r="DH164" s="67"/>
      <c r="DI164" s="67"/>
      <c r="DJ164" s="67"/>
      <c r="DL164" s="66"/>
      <c r="DM164" s="66"/>
      <c r="DN164" s="66"/>
      <c r="DO164" s="66"/>
      <c r="EB164" s="157"/>
      <c r="EC164" s="157"/>
      <c r="ED164" s="157"/>
      <c r="EF164" s="66"/>
      <c r="EG164" s="66"/>
      <c r="EH164" s="66"/>
    </row>
    <row r="165" spans="2:138" ht="21" customHeight="1">
      <c r="B165" s="200"/>
      <c r="C165" s="201"/>
      <c r="D165" s="201"/>
      <c r="E165" s="201"/>
      <c r="F165" s="202"/>
      <c r="G165" s="200"/>
      <c r="H165" s="201"/>
      <c r="I165" s="201"/>
      <c r="J165" s="201"/>
      <c r="K165" s="202"/>
      <c r="L165" s="200"/>
      <c r="M165" s="201"/>
      <c r="N165" s="201"/>
      <c r="O165" s="201"/>
      <c r="P165" s="201"/>
      <c r="Q165" s="201"/>
      <c r="R165" s="201"/>
      <c r="S165" s="201"/>
      <c r="T165" s="201"/>
      <c r="U165" s="202"/>
      <c r="V165" s="200"/>
      <c r="W165" s="202"/>
      <c r="X165" s="200"/>
      <c r="Y165" s="201"/>
      <c r="Z165" s="322"/>
      <c r="AA165" s="201"/>
      <c r="AB165" s="323"/>
      <c r="AC165" s="512"/>
      <c r="AD165" s="512"/>
      <c r="AE165" s="513"/>
      <c r="AF165" s="533" t="s">
        <v>294</v>
      </c>
      <c r="AG165" s="512"/>
      <c r="AH165" s="513"/>
      <c r="AI165" s="511"/>
      <c r="AJ165" s="512"/>
      <c r="AK165" s="513"/>
      <c r="AL165" s="511"/>
      <c r="AM165" s="512"/>
      <c r="AN165" s="513"/>
      <c r="AO165" s="511"/>
      <c r="AP165" s="512"/>
      <c r="AQ165" s="513"/>
      <c r="AR165" s="511"/>
      <c r="AS165" s="512"/>
      <c r="AT165" s="513"/>
      <c r="AU165" s="511"/>
      <c r="AV165" s="512"/>
      <c r="AW165" s="513"/>
      <c r="AX165" s="511"/>
      <c r="AY165" s="512"/>
      <c r="AZ165" s="513"/>
      <c r="BA165" s="511"/>
      <c r="BB165" s="512"/>
      <c r="BC165" s="513"/>
      <c r="BD165" s="511"/>
      <c r="BE165" s="512"/>
      <c r="BF165" s="513"/>
      <c r="BG165" s="511"/>
      <c r="BH165" s="512"/>
      <c r="BI165" s="513"/>
      <c r="BJ165" s="511"/>
      <c r="BK165" s="512"/>
      <c r="BL165" s="513"/>
      <c r="BM165" s="511"/>
      <c r="BN165" s="512"/>
      <c r="BO165" s="513"/>
      <c r="BP165" s="511"/>
      <c r="BQ165" s="512"/>
      <c r="BR165" s="513"/>
      <c r="BS165" s="511"/>
      <c r="BT165" s="512"/>
      <c r="BU165" s="513"/>
      <c r="BV165" s="511"/>
      <c r="BW165" s="512"/>
      <c r="BX165" s="513"/>
      <c r="BY165" s="511"/>
      <c r="BZ165" s="512"/>
      <c r="CA165" s="513"/>
      <c r="CB165" s="511"/>
      <c r="CC165" s="512"/>
      <c r="CD165" s="513"/>
      <c r="CE165" s="511"/>
      <c r="CF165" s="512"/>
      <c r="CG165" s="513"/>
      <c r="CH165" s="511"/>
      <c r="CI165" s="512"/>
      <c r="CJ165" s="513"/>
      <c r="CK165" s="511"/>
      <c r="CL165" s="512"/>
      <c r="CM165" s="513"/>
      <c r="CN165" s="511"/>
      <c r="CO165" s="512"/>
      <c r="CP165" s="513"/>
      <c r="DG165" s="67"/>
      <c r="DH165" s="67"/>
      <c r="DI165" s="67"/>
      <c r="DJ165" s="67"/>
      <c r="DL165" s="66"/>
      <c r="DM165" s="66"/>
      <c r="DN165" s="66"/>
      <c r="DO165" s="66"/>
      <c r="EB165" s="157"/>
      <c r="EC165" s="157"/>
      <c r="ED165" s="157"/>
      <c r="EF165" s="66"/>
      <c r="EG165" s="66"/>
      <c r="EH165" s="66"/>
    </row>
    <row r="166" spans="2:138" ht="21" customHeight="1">
      <c r="B166" s="520" t="s">
        <v>277</v>
      </c>
      <c r="C166" s="521"/>
      <c r="D166" s="521"/>
      <c r="E166" s="521"/>
      <c r="F166" s="522"/>
      <c r="G166" s="520"/>
      <c r="H166" s="521"/>
      <c r="I166" s="521"/>
      <c r="J166" s="521"/>
      <c r="K166" s="522"/>
      <c r="L166" s="520"/>
      <c r="M166" s="521"/>
      <c r="N166" s="521"/>
      <c r="O166" s="521"/>
      <c r="P166" s="521"/>
      <c r="Q166" s="521"/>
      <c r="R166" s="521"/>
      <c r="S166" s="521"/>
      <c r="T166" s="521"/>
      <c r="U166" s="522"/>
      <c r="V166" s="529" t="s">
        <v>18</v>
      </c>
      <c r="W166" s="530"/>
      <c r="X166" s="473" t="s">
        <v>15</v>
      </c>
      <c r="Y166" s="474"/>
      <c r="Z166" s="475">
        <f>SUM(AC166:CP166)</f>
        <v>0</v>
      </c>
      <c r="AA166" s="487"/>
      <c r="AB166" s="485"/>
      <c r="AC166" s="487"/>
      <c r="AD166" s="487"/>
      <c r="AE166" s="476"/>
      <c r="AF166" s="484"/>
      <c r="AG166" s="487"/>
      <c r="AH166" s="476"/>
      <c r="AI166" s="484"/>
      <c r="AJ166" s="487"/>
      <c r="AK166" s="476"/>
      <c r="AL166" s="484"/>
      <c r="AM166" s="487"/>
      <c r="AN166" s="476"/>
      <c r="AO166" s="484"/>
      <c r="AP166" s="487"/>
      <c r="AQ166" s="476"/>
      <c r="AR166" s="484"/>
      <c r="AS166" s="487"/>
      <c r="AT166" s="476"/>
      <c r="AU166" s="484"/>
      <c r="AV166" s="487"/>
      <c r="AW166" s="476"/>
      <c r="AX166" s="484"/>
      <c r="AY166" s="487"/>
      <c r="AZ166" s="476"/>
      <c r="BA166" s="484"/>
      <c r="BB166" s="487"/>
      <c r="BC166" s="476"/>
      <c r="BD166" s="484"/>
      <c r="BE166" s="487"/>
      <c r="BF166" s="476"/>
      <c r="BG166" s="484"/>
      <c r="BH166" s="487"/>
      <c r="BI166" s="476"/>
      <c r="BJ166" s="484"/>
      <c r="BK166" s="487"/>
      <c r="BL166" s="476"/>
      <c r="BM166" s="484"/>
      <c r="BN166" s="487"/>
      <c r="BO166" s="476"/>
      <c r="BP166" s="484"/>
      <c r="BQ166" s="487"/>
      <c r="BR166" s="476"/>
      <c r="BS166" s="484"/>
      <c r="BT166" s="487"/>
      <c r="BU166" s="476"/>
      <c r="BV166" s="484"/>
      <c r="BW166" s="487"/>
      <c r="BX166" s="476"/>
      <c r="BY166" s="484"/>
      <c r="BZ166" s="487"/>
      <c r="CA166" s="476"/>
      <c r="CB166" s="484"/>
      <c r="CC166" s="487"/>
      <c r="CD166" s="476"/>
      <c r="CE166" s="484"/>
      <c r="CF166" s="487"/>
      <c r="CG166" s="476"/>
      <c r="CH166" s="484"/>
      <c r="CI166" s="487"/>
      <c r="CJ166" s="476"/>
      <c r="CK166" s="484"/>
      <c r="CL166" s="487"/>
      <c r="CM166" s="476"/>
      <c r="CN166" s="484"/>
      <c r="CO166" s="487"/>
      <c r="CP166" s="476"/>
      <c r="DG166" s="67"/>
      <c r="DH166" s="67"/>
      <c r="DI166" s="67"/>
      <c r="DJ166" s="67"/>
      <c r="DL166" s="66"/>
      <c r="DM166" s="66"/>
      <c r="DN166" s="66"/>
      <c r="DO166" s="66"/>
      <c r="EB166" s="157"/>
      <c r="EC166" s="157"/>
      <c r="ED166" s="157"/>
      <c r="EF166" s="66"/>
      <c r="EG166" s="66"/>
      <c r="EH166" s="66"/>
    </row>
    <row r="167" spans="2:138" ht="21" customHeight="1">
      <c r="B167" s="523"/>
      <c r="C167" s="524"/>
      <c r="D167" s="524"/>
      <c r="E167" s="524"/>
      <c r="F167" s="525"/>
      <c r="G167" s="523"/>
      <c r="H167" s="524"/>
      <c r="I167" s="524"/>
      <c r="J167" s="524"/>
      <c r="K167" s="525"/>
      <c r="L167" s="523"/>
      <c r="M167" s="524"/>
      <c r="N167" s="524"/>
      <c r="O167" s="524"/>
      <c r="P167" s="524"/>
      <c r="Q167" s="524"/>
      <c r="R167" s="524"/>
      <c r="S167" s="524"/>
      <c r="T167" s="524"/>
      <c r="U167" s="525"/>
      <c r="V167" s="531"/>
      <c r="W167" s="532"/>
      <c r="X167" s="534" t="s">
        <v>16</v>
      </c>
      <c r="Y167" s="474"/>
      <c r="Z167" s="535">
        <f>SUM(AC167:CP167)</f>
        <v>0</v>
      </c>
      <c r="AA167" s="518"/>
      <c r="AB167" s="536"/>
      <c r="AC167" s="518"/>
      <c r="AD167" s="518"/>
      <c r="AE167" s="519"/>
      <c r="AF167" s="517"/>
      <c r="AG167" s="518"/>
      <c r="AH167" s="519"/>
      <c r="AI167" s="517"/>
      <c r="AJ167" s="518"/>
      <c r="AK167" s="519"/>
      <c r="AL167" s="517"/>
      <c r="AM167" s="518"/>
      <c r="AN167" s="519"/>
      <c r="AO167" s="517"/>
      <c r="AP167" s="518"/>
      <c r="AQ167" s="519"/>
      <c r="AR167" s="517"/>
      <c r="AS167" s="518"/>
      <c r="AT167" s="519"/>
      <c r="AU167" s="517"/>
      <c r="AV167" s="518"/>
      <c r="AW167" s="519"/>
      <c r="AX167" s="517"/>
      <c r="AY167" s="518"/>
      <c r="AZ167" s="519"/>
      <c r="BA167" s="517"/>
      <c r="BB167" s="518"/>
      <c r="BC167" s="519"/>
      <c r="BD167" s="517"/>
      <c r="BE167" s="518"/>
      <c r="BF167" s="519"/>
      <c r="BG167" s="517"/>
      <c r="BH167" s="518"/>
      <c r="BI167" s="519"/>
      <c r="BJ167" s="517"/>
      <c r="BK167" s="518"/>
      <c r="BL167" s="519"/>
      <c r="BM167" s="517"/>
      <c r="BN167" s="518"/>
      <c r="BO167" s="519"/>
      <c r="BP167" s="517"/>
      <c r="BQ167" s="518"/>
      <c r="BR167" s="519"/>
      <c r="BS167" s="517"/>
      <c r="BT167" s="518"/>
      <c r="BU167" s="519"/>
      <c r="BV167" s="517"/>
      <c r="BW167" s="518"/>
      <c r="BX167" s="519"/>
      <c r="BY167" s="517"/>
      <c r="BZ167" s="518"/>
      <c r="CA167" s="519"/>
      <c r="CB167" s="517"/>
      <c r="CC167" s="518"/>
      <c r="CD167" s="519"/>
      <c r="CE167" s="517"/>
      <c r="CF167" s="518"/>
      <c r="CG167" s="519"/>
      <c r="CH167" s="517"/>
      <c r="CI167" s="518"/>
      <c r="CJ167" s="519"/>
      <c r="CK167" s="517"/>
      <c r="CL167" s="518"/>
      <c r="CM167" s="519"/>
      <c r="CN167" s="517"/>
      <c r="CO167" s="518"/>
      <c r="CP167" s="519"/>
      <c r="DG167" s="67"/>
      <c r="DH167" s="67"/>
      <c r="DI167" s="67"/>
      <c r="DJ167" s="67"/>
      <c r="DL167" s="66"/>
      <c r="DM167" s="66"/>
      <c r="DN167" s="66"/>
      <c r="DO167" s="66"/>
      <c r="EB167" s="157"/>
      <c r="EC167" s="157"/>
      <c r="ED167" s="157"/>
      <c r="EF167" s="66"/>
      <c r="EG167" s="66"/>
      <c r="EH167" s="66"/>
    </row>
    <row r="168" spans="2:138" ht="21" customHeight="1">
      <c r="B168" s="523"/>
      <c r="C168" s="524"/>
      <c r="D168" s="524"/>
      <c r="E168" s="524"/>
      <c r="F168" s="525"/>
      <c r="G168" s="523"/>
      <c r="H168" s="524"/>
      <c r="I168" s="524"/>
      <c r="J168" s="524"/>
      <c r="K168" s="525"/>
      <c r="L168" s="523"/>
      <c r="M168" s="524"/>
      <c r="N168" s="524"/>
      <c r="O168" s="524"/>
      <c r="P168" s="524"/>
      <c r="Q168" s="524"/>
      <c r="R168" s="524"/>
      <c r="S168" s="524"/>
      <c r="T168" s="524"/>
      <c r="U168" s="525"/>
      <c r="V168" s="479" t="s">
        <v>19</v>
      </c>
      <c r="W168" s="544"/>
      <c r="X168" s="537" t="s">
        <v>15</v>
      </c>
      <c r="Y168" s="538"/>
      <c r="Z168" s="451">
        <f>SUM(AC168:CP168)</f>
        <v>2</v>
      </c>
      <c r="AA168" s="455"/>
      <c r="AB168" s="454"/>
      <c r="AC168" s="455"/>
      <c r="AD168" s="455"/>
      <c r="AE168" s="452"/>
      <c r="AF168" s="453">
        <v>1</v>
      </c>
      <c r="AG168" s="455"/>
      <c r="AH168" s="452"/>
      <c r="AI168" s="453">
        <v>1</v>
      </c>
      <c r="AJ168" s="455"/>
      <c r="AK168" s="452"/>
      <c r="AL168" s="453"/>
      <c r="AM168" s="455"/>
      <c r="AN168" s="452"/>
      <c r="AO168" s="453"/>
      <c r="AP168" s="455"/>
      <c r="AQ168" s="452"/>
      <c r="AR168" s="453"/>
      <c r="AS168" s="455"/>
      <c r="AT168" s="452"/>
      <c r="AU168" s="453"/>
      <c r="AV168" s="455"/>
      <c r="AW168" s="452"/>
      <c r="AX168" s="453"/>
      <c r="AY168" s="455"/>
      <c r="AZ168" s="452"/>
      <c r="BA168" s="453"/>
      <c r="BB168" s="455"/>
      <c r="BC168" s="452"/>
      <c r="BD168" s="453"/>
      <c r="BE168" s="455"/>
      <c r="BF168" s="452"/>
      <c r="BG168" s="453"/>
      <c r="BH168" s="455"/>
      <c r="BI168" s="452"/>
      <c r="BJ168" s="453"/>
      <c r="BK168" s="455"/>
      <c r="BL168" s="452"/>
      <c r="BM168" s="453"/>
      <c r="BN168" s="455"/>
      <c r="BO168" s="452"/>
      <c r="BP168" s="453"/>
      <c r="BQ168" s="455"/>
      <c r="BR168" s="452"/>
      <c r="BS168" s="453"/>
      <c r="BT168" s="455"/>
      <c r="BU168" s="452"/>
      <c r="BV168" s="453"/>
      <c r="BW168" s="455"/>
      <c r="BX168" s="452"/>
      <c r="BY168" s="453"/>
      <c r="BZ168" s="455"/>
      <c r="CA168" s="452"/>
      <c r="CB168" s="453"/>
      <c r="CC168" s="455"/>
      <c r="CD168" s="452"/>
      <c r="CE168" s="453"/>
      <c r="CF168" s="455"/>
      <c r="CG168" s="452"/>
      <c r="CH168" s="453"/>
      <c r="CI168" s="455"/>
      <c r="CJ168" s="452"/>
      <c r="CK168" s="453"/>
      <c r="CL168" s="455"/>
      <c r="CM168" s="452"/>
      <c r="CN168" s="453"/>
      <c r="CO168" s="455"/>
      <c r="CP168" s="452"/>
      <c r="DG168" s="67"/>
      <c r="DH168" s="67"/>
      <c r="DI168" s="67"/>
      <c r="DJ168" s="67"/>
      <c r="DL168" s="66"/>
      <c r="DM168" s="66"/>
      <c r="DN168" s="66"/>
      <c r="DO168" s="66"/>
      <c r="EB168" s="157"/>
      <c r="EC168" s="157"/>
      <c r="ED168" s="157"/>
      <c r="EF168" s="66"/>
      <c r="EG168" s="66"/>
      <c r="EH168" s="66"/>
    </row>
    <row r="169" spans="2:138" ht="21" customHeight="1">
      <c r="B169" s="526"/>
      <c r="C169" s="527"/>
      <c r="D169" s="527"/>
      <c r="E169" s="527"/>
      <c r="F169" s="528"/>
      <c r="G169" s="526"/>
      <c r="H169" s="527"/>
      <c r="I169" s="527"/>
      <c r="J169" s="527"/>
      <c r="K169" s="528"/>
      <c r="L169" s="526"/>
      <c r="M169" s="527"/>
      <c r="N169" s="527"/>
      <c r="O169" s="527"/>
      <c r="P169" s="527"/>
      <c r="Q169" s="527"/>
      <c r="R169" s="527"/>
      <c r="S169" s="527"/>
      <c r="T169" s="527"/>
      <c r="U169" s="528"/>
      <c r="V169" s="545"/>
      <c r="W169" s="546"/>
      <c r="X169" s="449" t="s">
        <v>16</v>
      </c>
      <c r="Y169" s="538"/>
      <c r="Z169" s="542">
        <f>SUM(AC169:CP169)</f>
        <v>53089354</v>
      </c>
      <c r="AA169" s="540"/>
      <c r="AB169" s="543"/>
      <c r="AC169" s="540"/>
      <c r="AD169" s="540"/>
      <c r="AE169" s="541"/>
      <c r="AF169" s="539">
        <v>51018709</v>
      </c>
      <c r="AG169" s="540"/>
      <c r="AH169" s="541"/>
      <c r="AI169" s="539">
        <v>2070645</v>
      </c>
      <c r="AJ169" s="540"/>
      <c r="AK169" s="541"/>
      <c r="AL169" s="539"/>
      <c r="AM169" s="540"/>
      <c r="AN169" s="541"/>
      <c r="AO169" s="539"/>
      <c r="AP169" s="540"/>
      <c r="AQ169" s="541"/>
      <c r="AR169" s="539"/>
      <c r="AS169" s="540"/>
      <c r="AT169" s="541"/>
      <c r="AU169" s="539"/>
      <c r="AV169" s="540"/>
      <c r="AW169" s="541"/>
      <c r="AX169" s="539"/>
      <c r="AY169" s="540"/>
      <c r="AZ169" s="541"/>
      <c r="BA169" s="539"/>
      <c r="BB169" s="540"/>
      <c r="BC169" s="541"/>
      <c r="BD169" s="539"/>
      <c r="BE169" s="540"/>
      <c r="BF169" s="541"/>
      <c r="BG169" s="539"/>
      <c r="BH169" s="540"/>
      <c r="BI169" s="541"/>
      <c r="BJ169" s="539"/>
      <c r="BK169" s="540"/>
      <c r="BL169" s="541"/>
      <c r="BM169" s="539"/>
      <c r="BN169" s="540"/>
      <c r="BO169" s="541"/>
      <c r="BP169" s="539"/>
      <c r="BQ169" s="540"/>
      <c r="BR169" s="541"/>
      <c r="BS169" s="539"/>
      <c r="BT169" s="540"/>
      <c r="BU169" s="541"/>
      <c r="BV169" s="539"/>
      <c r="BW169" s="540"/>
      <c r="BX169" s="541"/>
      <c r="BY169" s="539"/>
      <c r="BZ169" s="540"/>
      <c r="CA169" s="541"/>
      <c r="CB169" s="539"/>
      <c r="CC169" s="540"/>
      <c r="CD169" s="541"/>
      <c r="CE169" s="539"/>
      <c r="CF169" s="540"/>
      <c r="CG169" s="541"/>
      <c r="CH169" s="539"/>
      <c r="CI169" s="540"/>
      <c r="CJ169" s="541"/>
      <c r="CK169" s="539"/>
      <c r="CL169" s="540"/>
      <c r="CM169" s="541"/>
      <c r="CN169" s="539"/>
      <c r="CO169" s="540"/>
      <c r="CP169" s="541"/>
      <c r="DG169" s="67"/>
      <c r="DH169" s="67"/>
      <c r="DI169" s="67"/>
      <c r="DJ169" s="67"/>
      <c r="DL169" s="66"/>
      <c r="DM169" s="66"/>
      <c r="DN169" s="66"/>
      <c r="DO169" s="66"/>
      <c r="EB169" s="157"/>
      <c r="EC169" s="157"/>
      <c r="ED169" s="157"/>
      <c r="EF169" s="66"/>
      <c r="EG169" s="66"/>
      <c r="EH169" s="66"/>
    </row>
    <row r="170" spans="2:138" ht="21" customHeight="1">
      <c r="B170" s="520"/>
      <c r="C170" s="521"/>
      <c r="D170" s="521"/>
      <c r="E170" s="521"/>
      <c r="F170" s="522"/>
      <c r="G170" s="520"/>
      <c r="H170" s="521"/>
      <c r="I170" s="521"/>
      <c r="J170" s="521"/>
      <c r="K170" s="522"/>
      <c r="L170" s="520"/>
      <c r="M170" s="521"/>
      <c r="N170" s="521"/>
      <c r="O170" s="521"/>
      <c r="P170" s="521"/>
      <c r="Q170" s="521"/>
      <c r="R170" s="521"/>
      <c r="S170" s="521"/>
      <c r="T170" s="521"/>
      <c r="U170" s="522"/>
      <c r="V170" s="529" t="s">
        <v>18</v>
      </c>
      <c r="W170" s="530"/>
      <c r="X170" s="473" t="s">
        <v>15</v>
      </c>
      <c r="Y170" s="474"/>
      <c r="Z170" s="475">
        <f>SUM(AC170:CP170)</f>
        <v>0</v>
      </c>
      <c r="AA170" s="487"/>
      <c r="AB170" s="485"/>
      <c r="AC170" s="487"/>
      <c r="AD170" s="487"/>
      <c r="AE170" s="476"/>
      <c r="AF170" s="484"/>
      <c r="AG170" s="487"/>
      <c r="AH170" s="476"/>
      <c r="AI170" s="484"/>
      <c r="AJ170" s="487"/>
      <c r="AK170" s="476"/>
      <c r="AL170" s="484"/>
      <c r="AM170" s="487"/>
      <c r="AN170" s="476"/>
      <c r="AO170" s="484"/>
      <c r="AP170" s="487"/>
      <c r="AQ170" s="476"/>
      <c r="AR170" s="484"/>
      <c r="AS170" s="487"/>
      <c r="AT170" s="476"/>
      <c r="AU170" s="484"/>
      <c r="AV170" s="487"/>
      <c r="AW170" s="476"/>
      <c r="AX170" s="484"/>
      <c r="AY170" s="487"/>
      <c r="AZ170" s="476"/>
      <c r="BA170" s="484"/>
      <c r="BB170" s="487"/>
      <c r="BC170" s="476"/>
      <c r="BD170" s="484"/>
      <c r="BE170" s="487"/>
      <c r="BF170" s="476"/>
      <c r="BG170" s="484"/>
      <c r="BH170" s="487"/>
      <c r="BI170" s="476"/>
      <c r="BJ170" s="484"/>
      <c r="BK170" s="487"/>
      <c r="BL170" s="476"/>
      <c r="BM170" s="484"/>
      <c r="BN170" s="487"/>
      <c r="BO170" s="476"/>
      <c r="BP170" s="484"/>
      <c r="BQ170" s="487"/>
      <c r="BR170" s="476"/>
      <c r="BS170" s="484"/>
      <c r="BT170" s="487"/>
      <c r="BU170" s="476"/>
      <c r="BV170" s="484"/>
      <c r="BW170" s="487"/>
      <c r="BX170" s="476"/>
      <c r="BY170" s="484"/>
      <c r="BZ170" s="487"/>
      <c r="CA170" s="476"/>
      <c r="CB170" s="484"/>
      <c r="CC170" s="487"/>
      <c r="CD170" s="476"/>
      <c r="CE170" s="484"/>
      <c r="CF170" s="487"/>
      <c r="CG170" s="476"/>
      <c r="CH170" s="484"/>
      <c r="CI170" s="487"/>
      <c r="CJ170" s="476"/>
      <c r="CK170" s="484"/>
      <c r="CL170" s="487"/>
      <c r="CM170" s="476"/>
      <c r="CN170" s="484"/>
      <c r="CO170" s="487"/>
      <c r="CP170" s="476"/>
      <c r="DG170" s="67"/>
      <c r="DH170" s="67"/>
      <c r="DI170" s="67"/>
      <c r="DJ170" s="67"/>
      <c r="DL170" s="66"/>
      <c r="DM170" s="66"/>
      <c r="DN170" s="66"/>
      <c r="DO170" s="66"/>
      <c r="EB170" s="157"/>
      <c r="EC170" s="157"/>
      <c r="ED170" s="157"/>
      <c r="EF170" s="66"/>
      <c r="EG170" s="66"/>
      <c r="EH170" s="66"/>
    </row>
    <row r="171" spans="2:138" ht="21" customHeight="1">
      <c r="B171" s="523"/>
      <c r="C171" s="524"/>
      <c r="D171" s="524"/>
      <c r="E171" s="524"/>
      <c r="F171" s="525"/>
      <c r="G171" s="523"/>
      <c r="H171" s="524"/>
      <c r="I171" s="524"/>
      <c r="J171" s="524"/>
      <c r="K171" s="525"/>
      <c r="L171" s="523"/>
      <c r="M171" s="524"/>
      <c r="N171" s="524"/>
      <c r="O171" s="524"/>
      <c r="P171" s="524"/>
      <c r="Q171" s="524"/>
      <c r="R171" s="524"/>
      <c r="S171" s="524"/>
      <c r="T171" s="524"/>
      <c r="U171" s="525"/>
      <c r="V171" s="531"/>
      <c r="W171" s="532"/>
      <c r="X171" s="534" t="s">
        <v>16</v>
      </c>
      <c r="Y171" s="474"/>
      <c r="Z171" s="535">
        <f>SUM(AC171:CP171)</f>
        <v>0</v>
      </c>
      <c r="AA171" s="518"/>
      <c r="AB171" s="536"/>
      <c r="AC171" s="518"/>
      <c r="AD171" s="518"/>
      <c r="AE171" s="519"/>
      <c r="AF171" s="517"/>
      <c r="AG171" s="518"/>
      <c r="AH171" s="519"/>
      <c r="AI171" s="517"/>
      <c r="AJ171" s="518"/>
      <c r="AK171" s="519"/>
      <c r="AL171" s="517"/>
      <c r="AM171" s="518"/>
      <c r="AN171" s="519"/>
      <c r="AO171" s="517"/>
      <c r="AP171" s="518"/>
      <c r="AQ171" s="519"/>
      <c r="AR171" s="517"/>
      <c r="AS171" s="518"/>
      <c r="AT171" s="519"/>
      <c r="AU171" s="517"/>
      <c r="AV171" s="518"/>
      <c r="AW171" s="519"/>
      <c r="AX171" s="517"/>
      <c r="AY171" s="518"/>
      <c r="AZ171" s="519"/>
      <c r="BA171" s="517"/>
      <c r="BB171" s="518"/>
      <c r="BC171" s="519"/>
      <c r="BD171" s="517"/>
      <c r="BE171" s="518"/>
      <c r="BF171" s="519"/>
      <c r="BG171" s="517"/>
      <c r="BH171" s="518"/>
      <c r="BI171" s="519"/>
      <c r="BJ171" s="517"/>
      <c r="BK171" s="518"/>
      <c r="BL171" s="519"/>
      <c r="BM171" s="517"/>
      <c r="BN171" s="518"/>
      <c r="BO171" s="519"/>
      <c r="BP171" s="517"/>
      <c r="BQ171" s="518"/>
      <c r="BR171" s="519"/>
      <c r="BS171" s="517"/>
      <c r="BT171" s="518"/>
      <c r="BU171" s="519"/>
      <c r="BV171" s="517"/>
      <c r="BW171" s="518"/>
      <c r="BX171" s="519"/>
      <c r="BY171" s="517"/>
      <c r="BZ171" s="518"/>
      <c r="CA171" s="519"/>
      <c r="CB171" s="517"/>
      <c r="CC171" s="518"/>
      <c r="CD171" s="519"/>
      <c r="CE171" s="517"/>
      <c r="CF171" s="518"/>
      <c r="CG171" s="519"/>
      <c r="CH171" s="517"/>
      <c r="CI171" s="518"/>
      <c r="CJ171" s="519"/>
      <c r="CK171" s="517"/>
      <c r="CL171" s="518"/>
      <c r="CM171" s="519"/>
      <c r="CN171" s="517"/>
      <c r="CO171" s="518"/>
      <c r="CP171" s="519"/>
      <c r="DG171" s="67"/>
      <c r="DH171" s="67"/>
      <c r="DI171" s="67"/>
      <c r="DJ171" s="67"/>
      <c r="DL171" s="66"/>
      <c r="DM171" s="66"/>
      <c r="DN171" s="66"/>
      <c r="DO171" s="66"/>
      <c r="EB171" s="157"/>
      <c r="EC171" s="157"/>
      <c r="ED171" s="157"/>
      <c r="EF171" s="66"/>
      <c r="EG171" s="66"/>
      <c r="EH171" s="66"/>
    </row>
    <row r="172" spans="2:138" ht="21" customHeight="1">
      <c r="B172" s="523"/>
      <c r="C172" s="524"/>
      <c r="D172" s="524"/>
      <c r="E172" s="524"/>
      <c r="F172" s="525"/>
      <c r="G172" s="523"/>
      <c r="H172" s="524"/>
      <c r="I172" s="524"/>
      <c r="J172" s="524"/>
      <c r="K172" s="525"/>
      <c r="L172" s="523"/>
      <c r="M172" s="524"/>
      <c r="N172" s="524"/>
      <c r="O172" s="524"/>
      <c r="P172" s="524"/>
      <c r="Q172" s="524"/>
      <c r="R172" s="524"/>
      <c r="S172" s="524"/>
      <c r="T172" s="524"/>
      <c r="U172" s="525"/>
      <c r="V172" s="479" t="s">
        <v>19</v>
      </c>
      <c r="W172" s="544"/>
      <c r="X172" s="537" t="s">
        <v>15</v>
      </c>
      <c r="Y172" s="538"/>
      <c r="Z172" s="451">
        <f>SUM(AC172:CP172)</f>
        <v>0</v>
      </c>
      <c r="AA172" s="455"/>
      <c r="AB172" s="454"/>
      <c r="AC172" s="455"/>
      <c r="AD172" s="455"/>
      <c r="AE172" s="452"/>
      <c r="AF172" s="453"/>
      <c r="AG172" s="455"/>
      <c r="AH172" s="452"/>
      <c r="AI172" s="453"/>
      <c r="AJ172" s="455"/>
      <c r="AK172" s="452"/>
      <c r="AL172" s="453"/>
      <c r="AM172" s="455"/>
      <c r="AN172" s="452"/>
      <c r="AO172" s="453"/>
      <c r="AP172" s="455"/>
      <c r="AQ172" s="452"/>
      <c r="AR172" s="453"/>
      <c r="AS172" s="455"/>
      <c r="AT172" s="452"/>
      <c r="AU172" s="453"/>
      <c r="AV172" s="455"/>
      <c r="AW172" s="452"/>
      <c r="AX172" s="453"/>
      <c r="AY172" s="455"/>
      <c r="AZ172" s="452"/>
      <c r="BA172" s="453"/>
      <c r="BB172" s="455"/>
      <c r="BC172" s="452"/>
      <c r="BD172" s="453"/>
      <c r="BE172" s="455"/>
      <c r="BF172" s="452"/>
      <c r="BG172" s="453"/>
      <c r="BH172" s="455"/>
      <c r="BI172" s="452"/>
      <c r="BJ172" s="453"/>
      <c r="BK172" s="455"/>
      <c r="BL172" s="452"/>
      <c r="BM172" s="453"/>
      <c r="BN172" s="455"/>
      <c r="BO172" s="452"/>
      <c r="BP172" s="453"/>
      <c r="BQ172" s="455"/>
      <c r="BR172" s="452"/>
      <c r="BS172" s="453"/>
      <c r="BT172" s="455"/>
      <c r="BU172" s="452"/>
      <c r="BV172" s="453"/>
      <c r="BW172" s="455"/>
      <c r="BX172" s="452"/>
      <c r="BY172" s="453"/>
      <c r="BZ172" s="455"/>
      <c r="CA172" s="452"/>
      <c r="CB172" s="453"/>
      <c r="CC172" s="455"/>
      <c r="CD172" s="452"/>
      <c r="CE172" s="453"/>
      <c r="CF172" s="455"/>
      <c r="CG172" s="452"/>
      <c r="CH172" s="453"/>
      <c r="CI172" s="455"/>
      <c r="CJ172" s="452"/>
      <c r="CK172" s="453"/>
      <c r="CL172" s="455"/>
      <c r="CM172" s="452"/>
      <c r="CN172" s="453"/>
      <c r="CO172" s="455"/>
      <c r="CP172" s="452"/>
      <c r="DG172" s="67"/>
      <c r="DH172" s="67"/>
      <c r="DI172" s="67"/>
      <c r="DJ172" s="67"/>
      <c r="DL172" s="66"/>
      <c r="DM172" s="66"/>
      <c r="DN172" s="66"/>
      <c r="DO172" s="66"/>
      <c r="EB172" s="157"/>
      <c r="EC172" s="157"/>
      <c r="ED172" s="157"/>
      <c r="EF172" s="66"/>
      <c r="EG172" s="66"/>
      <c r="EH172" s="66"/>
    </row>
    <row r="173" spans="2:138" ht="21" customHeight="1">
      <c r="B173" s="526"/>
      <c r="C173" s="527"/>
      <c r="D173" s="527"/>
      <c r="E173" s="527"/>
      <c r="F173" s="528"/>
      <c r="G173" s="526"/>
      <c r="H173" s="527"/>
      <c r="I173" s="527"/>
      <c r="J173" s="527"/>
      <c r="K173" s="528"/>
      <c r="L173" s="526"/>
      <c r="M173" s="527"/>
      <c r="N173" s="527"/>
      <c r="O173" s="527"/>
      <c r="P173" s="527"/>
      <c r="Q173" s="527"/>
      <c r="R173" s="527"/>
      <c r="S173" s="527"/>
      <c r="T173" s="527"/>
      <c r="U173" s="528"/>
      <c r="V173" s="545"/>
      <c r="W173" s="546"/>
      <c r="X173" s="449" t="s">
        <v>16</v>
      </c>
      <c r="Y173" s="538"/>
      <c r="Z173" s="542">
        <f>SUM(AC173:CP173)</f>
        <v>0</v>
      </c>
      <c r="AA173" s="540"/>
      <c r="AB173" s="543"/>
      <c r="AC173" s="540"/>
      <c r="AD173" s="540"/>
      <c r="AE173" s="541"/>
      <c r="AF173" s="539"/>
      <c r="AG173" s="540"/>
      <c r="AH173" s="541"/>
      <c r="AI173" s="539"/>
      <c r="AJ173" s="540"/>
      <c r="AK173" s="541"/>
      <c r="AL173" s="539"/>
      <c r="AM173" s="540"/>
      <c r="AN173" s="541"/>
      <c r="AO173" s="539"/>
      <c r="AP173" s="540"/>
      <c r="AQ173" s="541"/>
      <c r="AR173" s="539"/>
      <c r="AS173" s="540"/>
      <c r="AT173" s="541"/>
      <c r="AU173" s="539"/>
      <c r="AV173" s="540"/>
      <c r="AW173" s="541"/>
      <c r="AX173" s="539"/>
      <c r="AY173" s="540"/>
      <c r="AZ173" s="541"/>
      <c r="BA173" s="539"/>
      <c r="BB173" s="540"/>
      <c r="BC173" s="541"/>
      <c r="BD173" s="539"/>
      <c r="BE173" s="540"/>
      <c r="BF173" s="541"/>
      <c r="BG173" s="539"/>
      <c r="BH173" s="540"/>
      <c r="BI173" s="541"/>
      <c r="BJ173" s="539"/>
      <c r="BK173" s="540"/>
      <c r="BL173" s="541"/>
      <c r="BM173" s="539"/>
      <c r="BN173" s="540"/>
      <c r="BO173" s="541"/>
      <c r="BP173" s="539"/>
      <c r="BQ173" s="540"/>
      <c r="BR173" s="541"/>
      <c r="BS173" s="539"/>
      <c r="BT173" s="540"/>
      <c r="BU173" s="541"/>
      <c r="BV173" s="539"/>
      <c r="BW173" s="540"/>
      <c r="BX173" s="541"/>
      <c r="BY173" s="539"/>
      <c r="BZ173" s="540"/>
      <c r="CA173" s="541"/>
      <c r="CB173" s="539"/>
      <c r="CC173" s="540"/>
      <c r="CD173" s="541"/>
      <c r="CE173" s="539"/>
      <c r="CF173" s="540"/>
      <c r="CG173" s="541"/>
      <c r="CH173" s="539"/>
      <c r="CI173" s="540"/>
      <c r="CJ173" s="541"/>
      <c r="CK173" s="539"/>
      <c r="CL173" s="540"/>
      <c r="CM173" s="541"/>
      <c r="CN173" s="539"/>
      <c r="CO173" s="540"/>
      <c r="CP173" s="541"/>
      <c r="DG173" s="67"/>
      <c r="DH173" s="67"/>
      <c r="DI173" s="67"/>
      <c r="DJ173" s="67"/>
      <c r="DL173" s="66"/>
      <c r="DM173" s="66"/>
      <c r="DN173" s="66"/>
      <c r="DO173" s="66"/>
      <c r="EB173" s="157"/>
      <c r="EC173" s="157"/>
      <c r="ED173" s="157"/>
      <c r="EF173" s="66"/>
      <c r="EG173" s="66"/>
      <c r="EH173" s="66"/>
    </row>
    <row r="174" spans="2:138" ht="21" hidden="1" customHeight="1">
      <c r="B174" s="520"/>
      <c r="C174" s="521"/>
      <c r="D174" s="521"/>
      <c r="E174" s="521"/>
      <c r="F174" s="522"/>
      <c r="G174" s="520"/>
      <c r="H174" s="521"/>
      <c r="I174" s="521"/>
      <c r="J174" s="521"/>
      <c r="K174" s="522"/>
      <c r="L174" s="520"/>
      <c r="M174" s="521"/>
      <c r="N174" s="521"/>
      <c r="O174" s="521"/>
      <c r="P174" s="521"/>
      <c r="Q174" s="521"/>
      <c r="R174" s="521"/>
      <c r="S174" s="521"/>
      <c r="T174" s="521"/>
      <c r="U174" s="522"/>
      <c r="V174" s="529" t="s">
        <v>18</v>
      </c>
      <c r="W174" s="530"/>
      <c r="X174" s="473" t="s">
        <v>15</v>
      </c>
      <c r="Y174" s="474"/>
      <c r="Z174" s="475">
        <f>SUM(AC174:CP174)</f>
        <v>0</v>
      </c>
      <c r="AA174" s="487"/>
      <c r="AB174" s="485"/>
      <c r="AC174" s="487"/>
      <c r="AD174" s="487"/>
      <c r="AE174" s="476"/>
      <c r="AF174" s="484"/>
      <c r="AG174" s="487"/>
      <c r="AH174" s="476"/>
      <c r="AI174" s="484"/>
      <c r="AJ174" s="487"/>
      <c r="AK174" s="476"/>
      <c r="AL174" s="484"/>
      <c r="AM174" s="487"/>
      <c r="AN174" s="476"/>
      <c r="AO174" s="484"/>
      <c r="AP174" s="487"/>
      <c r="AQ174" s="476"/>
      <c r="AR174" s="484"/>
      <c r="AS174" s="487"/>
      <c r="AT174" s="476"/>
      <c r="AU174" s="484"/>
      <c r="AV174" s="487"/>
      <c r="AW174" s="476"/>
      <c r="AX174" s="484"/>
      <c r="AY174" s="487"/>
      <c r="AZ174" s="476"/>
      <c r="BA174" s="484"/>
      <c r="BB174" s="487"/>
      <c r="BC174" s="476"/>
      <c r="BD174" s="484"/>
      <c r="BE174" s="487"/>
      <c r="BF174" s="476"/>
      <c r="BG174" s="484"/>
      <c r="BH174" s="487"/>
      <c r="BI174" s="476"/>
      <c r="BJ174" s="484"/>
      <c r="BK174" s="487"/>
      <c r="BL174" s="476"/>
      <c r="BM174" s="484"/>
      <c r="BN174" s="487"/>
      <c r="BO174" s="476"/>
      <c r="BP174" s="484"/>
      <c r="BQ174" s="487"/>
      <c r="BR174" s="476"/>
      <c r="BS174" s="484"/>
      <c r="BT174" s="487"/>
      <c r="BU174" s="476"/>
      <c r="BV174" s="484"/>
      <c r="BW174" s="487"/>
      <c r="BX174" s="476"/>
      <c r="BY174" s="484"/>
      <c r="BZ174" s="487"/>
      <c r="CA174" s="476"/>
      <c r="CB174" s="484"/>
      <c r="CC174" s="487"/>
      <c r="CD174" s="476"/>
      <c r="CE174" s="484"/>
      <c r="CF174" s="487"/>
      <c r="CG174" s="476"/>
      <c r="CH174" s="484"/>
      <c r="CI174" s="487"/>
      <c r="CJ174" s="476"/>
      <c r="CK174" s="484"/>
      <c r="CL174" s="487"/>
      <c r="CM174" s="476"/>
      <c r="CN174" s="484"/>
      <c r="CO174" s="487"/>
      <c r="CP174" s="476"/>
      <c r="DG174" s="67"/>
      <c r="DH174" s="67"/>
      <c r="DI174" s="67"/>
      <c r="DJ174" s="67"/>
      <c r="DL174" s="66"/>
      <c r="DM174" s="66"/>
      <c r="DN174" s="66"/>
      <c r="DO174" s="66"/>
      <c r="EB174" s="157"/>
      <c r="EC174" s="157"/>
      <c r="ED174" s="157"/>
      <c r="EF174" s="66"/>
      <c r="EG174" s="66"/>
      <c r="EH174" s="66"/>
    </row>
    <row r="175" spans="2:138" ht="21" hidden="1" customHeight="1">
      <c r="B175" s="523"/>
      <c r="C175" s="524"/>
      <c r="D175" s="524"/>
      <c r="E175" s="524"/>
      <c r="F175" s="525"/>
      <c r="G175" s="523"/>
      <c r="H175" s="524"/>
      <c r="I175" s="524"/>
      <c r="J175" s="524"/>
      <c r="K175" s="525"/>
      <c r="L175" s="523"/>
      <c r="M175" s="524"/>
      <c r="N175" s="524"/>
      <c r="O175" s="524"/>
      <c r="P175" s="524"/>
      <c r="Q175" s="524"/>
      <c r="R175" s="524"/>
      <c r="S175" s="524"/>
      <c r="T175" s="524"/>
      <c r="U175" s="525"/>
      <c r="V175" s="531"/>
      <c r="W175" s="532"/>
      <c r="X175" s="534" t="s">
        <v>16</v>
      </c>
      <c r="Y175" s="474"/>
      <c r="Z175" s="535">
        <f>SUM(AC175:CP175)</f>
        <v>0</v>
      </c>
      <c r="AA175" s="518"/>
      <c r="AB175" s="536"/>
      <c r="AC175" s="518"/>
      <c r="AD175" s="518"/>
      <c r="AE175" s="519"/>
      <c r="AF175" s="517"/>
      <c r="AG175" s="518"/>
      <c r="AH175" s="519"/>
      <c r="AI175" s="517"/>
      <c r="AJ175" s="518"/>
      <c r="AK175" s="519"/>
      <c r="AL175" s="517"/>
      <c r="AM175" s="518"/>
      <c r="AN175" s="519"/>
      <c r="AO175" s="517"/>
      <c r="AP175" s="518"/>
      <c r="AQ175" s="519"/>
      <c r="AR175" s="517"/>
      <c r="AS175" s="518"/>
      <c r="AT175" s="519"/>
      <c r="AU175" s="517"/>
      <c r="AV175" s="518"/>
      <c r="AW175" s="519"/>
      <c r="AX175" s="517"/>
      <c r="AY175" s="518"/>
      <c r="AZ175" s="519"/>
      <c r="BA175" s="517"/>
      <c r="BB175" s="518"/>
      <c r="BC175" s="519"/>
      <c r="BD175" s="517"/>
      <c r="BE175" s="518"/>
      <c r="BF175" s="519"/>
      <c r="BG175" s="517"/>
      <c r="BH175" s="518"/>
      <c r="BI175" s="519"/>
      <c r="BJ175" s="517"/>
      <c r="BK175" s="518"/>
      <c r="BL175" s="519"/>
      <c r="BM175" s="517"/>
      <c r="BN175" s="518"/>
      <c r="BO175" s="519"/>
      <c r="BP175" s="517"/>
      <c r="BQ175" s="518"/>
      <c r="BR175" s="519"/>
      <c r="BS175" s="517"/>
      <c r="BT175" s="518"/>
      <c r="BU175" s="519"/>
      <c r="BV175" s="517"/>
      <c r="BW175" s="518"/>
      <c r="BX175" s="519"/>
      <c r="BY175" s="517"/>
      <c r="BZ175" s="518"/>
      <c r="CA175" s="519"/>
      <c r="CB175" s="517"/>
      <c r="CC175" s="518"/>
      <c r="CD175" s="519"/>
      <c r="CE175" s="517"/>
      <c r="CF175" s="518"/>
      <c r="CG175" s="519"/>
      <c r="CH175" s="517"/>
      <c r="CI175" s="518"/>
      <c r="CJ175" s="519"/>
      <c r="CK175" s="517"/>
      <c r="CL175" s="518"/>
      <c r="CM175" s="519"/>
      <c r="CN175" s="517"/>
      <c r="CO175" s="518"/>
      <c r="CP175" s="519"/>
      <c r="DG175" s="67"/>
      <c r="DH175" s="67"/>
      <c r="DI175" s="67"/>
      <c r="DJ175" s="67"/>
      <c r="DL175" s="66"/>
      <c r="DM175" s="66"/>
      <c r="DN175" s="66"/>
      <c r="DO175" s="66"/>
      <c r="EB175" s="157"/>
      <c r="EC175" s="157"/>
      <c r="ED175" s="157"/>
      <c r="EF175" s="66"/>
      <c r="EG175" s="66"/>
      <c r="EH175" s="66"/>
    </row>
    <row r="176" spans="2:138" ht="21" hidden="1" customHeight="1">
      <c r="B176" s="523"/>
      <c r="C176" s="524"/>
      <c r="D176" s="524"/>
      <c r="E176" s="524"/>
      <c r="F176" s="525"/>
      <c r="G176" s="523"/>
      <c r="H176" s="524"/>
      <c r="I176" s="524"/>
      <c r="J176" s="524"/>
      <c r="K176" s="525"/>
      <c r="L176" s="523"/>
      <c r="M176" s="524"/>
      <c r="N176" s="524"/>
      <c r="O176" s="524"/>
      <c r="P176" s="524"/>
      <c r="Q176" s="524"/>
      <c r="R176" s="524"/>
      <c r="S176" s="524"/>
      <c r="T176" s="524"/>
      <c r="U176" s="525"/>
      <c r="V176" s="479" t="s">
        <v>19</v>
      </c>
      <c r="W176" s="544"/>
      <c r="X176" s="537" t="s">
        <v>15</v>
      </c>
      <c r="Y176" s="538"/>
      <c r="Z176" s="451">
        <f>SUM(AC176:CP176)</f>
        <v>0</v>
      </c>
      <c r="AA176" s="455"/>
      <c r="AB176" s="454"/>
      <c r="AC176" s="455"/>
      <c r="AD176" s="455"/>
      <c r="AE176" s="452"/>
      <c r="AF176" s="453"/>
      <c r="AG176" s="455"/>
      <c r="AH176" s="452"/>
      <c r="AI176" s="453"/>
      <c r="AJ176" s="455"/>
      <c r="AK176" s="452"/>
      <c r="AL176" s="453"/>
      <c r="AM176" s="455"/>
      <c r="AN176" s="452"/>
      <c r="AO176" s="453"/>
      <c r="AP176" s="455"/>
      <c r="AQ176" s="452"/>
      <c r="AR176" s="453"/>
      <c r="AS176" s="455"/>
      <c r="AT176" s="452"/>
      <c r="AU176" s="453"/>
      <c r="AV176" s="455"/>
      <c r="AW176" s="452"/>
      <c r="AX176" s="453"/>
      <c r="AY176" s="455"/>
      <c r="AZ176" s="452"/>
      <c r="BA176" s="453"/>
      <c r="BB176" s="455"/>
      <c r="BC176" s="452"/>
      <c r="BD176" s="453"/>
      <c r="BE176" s="455"/>
      <c r="BF176" s="452"/>
      <c r="BG176" s="453"/>
      <c r="BH176" s="455"/>
      <c r="BI176" s="452"/>
      <c r="BJ176" s="453"/>
      <c r="BK176" s="455"/>
      <c r="BL176" s="452"/>
      <c r="BM176" s="453"/>
      <c r="BN176" s="455"/>
      <c r="BO176" s="452"/>
      <c r="BP176" s="453"/>
      <c r="BQ176" s="455"/>
      <c r="BR176" s="452"/>
      <c r="BS176" s="453"/>
      <c r="BT176" s="455"/>
      <c r="BU176" s="452"/>
      <c r="BV176" s="453"/>
      <c r="BW176" s="455"/>
      <c r="BX176" s="452"/>
      <c r="BY176" s="453"/>
      <c r="BZ176" s="455"/>
      <c r="CA176" s="452"/>
      <c r="CB176" s="453"/>
      <c r="CC176" s="455"/>
      <c r="CD176" s="452"/>
      <c r="CE176" s="453"/>
      <c r="CF176" s="455"/>
      <c r="CG176" s="452"/>
      <c r="CH176" s="453"/>
      <c r="CI176" s="455"/>
      <c r="CJ176" s="452"/>
      <c r="CK176" s="453"/>
      <c r="CL176" s="455"/>
      <c r="CM176" s="452"/>
      <c r="CN176" s="453"/>
      <c r="CO176" s="455"/>
      <c r="CP176" s="452"/>
      <c r="DG176" s="67"/>
      <c r="DH176" s="67"/>
      <c r="DI176" s="67"/>
      <c r="DJ176" s="67"/>
      <c r="DL176" s="66"/>
      <c r="DM176" s="66"/>
      <c r="DN176" s="66"/>
      <c r="DO176" s="66"/>
      <c r="EB176" s="157"/>
      <c r="EC176" s="157"/>
      <c r="ED176" s="157"/>
      <c r="EF176" s="66"/>
      <c r="EG176" s="66"/>
      <c r="EH176" s="66"/>
    </row>
    <row r="177" spans="2:138" ht="21" hidden="1" customHeight="1">
      <c r="B177" s="526"/>
      <c r="C177" s="527"/>
      <c r="D177" s="527"/>
      <c r="E177" s="527"/>
      <c r="F177" s="528"/>
      <c r="G177" s="526"/>
      <c r="H177" s="527"/>
      <c r="I177" s="527"/>
      <c r="J177" s="527"/>
      <c r="K177" s="528"/>
      <c r="L177" s="526"/>
      <c r="M177" s="527"/>
      <c r="N177" s="527"/>
      <c r="O177" s="527"/>
      <c r="P177" s="527"/>
      <c r="Q177" s="527"/>
      <c r="R177" s="527"/>
      <c r="S177" s="527"/>
      <c r="T177" s="527"/>
      <c r="U177" s="528"/>
      <c r="V177" s="545"/>
      <c r="W177" s="546"/>
      <c r="X177" s="449" t="s">
        <v>16</v>
      </c>
      <c r="Y177" s="538"/>
      <c r="Z177" s="542">
        <f>SUM(AC177:CP177)</f>
        <v>0</v>
      </c>
      <c r="AA177" s="540"/>
      <c r="AB177" s="543"/>
      <c r="AC177" s="540"/>
      <c r="AD177" s="540"/>
      <c r="AE177" s="541"/>
      <c r="AF177" s="539"/>
      <c r="AG177" s="540"/>
      <c r="AH177" s="541"/>
      <c r="AI177" s="539"/>
      <c r="AJ177" s="540"/>
      <c r="AK177" s="541"/>
      <c r="AL177" s="539"/>
      <c r="AM177" s="540"/>
      <c r="AN177" s="541"/>
      <c r="AO177" s="539"/>
      <c r="AP177" s="540"/>
      <c r="AQ177" s="541"/>
      <c r="AR177" s="539"/>
      <c r="AS177" s="540"/>
      <c r="AT177" s="541"/>
      <c r="AU177" s="539"/>
      <c r="AV177" s="540"/>
      <c r="AW177" s="541"/>
      <c r="AX177" s="539"/>
      <c r="AY177" s="540"/>
      <c r="AZ177" s="541"/>
      <c r="BA177" s="539"/>
      <c r="BB177" s="540"/>
      <c r="BC177" s="541"/>
      <c r="BD177" s="539"/>
      <c r="BE177" s="540"/>
      <c r="BF177" s="541"/>
      <c r="BG177" s="539"/>
      <c r="BH177" s="540"/>
      <c r="BI177" s="541"/>
      <c r="BJ177" s="539"/>
      <c r="BK177" s="540"/>
      <c r="BL177" s="541"/>
      <c r="BM177" s="539"/>
      <c r="BN177" s="540"/>
      <c r="BO177" s="541"/>
      <c r="BP177" s="539"/>
      <c r="BQ177" s="540"/>
      <c r="BR177" s="541"/>
      <c r="BS177" s="539"/>
      <c r="BT177" s="540"/>
      <c r="BU177" s="541"/>
      <c r="BV177" s="539"/>
      <c r="BW177" s="540"/>
      <c r="BX177" s="541"/>
      <c r="BY177" s="539"/>
      <c r="BZ177" s="540"/>
      <c r="CA177" s="541"/>
      <c r="CB177" s="539"/>
      <c r="CC177" s="540"/>
      <c r="CD177" s="541"/>
      <c r="CE177" s="539"/>
      <c r="CF177" s="540"/>
      <c r="CG177" s="541"/>
      <c r="CH177" s="539"/>
      <c r="CI177" s="540"/>
      <c r="CJ177" s="541"/>
      <c r="CK177" s="539"/>
      <c r="CL177" s="540"/>
      <c r="CM177" s="541"/>
      <c r="CN177" s="539"/>
      <c r="CO177" s="540"/>
      <c r="CP177" s="541"/>
      <c r="DG177" s="67"/>
      <c r="DH177" s="67"/>
      <c r="DI177" s="67"/>
      <c r="DJ177" s="67"/>
      <c r="DL177" s="66"/>
      <c r="DM177" s="66"/>
      <c r="DN177" s="66"/>
      <c r="DO177" s="66"/>
      <c r="EB177" s="157"/>
      <c r="EC177" s="157"/>
      <c r="ED177" s="157"/>
      <c r="EF177" s="66"/>
      <c r="EG177" s="66"/>
      <c r="EH177" s="66"/>
    </row>
    <row r="178" spans="2:138" ht="21" hidden="1" customHeight="1">
      <c r="B178" s="520"/>
      <c r="C178" s="521"/>
      <c r="D178" s="521"/>
      <c r="E178" s="521"/>
      <c r="F178" s="522"/>
      <c r="G178" s="222"/>
      <c r="H178" s="223"/>
      <c r="I178" s="223"/>
      <c r="J178" s="223"/>
      <c r="K178" s="224"/>
      <c r="L178" s="520"/>
      <c r="M178" s="521"/>
      <c r="N178" s="521"/>
      <c r="O178" s="521"/>
      <c r="P178" s="521"/>
      <c r="Q178" s="521"/>
      <c r="R178" s="521"/>
      <c r="S178" s="521"/>
      <c r="T178" s="521"/>
      <c r="U178" s="522"/>
      <c r="V178" s="529" t="s">
        <v>18</v>
      </c>
      <c r="W178" s="530"/>
      <c r="X178" s="473" t="s">
        <v>15</v>
      </c>
      <c r="Y178" s="474"/>
      <c r="Z178" s="475">
        <f>SUM(AC178:CP178)</f>
        <v>0</v>
      </c>
      <c r="AA178" s="487"/>
      <c r="AB178" s="485"/>
      <c r="AC178" s="487"/>
      <c r="AD178" s="487"/>
      <c r="AE178" s="476"/>
      <c r="AF178" s="484"/>
      <c r="AG178" s="487"/>
      <c r="AH178" s="476"/>
      <c r="AI178" s="484"/>
      <c r="AJ178" s="487"/>
      <c r="AK178" s="476"/>
      <c r="AL178" s="484"/>
      <c r="AM178" s="487"/>
      <c r="AN178" s="476"/>
      <c r="AO178" s="484"/>
      <c r="AP178" s="487"/>
      <c r="AQ178" s="476"/>
      <c r="AR178" s="484"/>
      <c r="AS178" s="487"/>
      <c r="AT178" s="476"/>
      <c r="AU178" s="484"/>
      <c r="AV178" s="487"/>
      <c r="AW178" s="476"/>
      <c r="AX178" s="484"/>
      <c r="AY178" s="487"/>
      <c r="AZ178" s="476"/>
      <c r="BA178" s="484"/>
      <c r="BB178" s="487"/>
      <c r="BC178" s="476"/>
      <c r="BD178" s="484"/>
      <c r="BE178" s="487"/>
      <c r="BF178" s="476"/>
      <c r="BG178" s="484"/>
      <c r="BH178" s="487"/>
      <c r="BI178" s="476"/>
      <c r="BJ178" s="484"/>
      <c r="BK178" s="487"/>
      <c r="BL178" s="476"/>
      <c r="BM178" s="484"/>
      <c r="BN178" s="487"/>
      <c r="BO178" s="476"/>
      <c r="BP178" s="484"/>
      <c r="BQ178" s="487"/>
      <c r="BR178" s="476"/>
      <c r="BS178" s="484"/>
      <c r="BT178" s="487"/>
      <c r="BU178" s="476"/>
      <c r="BV178" s="484"/>
      <c r="BW178" s="487"/>
      <c r="BX178" s="476"/>
      <c r="BY178" s="484"/>
      <c r="BZ178" s="487"/>
      <c r="CA178" s="476"/>
      <c r="CB178" s="484"/>
      <c r="CC178" s="487"/>
      <c r="CD178" s="476"/>
      <c r="CE178" s="484"/>
      <c r="CF178" s="487"/>
      <c r="CG178" s="476"/>
      <c r="CH178" s="484"/>
      <c r="CI178" s="487"/>
      <c r="CJ178" s="476"/>
      <c r="CK178" s="484"/>
      <c r="CL178" s="487"/>
      <c r="CM178" s="476"/>
      <c r="CN178" s="484"/>
      <c r="CO178" s="487"/>
      <c r="CP178" s="476"/>
      <c r="DG178" s="67"/>
      <c r="DH178" s="67"/>
      <c r="DI178" s="67"/>
      <c r="DJ178" s="67"/>
      <c r="DL178" s="66"/>
      <c r="DM178" s="66"/>
      <c r="DN178" s="66"/>
      <c r="DO178" s="66"/>
      <c r="EB178" s="157"/>
      <c r="EC178" s="157"/>
      <c r="ED178" s="157"/>
      <c r="EF178" s="66"/>
      <c r="EG178" s="66"/>
      <c r="EH178" s="66"/>
    </row>
    <row r="179" spans="2:138" ht="21" hidden="1" customHeight="1">
      <c r="B179" s="523"/>
      <c r="C179" s="524"/>
      <c r="D179" s="524"/>
      <c r="E179" s="524"/>
      <c r="F179" s="525"/>
      <c r="G179" s="269"/>
      <c r="H179" s="270"/>
      <c r="I179" s="270"/>
      <c r="J179" s="270"/>
      <c r="K179" s="271"/>
      <c r="L179" s="523"/>
      <c r="M179" s="524"/>
      <c r="N179" s="524"/>
      <c r="O179" s="524"/>
      <c r="P179" s="524"/>
      <c r="Q179" s="524"/>
      <c r="R179" s="524"/>
      <c r="S179" s="524"/>
      <c r="T179" s="524"/>
      <c r="U179" s="525"/>
      <c r="V179" s="531"/>
      <c r="W179" s="532"/>
      <c r="X179" s="534" t="s">
        <v>16</v>
      </c>
      <c r="Y179" s="474"/>
      <c r="Z179" s="535">
        <f>SUM(AC179:CP179)</f>
        <v>0</v>
      </c>
      <c r="AA179" s="518"/>
      <c r="AB179" s="536"/>
      <c r="AC179" s="518"/>
      <c r="AD179" s="518"/>
      <c r="AE179" s="519"/>
      <c r="AF179" s="517"/>
      <c r="AG179" s="518"/>
      <c r="AH179" s="519"/>
      <c r="AI179" s="517"/>
      <c r="AJ179" s="518"/>
      <c r="AK179" s="519"/>
      <c r="AL179" s="517"/>
      <c r="AM179" s="518"/>
      <c r="AN179" s="519"/>
      <c r="AO179" s="517"/>
      <c r="AP179" s="518"/>
      <c r="AQ179" s="519"/>
      <c r="AR179" s="517"/>
      <c r="AS179" s="518"/>
      <c r="AT179" s="519"/>
      <c r="AU179" s="517"/>
      <c r="AV179" s="518"/>
      <c r="AW179" s="519"/>
      <c r="AX179" s="517"/>
      <c r="AY179" s="518"/>
      <c r="AZ179" s="519"/>
      <c r="BA179" s="517"/>
      <c r="BB179" s="518"/>
      <c r="BC179" s="519"/>
      <c r="BD179" s="517"/>
      <c r="BE179" s="518"/>
      <c r="BF179" s="519"/>
      <c r="BG179" s="517"/>
      <c r="BH179" s="518"/>
      <c r="BI179" s="519"/>
      <c r="BJ179" s="517"/>
      <c r="BK179" s="518"/>
      <c r="BL179" s="519"/>
      <c r="BM179" s="517"/>
      <c r="BN179" s="518"/>
      <c r="BO179" s="519"/>
      <c r="BP179" s="517"/>
      <c r="BQ179" s="518"/>
      <c r="BR179" s="519"/>
      <c r="BS179" s="517"/>
      <c r="BT179" s="518"/>
      <c r="BU179" s="519"/>
      <c r="BV179" s="517"/>
      <c r="BW179" s="518"/>
      <c r="BX179" s="519"/>
      <c r="BY179" s="517"/>
      <c r="BZ179" s="518"/>
      <c r="CA179" s="519"/>
      <c r="CB179" s="517"/>
      <c r="CC179" s="518"/>
      <c r="CD179" s="519"/>
      <c r="CE179" s="517"/>
      <c r="CF179" s="518"/>
      <c r="CG179" s="519"/>
      <c r="CH179" s="517"/>
      <c r="CI179" s="518"/>
      <c r="CJ179" s="519"/>
      <c r="CK179" s="517"/>
      <c r="CL179" s="518"/>
      <c r="CM179" s="519"/>
      <c r="CN179" s="517"/>
      <c r="CO179" s="518"/>
      <c r="CP179" s="519"/>
      <c r="DG179" s="67"/>
      <c r="DH179" s="67"/>
      <c r="DI179" s="67"/>
      <c r="DJ179" s="67"/>
      <c r="DL179" s="66"/>
      <c r="DM179" s="66"/>
      <c r="DN179" s="66"/>
      <c r="DO179" s="66"/>
      <c r="EB179" s="157"/>
      <c r="EC179" s="157"/>
      <c r="ED179" s="157"/>
      <c r="EF179" s="66"/>
      <c r="EG179" s="66"/>
      <c r="EH179" s="66"/>
    </row>
    <row r="180" spans="2:138" ht="21" hidden="1" customHeight="1">
      <c r="B180" s="523"/>
      <c r="C180" s="524"/>
      <c r="D180" s="524"/>
      <c r="E180" s="524"/>
      <c r="F180" s="525"/>
      <c r="G180" s="269"/>
      <c r="H180" s="270"/>
      <c r="I180" s="270"/>
      <c r="J180" s="270"/>
      <c r="K180" s="271"/>
      <c r="L180" s="523"/>
      <c r="M180" s="524"/>
      <c r="N180" s="524"/>
      <c r="O180" s="524"/>
      <c r="P180" s="524"/>
      <c r="Q180" s="524"/>
      <c r="R180" s="524"/>
      <c r="S180" s="524"/>
      <c r="T180" s="524"/>
      <c r="U180" s="525"/>
      <c r="V180" s="479" t="s">
        <v>19</v>
      </c>
      <c r="W180" s="544"/>
      <c r="X180" s="537" t="s">
        <v>15</v>
      </c>
      <c r="Y180" s="538"/>
      <c r="Z180" s="451">
        <f>SUM(AC180:CP180)</f>
        <v>0</v>
      </c>
      <c r="AA180" s="455"/>
      <c r="AB180" s="454"/>
      <c r="AC180" s="455"/>
      <c r="AD180" s="455"/>
      <c r="AE180" s="452"/>
      <c r="AF180" s="453"/>
      <c r="AG180" s="455"/>
      <c r="AH180" s="452"/>
      <c r="AI180" s="453"/>
      <c r="AJ180" s="455"/>
      <c r="AK180" s="452"/>
      <c r="AL180" s="453"/>
      <c r="AM180" s="455"/>
      <c r="AN180" s="452"/>
      <c r="AO180" s="453"/>
      <c r="AP180" s="455"/>
      <c r="AQ180" s="452"/>
      <c r="AR180" s="453"/>
      <c r="AS180" s="455"/>
      <c r="AT180" s="452"/>
      <c r="AU180" s="453"/>
      <c r="AV180" s="455"/>
      <c r="AW180" s="452"/>
      <c r="AX180" s="453"/>
      <c r="AY180" s="455"/>
      <c r="AZ180" s="452"/>
      <c r="BA180" s="453"/>
      <c r="BB180" s="455"/>
      <c r="BC180" s="452"/>
      <c r="BD180" s="453"/>
      <c r="BE180" s="455"/>
      <c r="BF180" s="452"/>
      <c r="BG180" s="453"/>
      <c r="BH180" s="455"/>
      <c r="BI180" s="452"/>
      <c r="BJ180" s="453"/>
      <c r="BK180" s="455"/>
      <c r="BL180" s="452"/>
      <c r="BM180" s="453"/>
      <c r="BN180" s="455"/>
      <c r="BO180" s="452"/>
      <c r="BP180" s="453"/>
      <c r="BQ180" s="455"/>
      <c r="BR180" s="452"/>
      <c r="BS180" s="453"/>
      <c r="BT180" s="455"/>
      <c r="BU180" s="452"/>
      <c r="BV180" s="453"/>
      <c r="BW180" s="455"/>
      <c r="BX180" s="452"/>
      <c r="BY180" s="453"/>
      <c r="BZ180" s="455"/>
      <c r="CA180" s="452"/>
      <c r="CB180" s="453"/>
      <c r="CC180" s="455"/>
      <c r="CD180" s="452"/>
      <c r="CE180" s="453"/>
      <c r="CF180" s="455"/>
      <c r="CG180" s="452"/>
      <c r="CH180" s="453"/>
      <c r="CI180" s="455"/>
      <c r="CJ180" s="452"/>
      <c r="CK180" s="453"/>
      <c r="CL180" s="455"/>
      <c r="CM180" s="452"/>
      <c r="CN180" s="453"/>
      <c r="CO180" s="455"/>
      <c r="CP180" s="452"/>
      <c r="DG180" s="67"/>
      <c r="DH180" s="67"/>
      <c r="DI180" s="67"/>
      <c r="DJ180" s="67"/>
      <c r="DL180" s="66"/>
      <c r="DM180" s="66"/>
      <c r="DN180" s="66"/>
      <c r="DO180" s="66"/>
      <c r="EB180" s="157"/>
      <c r="EC180" s="157"/>
      <c r="ED180" s="157"/>
      <c r="EF180" s="66"/>
      <c r="EG180" s="66"/>
      <c r="EH180" s="66"/>
    </row>
    <row r="181" spans="2:138" ht="21" hidden="1" customHeight="1">
      <c r="B181" s="526"/>
      <c r="C181" s="527"/>
      <c r="D181" s="527"/>
      <c r="E181" s="527"/>
      <c r="F181" s="528"/>
      <c r="G181" s="231"/>
      <c r="H181" s="232"/>
      <c r="I181" s="232"/>
      <c r="J181" s="232"/>
      <c r="K181" s="233"/>
      <c r="L181" s="526"/>
      <c r="M181" s="527"/>
      <c r="N181" s="527"/>
      <c r="O181" s="527"/>
      <c r="P181" s="527"/>
      <c r="Q181" s="527"/>
      <c r="R181" s="527"/>
      <c r="S181" s="527"/>
      <c r="T181" s="527"/>
      <c r="U181" s="528"/>
      <c r="V181" s="545"/>
      <c r="W181" s="546"/>
      <c r="X181" s="449" t="s">
        <v>16</v>
      </c>
      <c r="Y181" s="538"/>
      <c r="Z181" s="542">
        <f>SUM(AC181:CP181)</f>
        <v>0</v>
      </c>
      <c r="AA181" s="540"/>
      <c r="AB181" s="543"/>
      <c r="AC181" s="540"/>
      <c r="AD181" s="540"/>
      <c r="AE181" s="541"/>
      <c r="AF181" s="539"/>
      <c r="AG181" s="540"/>
      <c r="AH181" s="541"/>
      <c r="AI181" s="539"/>
      <c r="AJ181" s="540"/>
      <c r="AK181" s="541"/>
      <c r="AL181" s="539"/>
      <c r="AM181" s="540"/>
      <c r="AN181" s="541"/>
      <c r="AO181" s="539"/>
      <c r="AP181" s="540"/>
      <c r="AQ181" s="541"/>
      <c r="AR181" s="539"/>
      <c r="AS181" s="540"/>
      <c r="AT181" s="541"/>
      <c r="AU181" s="539"/>
      <c r="AV181" s="540"/>
      <c r="AW181" s="541"/>
      <c r="AX181" s="539"/>
      <c r="AY181" s="540"/>
      <c r="AZ181" s="541"/>
      <c r="BA181" s="539"/>
      <c r="BB181" s="540"/>
      <c r="BC181" s="541"/>
      <c r="BD181" s="539"/>
      <c r="BE181" s="540"/>
      <c r="BF181" s="541"/>
      <c r="BG181" s="539"/>
      <c r="BH181" s="540"/>
      <c r="BI181" s="541"/>
      <c r="BJ181" s="539"/>
      <c r="BK181" s="540"/>
      <c r="BL181" s="541"/>
      <c r="BM181" s="539"/>
      <c r="BN181" s="540"/>
      <c r="BO181" s="541"/>
      <c r="BP181" s="539"/>
      <c r="BQ181" s="540"/>
      <c r="BR181" s="541"/>
      <c r="BS181" s="539"/>
      <c r="BT181" s="540"/>
      <c r="BU181" s="541"/>
      <c r="BV181" s="539"/>
      <c r="BW181" s="540"/>
      <c r="BX181" s="541"/>
      <c r="BY181" s="539"/>
      <c r="BZ181" s="540"/>
      <c r="CA181" s="541"/>
      <c r="CB181" s="539"/>
      <c r="CC181" s="540"/>
      <c r="CD181" s="541"/>
      <c r="CE181" s="539"/>
      <c r="CF181" s="540"/>
      <c r="CG181" s="541"/>
      <c r="CH181" s="539"/>
      <c r="CI181" s="540"/>
      <c r="CJ181" s="541"/>
      <c r="CK181" s="539"/>
      <c r="CL181" s="540"/>
      <c r="CM181" s="541"/>
      <c r="CN181" s="539"/>
      <c r="CO181" s="540"/>
      <c r="CP181" s="541"/>
      <c r="DG181" s="67"/>
      <c r="DH181" s="67"/>
      <c r="DI181" s="67"/>
      <c r="DJ181" s="67"/>
      <c r="DL181" s="66"/>
      <c r="DM181" s="66"/>
      <c r="DN181" s="66"/>
      <c r="DO181" s="66"/>
      <c r="EB181" s="157"/>
      <c r="EC181" s="157"/>
      <c r="ED181" s="157"/>
      <c r="EF181" s="66"/>
      <c r="EG181" s="66"/>
      <c r="EH181" s="66"/>
    </row>
    <row r="182" spans="2:138" ht="21" hidden="1" customHeight="1">
      <c r="B182" s="520"/>
      <c r="C182" s="521"/>
      <c r="D182" s="521"/>
      <c r="E182" s="521"/>
      <c r="F182" s="522"/>
      <c r="G182" s="222"/>
      <c r="H182" s="223"/>
      <c r="I182" s="223"/>
      <c r="J182" s="223"/>
      <c r="K182" s="224"/>
      <c r="L182" s="520"/>
      <c r="M182" s="521"/>
      <c r="N182" s="521"/>
      <c r="O182" s="521"/>
      <c r="P182" s="521"/>
      <c r="Q182" s="521"/>
      <c r="R182" s="521"/>
      <c r="S182" s="521"/>
      <c r="T182" s="521"/>
      <c r="U182" s="522"/>
      <c r="V182" s="529" t="s">
        <v>18</v>
      </c>
      <c r="W182" s="530"/>
      <c r="X182" s="473" t="s">
        <v>15</v>
      </c>
      <c r="Y182" s="474"/>
      <c r="Z182" s="475">
        <f>SUM(AC182:CP182)</f>
        <v>0</v>
      </c>
      <c r="AA182" s="487"/>
      <c r="AB182" s="485"/>
      <c r="AC182" s="487"/>
      <c r="AD182" s="487"/>
      <c r="AE182" s="476"/>
      <c r="AF182" s="484"/>
      <c r="AG182" s="487"/>
      <c r="AH182" s="476"/>
      <c r="AI182" s="484"/>
      <c r="AJ182" s="487"/>
      <c r="AK182" s="476"/>
      <c r="AL182" s="484"/>
      <c r="AM182" s="487"/>
      <c r="AN182" s="476"/>
      <c r="AO182" s="484"/>
      <c r="AP182" s="487"/>
      <c r="AQ182" s="476"/>
      <c r="AR182" s="484"/>
      <c r="AS182" s="487"/>
      <c r="AT182" s="476"/>
      <c r="AU182" s="484"/>
      <c r="AV182" s="487"/>
      <c r="AW182" s="476"/>
      <c r="AX182" s="484"/>
      <c r="AY182" s="487"/>
      <c r="AZ182" s="476"/>
      <c r="BA182" s="484"/>
      <c r="BB182" s="487"/>
      <c r="BC182" s="476"/>
      <c r="BD182" s="484"/>
      <c r="BE182" s="487"/>
      <c r="BF182" s="476"/>
      <c r="BG182" s="484"/>
      <c r="BH182" s="487"/>
      <c r="BI182" s="476"/>
      <c r="BJ182" s="484"/>
      <c r="BK182" s="487"/>
      <c r="BL182" s="476"/>
      <c r="BM182" s="484"/>
      <c r="BN182" s="487"/>
      <c r="BO182" s="476"/>
      <c r="BP182" s="484"/>
      <c r="BQ182" s="487"/>
      <c r="BR182" s="476"/>
      <c r="BS182" s="484"/>
      <c r="BT182" s="487"/>
      <c r="BU182" s="476"/>
      <c r="BV182" s="484"/>
      <c r="BW182" s="487"/>
      <c r="BX182" s="476"/>
      <c r="BY182" s="484"/>
      <c r="BZ182" s="487"/>
      <c r="CA182" s="476"/>
      <c r="CB182" s="484"/>
      <c r="CC182" s="487"/>
      <c r="CD182" s="476"/>
      <c r="CE182" s="484"/>
      <c r="CF182" s="487"/>
      <c r="CG182" s="476"/>
      <c r="CH182" s="484"/>
      <c r="CI182" s="487"/>
      <c r="CJ182" s="476"/>
      <c r="CK182" s="484"/>
      <c r="CL182" s="487"/>
      <c r="CM182" s="476"/>
      <c r="CN182" s="484"/>
      <c r="CO182" s="487"/>
      <c r="CP182" s="476"/>
      <c r="DG182" s="67"/>
      <c r="DH182" s="67"/>
      <c r="DI182" s="67"/>
      <c r="DJ182" s="67"/>
      <c r="DL182" s="66"/>
      <c r="DM182" s="66"/>
      <c r="DN182" s="66"/>
      <c r="DO182" s="66"/>
      <c r="EB182" s="157"/>
      <c r="EC182" s="157"/>
      <c r="ED182" s="157"/>
      <c r="EF182" s="66"/>
      <c r="EG182" s="66"/>
      <c r="EH182" s="66"/>
    </row>
    <row r="183" spans="2:138" ht="21" hidden="1" customHeight="1">
      <c r="B183" s="523"/>
      <c r="C183" s="524"/>
      <c r="D183" s="524"/>
      <c r="E183" s="524"/>
      <c r="F183" s="525"/>
      <c r="G183" s="269"/>
      <c r="H183" s="270"/>
      <c r="I183" s="270"/>
      <c r="J183" s="270"/>
      <c r="K183" s="271"/>
      <c r="L183" s="523"/>
      <c r="M183" s="524"/>
      <c r="N183" s="524"/>
      <c r="O183" s="524"/>
      <c r="P183" s="524"/>
      <c r="Q183" s="524"/>
      <c r="R183" s="524"/>
      <c r="S183" s="524"/>
      <c r="T183" s="524"/>
      <c r="U183" s="525"/>
      <c r="V183" s="531"/>
      <c r="W183" s="532"/>
      <c r="X183" s="534" t="s">
        <v>16</v>
      </c>
      <c r="Y183" s="474"/>
      <c r="Z183" s="535">
        <f>SUM(AC183:CP183)</f>
        <v>0</v>
      </c>
      <c r="AA183" s="518"/>
      <c r="AB183" s="536"/>
      <c r="AC183" s="518"/>
      <c r="AD183" s="518"/>
      <c r="AE183" s="519"/>
      <c r="AF183" s="517"/>
      <c r="AG183" s="518"/>
      <c r="AH183" s="519"/>
      <c r="AI183" s="517"/>
      <c r="AJ183" s="518"/>
      <c r="AK183" s="519"/>
      <c r="AL183" s="517"/>
      <c r="AM183" s="518"/>
      <c r="AN183" s="519"/>
      <c r="AO183" s="517"/>
      <c r="AP183" s="518"/>
      <c r="AQ183" s="519"/>
      <c r="AR183" s="517"/>
      <c r="AS183" s="518"/>
      <c r="AT183" s="519"/>
      <c r="AU183" s="517"/>
      <c r="AV183" s="518"/>
      <c r="AW183" s="519"/>
      <c r="AX183" s="517"/>
      <c r="AY183" s="518"/>
      <c r="AZ183" s="519"/>
      <c r="BA183" s="517"/>
      <c r="BB183" s="518"/>
      <c r="BC183" s="519"/>
      <c r="BD183" s="517"/>
      <c r="BE183" s="518"/>
      <c r="BF183" s="519"/>
      <c r="BG183" s="517"/>
      <c r="BH183" s="518"/>
      <c r="BI183" s="519"/>
      <c r="BJ183" s="517"/>
      <c r="BK183" s="518"/>
      <c r="BL183" s="519"/>
      <c r="BM183" s="517"/>
      <c r="BN183" s="518"/>
      <c r="BO183" s="519"/>
      <c r="BP183" s="517"/>
      <c r="BQ183" s="518"/>
      <c r="BR183" s="519"/>
      <c r="BS183" s="517"/>
      <c r="BT183" s="518"/>
      <c r="BU183" s="519"/>
      <c r="BV183" s="517"/>
      <c r="BW183" s="518"/>
      <c r="BX183" s="519"/>
      <c r="BY183" s="517"/>
      <c r="BZ183" s="518"/>
      <c r="CA183" s="519"/>
      <c r="CB183" s="517"/>
      <c r="CC183" s="518"/>
      <c r="CD183" s="519"/>
      <c r="CE183" s="517"/>
      <c r="CF183" s="518"/>
      <c r="CG183" s="519"/>
      <c r="CH183" s="517"/>
      <c r="CI183" s="518"/>
      <c r="CJ183" s="519"/>
      <c r="CK183" s="517"/>
      <c r="CL183" s="518"/>
      <c r="CM183" s="519"/>
      <c r="CN183" s="517"/>
      <c r="CO183" s="518"/>
      <c r="CP183" s="519"/>
      <c r="DG183" s="67"/>
      <c r="DH183" s="67"/>
      <c r="DI183" s="67"/>
      <c r="DJ183" s="67"/>
      <c r="DL183" s="66"/>
      <c r="DM183" s="66"/>
      <c r="DN183" s="66"/>
      <c r="DO183" s="66"/>
      <c r="EB183" s="157"/>
      <c r="EC183" s="157"/>
      <c r="ED183" s="157"/>
      <c r="EF183" s="66"/>
      <c r="EG183" s="66"/>
      <c r="EH183" s="66"/>
    </row>
    <row r="184" spans="2:138" ht="21" hidden="1" customHeight="1">
      <c r="B184" s="523"/>
      <c r="C184" s="524"/>
      <c r="D184" s="524"/>
      <c r="E184" s="524"/>
      <c r="F184" s="525"/>
      <c r="G184" s="269"/>
      <c r="H184" s="270"/>
      <c r="I184" s="270"/>
      <c r="J184" s="270"/>
      <c r="K184" s="271"/>
      <c r="L184" s="523"/>
      <c r="M184" s="524"/>
      <c r="N184" s="524"/>
      <c r="O184" s="524"/>
      <c r="P184" s="524"/>
      <c r="Q184" s="524"/>
      <c r="R184" s="524"/>
      <c r="S184" s="524"/>
      <c r="T184" s="524"/>
      <c r="U184" s="525"/>
      <c r="V184" s="479" t="s">
        <v>19</v>
      </c>
      <c r="W184" s="544"/>
      <c r="X184" s="537" t="s">
        <v>15</v>
      </c>
      <c r="Y184" s="538"/>
      <c r="Z184" s="451">
        <f>SUM(AC184:CP184)</f>
        <v>0</v>
      </c>
      <c r="AA184" s="455"/>
      <c r="AB184" s="454"/>
      <c r="AC184" s="455"/>
      <c r="AD184" s="455"/>
      <c r="AE184" s="452"/>
      <c r="AF184" s="453"/>
      <c r="AG184" s="455"/>
      <c r="AH184" s="452"/>
      <c r="AI184" s="453"/>
      <c r="AJ184" s="455"/>
      <c r="AK184" s="452"/>
      <c r="AL184" s="453"/>
      <c r="AM184" s="455"/>
      <c r="AN184" s="452"/>
      <c r="AO184" s="453"/>
      <c r="AP184" s="455"/>
      <c r="AQ184" s="452"/>
      <c r="AR184" s="453"/>
      <c r="AS184" s="455"/>
      <c r="AT184" s="452"/>
      <c r="AU184" s="453"/>
      <c r="AV184" s="455"/>
      <c r="AW184" s="452"/>
      <c r="AX184" s="453"/>
      <c r="AY184" s="455"/>
      <c r="AZ184" s="452"/>
      <c r="BA184" s="453"/>
      <c r="BB184" s="455"/>
      <c r="BC184" s="452"/>
      <c r="BD184" s="453"/>
      <c r="BE184" s="455"/>
      <c r="BF184" s="452"/>
      <c r="BG184" s="453"/>
      <c r="BH184" s="455"/>
      <c r="BI184" s="452"/>
      <c r="BJ184" s="453"/>
      <c r="BK184" s="455"/>
      <c r="BL184" s="452"/>
      <c r="BM184" s="453"/>
      <c r="BN184" s="455"/>
      <c r="BO184" s="452"/>
      <c r="BP184" s="453"/>
      <c r="BQ184" s="455"/>
      <c r="BR184" s="452"/>
      <c r="BS184" s="453"/>
      <c r="BT184" s="455"/>
      <c r="BU184" s="452"/>
      <c r="BV184" s="453"/>
      <c r="BW184" s="455"/>
      <c r="BX184" s="452"/>
      <c r="BY184" s="453"/>
      <c r="BZ184" s="455"/>
      <c r="CA184" s="452"/>
      <c r="CB184" s="453"/>
      <c r="CC184" s="455"/>
      <c r="CD184" s="452"/>
      <c r="CE184" s="453"/>
      <c r="CF184" s="455"/>
      <c r="CG184" s="452"/>
      <c r="CH184" s="453"/>
      <c r="CI184" s="455"/>
      <c r="CJ184" s="452"/>
      <c r="CK184" s="453"/>
      <c r="CL184" s="455"/>
      <c r="CM184" s="452"/>
      <c r="CN184" s="453"/>
      <c r="CO184" s="455"/>
      <c r="CP184" s="452"/>
      <c r="DG184" s="67"/>
      <c r="DH184" s="67"/>
      <c r="DI184" s="67"/>
      <c r="DJ184" s="67"/>
      <c r="DL184" s="66"/>
      <c r="DM184" s="66"/>
      <c r="DN184" s="66"/>
      <c r="DO184" s="66"/>
      <c r="EB184" s="157"/>
      <c r="EC184" s="157"/>
      <c r="ED184" s="157"/>
      <c r="EF184" s="66"/>
      <c r="EG184" s="66"/>
      <c r="EH184" s="66"/>
    </row>
    <row r="185" spans="2:138" ht="21" hidden="1" customHeight="1">
      <c r="B185" s="526"/>
      <c r="C185" s="527"/>
      <c r="D185" s="527"/>
      <c r="E185" s="527"/>
      <c r="F185" s="528"/>
      <c r="G185" s="231"/>
      <c r="H185" s="232"/>
      <c r="I185" s="232"/>
      <c r="J185" s="232"/>
      <c r="K185" s="233"/>
      <c r="L185" s="526"/>
      <c r="M185" s="527"/>
      <c r="N185" s="527"/>
      <c r="O185" s="527"/>
      <c r="P185" s="527"/>
      <c r="Q185" s="527"/>
      <c r="R185" s="527"/>
      <c r="S185" s="527"/>
      <c r="T185" s="527"/>
      <c r="U185" s="528"/>
      <c r="V185" s="545"/>
      <c r="W185" s="546"/>
      <c r="X185" s="449" t="s">
        <v>16</v>
      </c>
      <c r="Y185" s="538"/>
      <c r="Z185" s="542">
        <f>SUM(AC185:CP185)</f>
        <v>0</v>
      </c>
      <c r="AA185" s="540"/>
      <c r="AB185" s="543"/>
      <c r="AC185" s="540"/>
      <c r="AD185" s="540"/>
      <c r="AE185" s="541"/>
      <c r="AF185" s="539"/>
      <c r="AG185" s="540"/>
      <c r="AH185" s="541"/>
      <c r="AI185" s="539"/>
      <c r="AJ185" s="540"/>
      <c r="AK185" s="541"/>
      <c r="AL185" s="539"/>
      <c r="AM185" s="540"/>
      <c r="AN185" s="541"/>
      <c r="AO185" s="539"/>
      <c r="AP185" s="540"/>
      <c r="AQ185" s="541"/>
      <c r="AR185" s="539"/>
      <c r="AS185" s="540"/>
      <c r="AT185" s="541"/>
      <c r="AU185" s="539"/>
      <c r="AV185" s="540"/>
      <c r="AW185" s="541"/>
      <c r="AX185" s="539"/>
      <c r="AY185" s="540"/>
      <c r="AZ185" s="541"/>
      <c r="BA185" s="539"/>
      <c r="BB185" s="540"/>
      <c r="BC185" s="541"/>
      <c r="BD185" s="539"/>
      <c r="BE185" s="540"/>
      <c r="BF185" s="541"/>
      <c r="BG185" s="539"/>
      <c r="BH185" s="540"/>
      <c r="BI185" s="541"/>
      <c r="BJ185" s="539"/>
      <c r="BK185" s="540"/>
      <c r="BL185" s="541"/>
      <c r="BM185" s="539"/>
      <c r="BN185" s="540"/>
      <c r="BO185" s="541"/>
      <c r="BP185" s="539"/>
      <c r="BQ185" s="540"/>
      <c r="BR185" s="541"/>
      <c r="BS185" s="539"/>
      <c r="BT185" s="540"/>
      <c r="BU185" s="541"/>
      <c r="BV185" s="539"/>
      <c r="BW185" s="540"/>
      <c r="BX185" s="541"/>
      <c r="BY185" s="539"/>
      <c r="BZ185" s="540"/>
      <c r="CA185" s="541"/>
      <c r="CB185" s="539"/>
      <c r="CC185" s="540"/>
      <c r="CD185" s="541"/>
      <c r="CE185" s="539"/>
      <c r="CF185" s="540"/>
      <c r="CG185" s="541"/>
      <c r="CH185" s="539"/>
      <c r="CI185" s="540"/>
      <c r="CJ185" s="541"/>
      <c r="CK185" s="539"/>
      <c r="CL185" s="540"/>
      <c r="CM185" s="541"/>
      <c r="CN185" s="539"/>
      <c r="CO185" s="540"/>
      <c r="CP185" s="541"/>
      <c r="DG185" s="67"/>
      <c r="DH185" s="67"/>
      <c r="DI185" s="67"/>
      <c r="DJ185" s="67"/>
      <c r="DL185" s="66"/>
      <c r="DM185" s="66"/>
      <c r="DN185" s="66"/>
      <c r="DO185" s="66"/>
      <c r="EB185" s="157"/>
      <c r="EC185" s="157"/>
      <c r="ED185" s="157"/>
      <c r="EF185" s="66"/>
      <c r="EG185" s="66"/>
      <c r="EH185" s="66"/>
    </row>
    <row r="186" spans="2:138" ht="21" hidden="1" customHeight="1">
      <c r="B186" s="520"/>
      <c r="C186" s="521"/>
      <c r="D186" s="521"/>
      <c r="E186" s="521"/>
      <c r="F186" s="522"/>
      <c r="G186" s="520"/>
      <c r="H186" s="521"/>
      <c r="I186" s="521"/>
      <c r="J186" s="521"/>
      <c r="K186" s="522"/>
      <c r="L186" s="520"/>
      <c r="M186" s="521"/>
      <c r="N186" s="521"/>
      <c r="O186" s="521"/>
      <c r="P186" s="521"/>
      <c r="Q186" s="521"/>
      <c r="R186" s="521"/>
      <c r="S186" s="521"/>
      <c r="T186" s="521"/>
      <c r="U186" s="522"/>
      <c r="V186" s="529" t="s">
        <v>18</v>
      </c>
      <c r="W186" s="547"/>
      <c r="X186" s="473" t="s">
        <v>15</v>
      </c>
      <c r="Y186" s="550"/>
      <c r="Z186" s="475">
        <f>SUM(AC186:CP186)</f>
        <v>0</v>
      </c>
      <c r="AA186" s="487"/>
      <c r="AB186" s="485"/>
      <c r="AC186" s="475"/>
      <c r="AD186" s="487"/>
      <c r="AE186" s="476"/>
      <c r="AF186" s="484"/>
      <c r="AG186" s="487"/>
      <c r="AH186" s="476"/>
      <c r="AI186" s="484"/>
      <c r="AJ186" s="487"/>
      <c r="AK186" s="476"/>
      <c r="AL186" s="484"/>
      <c r="AM186" s="487"/>
      <c r="AN186" s="476"/>
      <c r="AO186" s="484"/>
      <c r="AP186" s="487"/>
      <c r="AQ186" s="476"/>
      <c r="AR186" s="484"/>
      <c r="AS186" s="487"/>
      <c r="AT186" s="476"/>
      <c r="AU186" s="484"/>
      <c r="AV186" s="487"/>
      <c r="AW186" s="476"/>
      <c r="AX186" s="484"/>
      <c r="AY186" s="487"/>
      <c r="AZ186" s="476"/>
      <c r="BA186" s="484"/>
      <c r="BB186" s="487"/>
      <c r="BC186" s="476"/>
      <c r="BD186" s="484"/>
      <c r="BE186" s="487"/>
      <c r="BF186" s="476"/>
      <c r="BG186" s="484"/>
      <c r="BH186" s="487"/>
      <c r="BI186" s="476"/>
      <c r="BJ186" s="484"/>
      <c r="BK186" s="487"/>
      <c r="BL186" s="476"/>
      <c r="BM186" s="484"/>
      <c r="BN186" s="487"/>
      <c r="BO186" s="476"/>
      <c r="BP186" s="484"/>
      <c r="BQ186" s="487"/>
      <c r="BR186" s="476"/>
      <c r="BS186" s="484"/>
      <c r="BT186" s="487"/>
      <c r="BU186" s="476"/>
      <c r="BV186" s="484"/>
      <c r="BW186" s="487"/>
      <c r="BX186" s="476"/>
      <c r="BY186" s="484"/>
      <c r="BZ186" s="487"/>
      <c r="CA186" s="476"/>
      <c r="CB186" s="484"/>
      <c r="CC186" s="487"/>
      <c r="CD186" s="476"/>
      <c r="CE186" s="484"/>
      <c r="CF186" s="487"/>
      <c r="CG186" s="476"/>
      <c r="CH186" s="484"/>
      <c r="CI186" s="487"/>
      <c r="CJ186" s="476"/>
      <c r="CK186" s="484"/>
      <c r="CL186" s="487"/>
      <c r="CM186" s="476"/>
      <c r="CN186" s="484"/>
      <c r="CO186" s="487"/>
      <c r="CP186" s="476"/>
      <c r="DG186" s="67"/>
      <c r="DH186" s="67"/>
      <c r="DI186" s="67"/>
      <c r="DJ186" s="67"/>
      <c r="DL186" s="66"/>
      <c r="DM186" s="66"/>
      <c r="DN186" s="66"/>
      <c r="DO186" s="66"/>
      <c r="EB186" s="157"/>
      <c r="EC186" s="157"/>
      <c r="ED186" s="157"/>
      <c r="EF186" s="66"/>
      <c r="EG186" s="66"/>
      <c r="EH186" s="66"/>
    </row>
    <row r="187" spans="2:138" ht="21" hidden="1" customHeight="1">
      <c r="B187" s="523"/>
      <c r="C187" s="524"/>
      <c r="D187" s="524"/>
      <c r="E187" s="524"/>
      <c r="F187" s="525"/>
      <c r="G187" s="523"/>
      <c r="H187" s="524"/>
      <c r="I187" s="524"/>
      <c r="J187" s="524"/>
      <c r="K187" s="525"/>
      <c r="L187" s="523"/>
      <c r="M187" s="524"/>
      <c r="N187" s="524"/>
      <c r="O187" s="524"/>
      <c r="P187" s="524"/>
      <c r="Q187" s="524"/>
      <c r="R187" s="524"/>
      <c r="S187" s="524"/>
      <c r="T187" s="524"/>
      <c r="U187" s="525"/>
      <c r="V187" s="548"/>
      <c r="W187" s="549"/>
      <c r="X187" s="534" t="s">
        <v>16</v>
      </c>
      <c r="Y187" s="551"/>
      <c r="Z187" s="535">
        <f>SUM(AC187:CP187)</f>
        <v>0</v>
      </c>
      <c r="AA187" s="518"/>
      <c r="AB187" s="536"/>
      <c r="AC187" s="535"/>
      <c r="AD187" s="518"/>
      <c r="AE187" s="519"/>
      <c r="AF187" s="517"/>
      <c r="AG187" s="518"/>
      <c r="AH187" s="519"/>
      <c r="AI187" s="517"/>
      <c r="AJ187" s="518"/>
      <c r="AK187" s="519"/>
      <c r="AL187" s="517"/>
      <c r="AM187" s="518"/>
      <c r="AN187" s="519"/>
      <c r="AO187" s="517"/>
      <c r="AP187" s="518"/>
      <c r="AQ187" s="519"/>
      <c r="AR187" s="517"/>
      <c r="AS187" s="518"/>
      <c r="AT187" s="519"/>
      <c r="AU187" s="517"/>
      <c r="AV187" s="518"/>
      <c r="AW187" s="519"/>
      <c r="AX187" s="517"/>
      <c r="AY187" s="518"/>
      <c r="AZ187" s="519"/>
      <c r="BA187" s="517"/>
      <c r="BB187" s="518"/>
      <c r="BC187" s="519"/>
      <c r="BD187" s="517"/>
      <c r="BE187" s="518"/>
      <c r="BF187" s="519"/>
      <c r="BG187" s="517"/>
      <c r="BH187" s="518"/>
      <c r="BI187" s="519"/>
      <c r="BJ187" s="517"/>
      <c r="BK187" s="518"/>
      <c r="BL187" s="519"/>
      <c r="BM187" s="517"/>
      <c r="BN187" s="518"/>
      <c r="BO187" s="519"/>
      <c r="BP187" s="517"/>
      <c r="BQ187" s="518"/>
      <c r="BR187" s="519"/>
      <c r="BS187" s="517"/>
      <c r="BT187" s="518"/>
      <c r="BU187" s="519"/>
      <c r="BV187" s="517"/>
      <c r="BW187" s="518"/>
      <c r="BX187" s="519"/>
      <c r="BY187" s="517"/>
      <c r="BZ187" s="518"/>
      <c r="CA187" s="519"/>
      <c r="CB187" s="517"/>
      <c r="CC187" s="518"/>
      <c r="CD187" s="519"/>
      <c r="CE187" s="517"/>
      <c r="CF187" s="518"/>
      <c r="CG187" s="519"/>
      <c r="CH187" s="517"/>
      <c r="CI187" s="518"/>
      <c r="CJ187" s="519"/>
      <c r="CK187" s="517"/>
      <c r="CL187" s="518"/>
      <c r="CM187" s="519"/>
      <c r="CN187" s="517"/>
      <c r="CO187" s="518"/>
      <c r="CP187" s="519"/>
      <c r="DG187" s="67"/>
      <c r="DH187" s="67"/>
      <c r="DI187" s="67"/>
      <c r="DJ187" s="67"/>
      <c r="DL187" s="66"/>
      <c r="DM187" s="66"/>
      <c r="DN187" s="66"/>
      <c r="DO187" s="66"/>
      <c r="EB187" s="157"/>
      <c r="EC187" s="157"/>
      <c r="ED187" s="157"/>
      <c r="EF187" s="66"/>
      <c r="EG187" s="66"/>
      <c r="EH187" s="66"/>
    </row>
    <row r="188" spans="2:138" ht="21" hidden="1" customHeight="1">
      <c r="B188" s="523"/>
      <c r="C188" s="524"/>
      <c r="D188" s="524"/>
      <c r="E188" s="524"/>
      <c r="F188" s="525"/>
      <c r="G188" s="523"/>
      <c r="H188" s="524"/>
      <c r="I188" s="524"/>
      <c r="J188" s="524"/>
      <c r="K188" s="525"/>
      <c r="L188" s="523"/>
      <c r="M188" s="524"/>
      <c r="N188" s="524"/>
      <c r="O188" s="524"/>
      <c r="P188" s="524"/>
      <c r="Q188" s="524"/>
      <c r="R188" s="524"/>
      <c r="S188" s="524"/>
      <c r="T188" s="524"/>
      <c r="U188" s="525"/>
      <c r="V188" s="479" t="s">
        <v>19</v>
      </c>
      <c r="W188" s="544"/>
      <c r="X188" s="537" t="s">
        <v>15</v>
      </c>
      <c r="Y188" s="552"/>
      <c r="Z188" s="451">
        <f>SUM(AC188:CP188)</f>
        <v>0</v>
      </c>
      <c r="AA188" s="455"/>
      <c r="AB188" s="454"/>
      <c r="AC188" s="451"/>
      <c r="AD188" s="455"/>
      <c r="AE188" s="452"/>
      <c r="AF188" s="453"/>
      <c r="AG188" s="455"/>
      <c r="AH188" s="452"/>
      <c r="AI188" s="453"/>
      <c r="AJ188" s="455"/>
      <c r="AK188" s="452"/>
      <c r="AL188" s="453"/>
      <c r="AM188" s="455"/>
      <c r="AN188" s="452"/>
      <c r="AO188" s="453"/>
      <c r="AP188" s="455"/>
      <c r="AQ188" s="452"/>
      <c r="AR188" s="453"/>
      <c r="AS188" s="455"/>
      <c r="AT188" s="452"/>
      <c r="AU188" s="453"/>
      <c r="AV188" s="455"/>
      <c r="AW188" s="452"/>
      <c r="AX188" s="453"/>
      <c r="AY188" s="455"/>
      <c r="AZ188" s="452"/>
      <c r="BA188" s="453"/>
      <c r="BB188" s="455"/>
      <c r="BC188" s="452"/>
      <c r="BD188" s="453"/>
      <c r="BE188" s="455"/>
      <c r="BF188" s="452"/>
      <c r="BG188" s="453"/>
      <c r="BH188" s="455"/>
      <c r="BI188" s="452"/>
      <c r="BJ188" s="453"/>
      <c r="BK188" s="455"/>
      <c r="BL188" s="452"/>
      <c r="BM188" s="453"/>
      <c r="BN188" s="455"/>
      <c r="BO188" s="452"/>
      <c r="BP188" s="453"/>
      <c r="BQ188" s="455"/>
      <c r="BR188" s="452"/>
      <c r="BS188" s="453"/>
      <c r="BT188" s="455"/>
      <c r="BU188" s="452"/>
      <c r="BV188" s="453"/>
      <c r="BW188" s="455"/>
      <c r="BX188" s="452"/>
      <c r="BY188" s="453"/>
      <c r="BZ188" s="455"/>
      <c r="CA188" s="452"/>
      <c r="CB188" s="453"/>
      <c r="CC188" s="455"/>
      <c r="CD188" s="452"/>
      <c r="CE188" s="453"/>
      <c r="CF188" s="455"/>
      <c r="CG188" s="452"/>
      <c r="CH188" s="453"/>
      <c r="CI188" s="455"/>
      <c r="CJ188" s="452"/>
      <c r="CK188" s="453"/>
      <c r="CL188" s="455"/>
      <c r="CM188" s="452"/>
      <c r="CN188" s="453"/>
      <c r="CO188" s="455"/>
      <c r="CP188" s="452"/>
      <c r="DG188" s="67"/>
      <c r="DH188" s="67"/>
      <c r="DI188" s="67"/>
      <c r="DJ188" s="67"/>
      <c r="DL188" s="66"/>
      <c r="DM188" s="66"/>
      <c r="DN188" s="66"/>
      <c r="DO188" s="66"/>
      <c r="EB188" s="157"/>
      <c r="EC188" s="157"/>
      <c r="ED188" s="157"/>
      <c r="EF188" s="66"/>
      <c r="EG188" s="66"/>
      <c r="EH188" s="66"/>
    </row>
    <row r="189" spans="2:138" ht="21" hidden="1" customHeight="1">
      <c r="B189" s="526"/>
      <c r="C189" s="527"/>
      <c r="D189" s="527"/>
      <c r="E189" s="527"/>
      <c r="F189" s="528"/>
      <c r="G189" s="526"/>
      <c r="H189" s="527"/>
      <c r="I189" s="527"/>
      <c r="J189" s="527"/>
      <c r="K189" s="528"/>
      <c r="L189" s="526"/>
      <c r="M189" s="527"/>
      <c r="N189" s="527"/>
      <c r="O189" s="527"/>
      <c r="P189" s="527"/>
      <c r="Q189" s="527"/>
      <c r="R189" s="527"/>
      <c r="S189" s="527"/>
      <c r="T189" s="527"/>
      <c r="U189" s="528"/>
      <c r="V189" s="545"/>
      <c r="W189" s="546"/>
      <c r="X189" s="449" t="s">
        <v>16</v>
      </c>
      <c r="Y189" s="553"/>
      <c r="Z189" s="542">
        <f>SUM(AC189:CP189)</f>
        <v>0</v>
      </c>
      <c r="AA189" s="540"/>
      <c r="AB189" s="543"/>
      <c r="AC189" s="542"/>
      <c r="AD189" s="540"/>
      <c r="AE189" s="541"/>
      <c r="AF189" s="539"/>
      <c r="AG189" s="540"/>
      <c r="AH189" s="541"/>
      <c r="AI189" s="539"/>
      <c r="AJ189" s="540"/>
      <c r="AK189" s="541"/>
      <c r="AL189" s="539"/>
      <c r="AM189" s="540"/>
      <c r="AN189" s="541"/>
      <c r="AO189" s="539"/>
      <c r="AP189" s="540"/>
      <c r="AQ189" s="541"/>
      <c r="AR189" s="539"/>
      <c r="AS189" s="540"/>
      <c r="AT189" s="541"/>
      <c r="AU189" s="539"/>
      <c r="AV189" s="540"/>
      <c r="AW189" s="541"/>
      <c r="AX189" s="539"/>
      <c r="AY189" s="540"/>
      <c r="AZ189" s="541"/>
      <c r="BA189" s="539"/>
      <c r="BB189" s="540"/>
      <c r="BC189" s="541"/>
      <c r="BD189" s="539"/>
      <c r="BE189" s="540"/>
      <c r="BF189" s="541"/>
      <c r="BG189" s="539"/>
      <c r="BH189" s="540"/>
      <c r="BI189" s="541"/>
      <c r="BJ189" s="539"/>
      <c r="BK189" s="540"/>
      <c r="BL189" s="541"/>
      <c r="BM189" s="539"/>
      <c r="BN189" s="540"/>
      <c r="BO189" s="541"/>
      <c r="BP189" s="539"/>
      <c r="BQ189" s="540"/>
      <c r="BR189" s="541"/>
      <c r="BS189" s="539"/>
      <c r="BT189" s="540"/>
      <c r="BU189" s="541"/>
      <c r="BV189" s="539"/>
      <c r="BW189" s="540"/>
      <c r="BX189" s="541"/>
      <c r="BY189" s="539"/>
      <c r="BZ189" s="540"/>
      <c r="CA189" s="541"/>
      <c r="CB189" s="539"/>
      <c r="CC189" s="540"/>
      <c r="CD189" s="541"/>
      <c r="CE189" s="539"/>
      <c r="CF189" s="540"/>
      <c r="CG189" s="541"/>
      <c r="CH189" s="539"/>
      <c r="CI189" s="540"/>
      <c r="CJ189" s="541"/>
      <c r="CK189" s="539"/>
      <c r="CL189" s="540"/>
      <c r="CM189" s="541"/>
      <c r="CN189" s="539"/>
      <c r="CO189" s="540"/>
      <c r="CP189" s="541"/>
      <c r="DG189" s="67"/>
      <c r="DH189" s="67"/>
      <c r="DI189" s="67"/>
      <c r="DJ189" s="67"/>
      <c r="DL189" s="66"/>
      <c r="DM189" s="66"/>
      <c r="DN189" s="66"/>
      <c r="DO189" s="66"/>
      <c r="EB189" s="157"/>
      <c r="EC189" s="157"/>
      <c r="ED189" s="157"/>
      <c r="EF189" s="66"/>
      <c r="EG189" s="66"/>
      <c r="EH189" s="66"/>
    </row>
    <row r="190" spans="2:138" ht="21" hidden="1" customHeight="1">
      <c r="B190" s="520"/>
      <c r="C190" s="521"/>
      <c r="D190" s="521"/>
      <c r="E190" s="521"/>
      <c r="F190" s="522"/>
      <c r="G190" s="520"/>
      <c r="H190" s="521"/>
      <c r="I190" s="521"/>
      <c r="J190" s="521"/>
      <c r="K190" s="522"/>
      <c r="L190" s="520"/>
      <c r="M190" s="521"/>
      <c r="N190" s="521"/>
      <c r="O190" s="521"/>
      <c r="P190" s="521"/>
      <c r="Q190" s="521"/>
      <c r="R190" s="521"/>
      <c r="S190" s="521"/>
      <c r="T190" s="521"/>
      <c r="U190" s="522"/>
      <c r="V190" s="529" t="s">
        <v>18</v>
      </c>
      <c r="W190" s="547"/>
      <c r="X190" s="473" t="s">
        <v>15</v>
      </c>
      <c r="Y190" s="550"/>
      <c r="Z190" s="475">
        <f>SUM(AC190:CP190)</f>
        <v>0</v>
      </c>
      <c r="AA190" s="487"/>
      <c r="AB190" s="485"/>
      <c r="AC190" s="475"/>
      <c r="AD190" s="487"/>
      <c r="AE190" s="476"/>
      <c r="AF190" s="484"/>
      <c r="AG190" s="487"/>
      <c r="AH190" s="476"/>
      <c r="AI190" s="484"/>
      <c r="AJ190" s="487"/>
      <c r="AK190" s="476"/>
      <c r="AL190" s="484"/>
      <c r="AM190" s="487"/>
      <c r="AN190" s="476"/>
      <c r="AO190" s="484"/>
      <c r="AP190" s="487"/>
      <c r="AQ190" s="476"/>
      <c r="AR190" s="484"/>
      <c r="AS190" s="487"/>
      <c r="AT190" s="476"/>
      <c r="AU190" s="484"/>
      <c r="AV190" s="487"/>
      <c r="AW190" s="476"/>
      <c r="AX190" s="484"/>
      <c r="AY190" s="487"/>
      <c r="AZ190" s="476"/>
      <c r="BA190" s="484"/>
      <c r="BB190" s="487"/>
      <c r="BC190" s="476"/>
      <c r="BD190" s="484"/>
      <c r="BE190" s="487"/>
      <c r="BF190" s="476"/>
      <c r="BG190" s="484"/>
      <c r="BH190" s="487"/>
      <c r="BI190" s="476"/>
      <c r="BJ190" s="484"/>
      <c r="BK190" s="487"/>
      <c r="BL190" s="476"/>
      <c r="BM190" s="484"/>
      <c r="BN190" s="487"/>
      <c r="BO190" s="476"/>
      <c r="BP190" s="484"/>
      <c r="BQ190" s="487"/>
      <c r="BR190" s="476"/>
      <c r="BS190" s="484"/>
      <c r="BT190" s="487"/>
      <c r="BU190" s="476"/>
      <c r="BV190" s="484"/>
      <c r="BW190" s="487"/>
      <c r="BX190" s="476"/>
      <c r="BY190" s="484"/>
      <c r="BZ190" s="487"/>
      <c r="CA190" s="476"/>
      <c r="CB190" s="484"/>
      <c r="CC190" s="487"/>
      <c r="CD190" s="476"/>
      <c r="CE190" s="484"/>
      <c r="CF190" s="487"/>
      <c r="CG190" s="476"/>
      <c r="CH190" s="484"/>
      <c r="CI190" s="487"/>
      <c r="CJ190" s="476"/>
      <c r="CK190" s="484"/>
      <c r="CL190" s="487"/>
      <c r="CM190" s="476"/>
      <c r="CN190" s="484"/>
      <c r="CO190" s="487"/>
      <c r="CP190" s="476"/>
      <c r="DG190" s="67"/>
      <c r="DH190" s="67"/>
      <c r="DI190" s="67"/>
      <c r="DJ190" s="67"/>
      <c r="DL190" s="66"/>
      <c r="DM190" s="66"/>
      <c r="DN190" s="66"/>
      <c r="DO190" s="66"/>
      <c r="EB190" s="157"/>
      <c r="EC190" s="157"/>
      <c r="ED190" s="157"/>
      <c r="EF190" s="66"/>
      <c r="EG190" s="66"/>
      <c r="EH190" s="66"/>
    </row>
    <row r="191" spans="2:138" ht="21" hidden="1" customHeight="1">
      <c r="B191" s="523"/>
      <c r="C191" s="524"/>
      <c r="D191" s="524"/>
      <c r="E191" s="524"/>
      <c r="F191" s="525"/>
      <c r="G191" s="523"/>
      <c r="H191" s="524"/>
      <c r="I191" s="524"/>
      <c r="J191" s="524"/>
      <c r="K191" s="525"/>
      <c r="L191" s="523"/>
      <c r="M191" s="524"/>
      <c r="N191" s="524"/>
      <c r="O191" s="524"/>
      <c r="P191" s="524"/>
      <c r="Q191" s="524"/>
      <c r="R191" s="524"/>
      <c r="S191" s="524"/>
      <c r="T191" s="524"/>
      <c r="U191" s="525"/>
      <c r="V191" s="548"/>
      <c r="W191" s="549"/>
      <c r="X191" s="534" t="s">
        <v>16</v>
      </c>
      <c r="Y191" s="551"/>
      <c r="Z191" s="535">
        <f>SUM(AC191:CP191)</f>
        <v>0</v>
      </c>
      <c r="AA191" s="518"/>
      <c r="AB191" s="536"/>
      <c r="AC191" s="535"/>
      <c r="AD191" s="518"/>
      <c r="AE191" s="519"/>
      <c r="AF191" s="517"/>
      <c r="AG191" s="518"/>
      <c r="AH191" s="519"/>
      <c r="AI191" s="517"/>
      <c r="AJ191" s="518"/>
      <c r="AK191" s="519"/>
      <c r="AL191" s="517"/>
      <c r="AM191" s="518"/>
      <c r="AN191" s="519"/>
      <c r="AO191" s="517"/>
      <c r="AP191" s="518"/>
      <c r="AQ191" s="519"/>
      <c r="AR191" s="517"/>
      <c r="AS191" s="518"/>
      <c r="AT191" s="519"/>
      <c r="AU191" s="517"/>
      <c r="AV191" s="518"/>
      <c r="AW191" s="519"/>
      <c r="AX191" s="517"/>
      <c r="AY191" s="518"/>
      <c r="AZ191" s="519"/>
      <c r="BA191" s="517"/>
      <c r="BB191" s="518"/>
      <c r="BC191" s="519"/>
      <c r="BD191" s="517"/>
      <c r="BE191" s="518"/>
      <c r="BF191" s="519"/>
      <c r="BG191" s="517"/>
      <c r="BH191" s="518"/>
      <c r="BI191" s="519"/>
      <c r="BJ191" s="517"/>
      <c r="BK191" s="518"/>
      <c r="BL191" s="519"/>
      <c r="BM191" s="517"/>
      <c r="BN191" s="518"/>
      <c r="BO191" s="519"/>
      <c r="BP191" s="517"/>
      <c r="BQ191" s="518"/>
      <c r="BR191" s="519"/>
      <c r="BS191" s="517"/>
      <c r="BT191" s="518"/>
      <c r="BU191" s="519"/>
      <c r="BV191" s="517"/>
      <c r="BW191" s="518"/>
      <c r="BX191" s="519"/>
      <c r="BY191" s="517"/>
      <c r="BZ191" s="518"/>
      <c r="CA191" s="519"/>
      <c r="CB191" s="517"/>
      <c r="CC191" s="518"/>
      <c r="CD191" s="519"/>
      <c r="CE191" s="517"/>
      <c r="CF191" s="518"/>
      <c r="CG191" s="519"/>
      <c r="CH191" s="517"/>
      <c r="CI191" s="518"/>
      <c r="CJ191" s="519"/>
      <c r="CK191" s="517"/>
      <c r="CL191" s="518"/>
      <c r="CM191" s="519"/>
      <c r="CN191" s="517"/>
      <c r="CO191" s="518"/>
      <c r="CP191" s="519"/>
      <c r="DG191" s="67"/>
      <c r="DH191" s="67"/>
      <c r="DI191" s="67"/>
      <c r="DJ191" s="67"/>
      <c r="DL191" s="66"/>
      <c r="DM191" s="66"/>
      <c r="DN191" s="66"/>
      <c r="DO191" s="66"/>
      <c r="EB191" s="157"/>
      <c r="EC191" s="157"/>
      <c r="ED191" s="157"/>
      <c r="EF191" s="66"/>
      <c r="EG191" s="66"/>
      <c r="EH191" s="66"/>
    </row>
    <row r="192" spans="2:138" ht="21" hidden="1" customHeight="1">
      <c r="B192" s="523"/>
      <c r="C192" s="524"/>
      <c r="D192" s="524"/>
      <c r="E192" s="524"/>
      <c r="F192" s="525"/>
      <c r="G192" s="523"/>
      <c r="H192" s="524"/>
      <c r="I192" s="524"/>
      <c r="J192" s="524"/>
      <c r="K192" s="525"/>
      <c r="L192" s="523"/>
      <c r="M192" s="524"/>
      <c r="N192" s="524"/>
      <c r="O192" s="524"/>
      <c r="P192" s="524"/>
      <c r="Q192" s="524"/>
      <c r="R192" s="524"/>
      <c r="S192" s="524"/>
      <c r="T192" s="524"/>
      <c r="U192" s="525"/>
      <c r="V192" s="479" t="s">
        <v>19</v>
      </c>
      <c r="W192" s="544"/>
      <c r="X192" s="537" t="s">
        <v>15</v>
      </c>
      <c r="Y192" s="552"/>
      <c r="Z192" s="451">
        <f>SUM(AC192:CP192)</f>
        <v>0</v>
      </c>
      <c r="AA192" s="455"/>
      <c r="AB192" s="454"/>
      <c r="AC192" s="451"/>
      <c r="AD192" s="455"/>
      <c r="AE192" s="452"/>
      <c r="AF192" s="453"/>
      <c r="AG192" s="455"/>
      <c r="AH192" s="452"/>
      <c r="AI192" s="453"/>
      <c r="AJ192" s="455"/>
      <c r="AK192" s="452"/>
      <c r="AL192" s="453"/>
      <c r="AM192" s="455"/>
      <c r="AN192" s="452"/>
      <c r="AO192" s="453"/>
      <c r="AP192" s="455"/>
      <c r="AQ192" s="452"/>
      <c r="AR192" s="453"/>
      <c r="AS192" s="455"/>
      <c r="AT192" s="452"/>
      <c r="AU192" s="453"/>
      <c r="AV192" s="455"/>
      <c r="AW192" s="452"/>
      <c r="AX192" s="453"/>
      <c r="AY192" s="455"/>
      <c r="AZ192" s="452"/>
      <c r="BA192" s="453"/>
      <c r="BB192" s="455"/>
      <c r="BC192" s="452"/>
      <c r="BD192" s="453"/>
      <c r="BE192" s="455"/>
      <c r="BF192" s="452"/>
      <c r="BG192" s="453"/>
      <c r="BH192" s="455"/>
      <c r="BI192" s="452"/>
      <c r="BJ192" s="453"/>
      <c r="BK192" s="455"/>
      <c r="BL192" s="452"/>
      <c r="BM192" s="453"/>
      <c r="BN192" s="455"/>
      <c r="BO192" s="452"/>
      <c r="BP192" s="453"/>
      <c r="BQ192" s="455"/>
      <c r="BR192" s="452"/>
      <c r="BS192" s="453"/>
      <c r="BT192" s="455"/>
      <c r="BU192" s="452"/>
      <c r="BV192" s="453"/>
      <c r="BW192" s="455"/>
      <c r="BX192" s="452"/>
      <c r="BY192" s="453"/>
      <c r="BZ192" s="455"/>
      <c r="CA192" s="452"/>
      <c r="CB192" s="453"/>
      <c r="CC192" s="455"/>
      <c r="CD192" s="452"/>
      <c r="CE192" s="453"/>
      <c r="CF192" s="455"/>
      <c r="CG192" s="452"/>
      <c r="CH192" s="453"/>
      <c r="CI192" s="455"/>
      <c r="CJ192" s="452"/>
      <c r="CK192" s="453"/>
      <c r="CL192" s="455"/>
      <c r="CM192" s="452"/>
      <c r="CN192" s="453"/>
      <c r="CO192" s="455"/>
      <c r="CP192" s="452"/>
      <c r="DG192" s="67"/>
      <c r="DH192" s="67"/>
      <c r="DI192" s="67"/>
      <c r="DJ192" s="67"/>
      <c r="DL192" s="66"/>
      <c r="DM192" s="66"/>
      <c r="DN192" s="66"/>
      <c r="DO192" s="66"/>
      <c r="EB192" s="157"/>
      <c r="EC192" s="157"/>
      <c r="ED192" s="157"/>
      <c r="EF192" s="66"/>
      <c r="EG192" s="66"/>
      <c r="EH192" s="66"/>
    </row>
    <row r="193" spans="2:138" ht="21" hidden="1" customHeight="1">
      <c r="B193" s="526"/>
      <c r="C193" s="527"/>
      <c r="D193" s="527"/>
      <c r="E193" s="527"/>
      <c r="F193" s="528"/>
      <c r="G193" s="526"/>
      <c r="H193" s="527"/>
      <c r="I193" s="527"/>
      <c r="J193" s="527"/>
      <c r="K193" s="528"/>
      <c r="L193" s="526"/>
      <c r="M193" s="527"/>
      <c r="N193" s="527"/>
      <c r="O193" s="527"/>
      <c r="P193" s="527"/>
      <c r="Q193" s="527"/>
      <c r="R193" s="527"/>
      <c r="S193" s="527"/>
      <c r="T193" s="527"/>
      <c r="U193" s="528"/>
      <c r="V193" s="545"/>
      <c r="W193" s="546"/>
      <c r="X193" s="449" t="s">
        <v>16</v>
      </c>
      <c r="Y193" s="553"/>
      <c r="Z193" s="542">
        <f>SUM(AC193:CP193)</f>
        <v>0</v>
      </c>
      <c r="AA193" s="540"/>
      <c r="AB193" s="543"/>
      <c r="AC193" s="542"/>
      <c r="AD193" s="540"/>
      <c r="AE193" s="541"/>
      <c r="AF193" s="539"/>
      <c r="AG193" s="540"/>
      <c r="AH193" s="541"/>
      <c r="AI193" s="539"/>
      <c r="AJ193" s="540"/>
      <c r="AK193" s="541"/>
      <c r="AL193" s="539"/>
      <c r="AM193" s="540"/>
      <c r="AN193" s="541"/>
      <c r="AO193" s="539"/>
      <c r="AP193" s="540"/>
      <c r="AQ193" s="541"/>
      <c r="AR193" s="539"/>
      <c r="AS193" s="540"/>
      <c r="AT193" s="541"/>
      <c r="AU193" s="539"/>
      <c r="AV193" s="540"/>
      <c r="AW193" s="541"/>
      <c r="AX193" s="539"/>
      <c r="AY193" s="540"/>
      <c r="AZ193" s="541"/>
      <c r="BA193" s="539"/>
      <c r="BB193" s="540"/>
      <c r="BC193" s="541"/>
      <c r="BD193" s="539"/>
      <c r="BE193" s="540"/>
      <c r="BF193" s="541"/>
      <c r="BG193" s="539"/>
      <c r="BH193" s="540"/>
      <c r="BI193" s="541"/>
      <c r="BJ193" s="539"/>
      <c r="BK193" s="540"/>
      <c r="BL193" s="541"/>
      <c r="BM193" s="539"/>
      <c r="BN193" s="540"/>
      <c r="BO193" s="541"/>
      <c r="BP193" s="539"/>
      <c r="BQ193" s="540"/>
      <c r="BR193" s="541"/>
      <c r="BS193" s="539"/>
      <c r="BT193" s="540"/>
      <c r="BU193" s="541"/>
      <c r="BV193" s="539"/>
      <c r="BW193" s="540"/>
      <c r="BX193" s="541"/>
      <c r="BY193" s="539"/>
      <c r="BZ193" s="540"/>
      <c r="CA193" s="541"/>
      <c r="CB193" s="539"/>
      <c r="CC193" s="540"/>
      <c r="CD193" s="541"/>
      <c r="CE193" s="539"/>
      <c r="CF193" s="540"/>
      <c r="CG193" s="541"/>
      <c r="CH193" s="539"/>
      <c r="CI193" s="540"/>
      <c r="CJ193" s="541"/>
      <c r="CK193" s="539"/>
      <c r="CL193" s="540"/>
      <c r="CM193" s="541"/>
      <c r="CN193" s="539"/>
      <c r="CO193" s="540"/>
      <c r="CP193" s="541"/>
      <c r="DG193" s="67"/>
      <c r="DH193" s="67"/>
      <c r="DI193" s="67"/>
      <c r="DJ193" s="67"/>
      <c r="DL193" s="66"/>
      <c r="DM193" s="66"/>
      <c r="DN193" s="66"/>
      <c r="DO193" s="66"/>
      <c r="EB193" s="157"/>
      <c r="EC193" s="157"/>
      <c r="ED193" s="157"/>
      <c r="EF193" s="66"/>
      <c r="EG193" s="66"/>
      <c r="EH193" s="66"/>
    </row>
    <row r="194" spans="2:138" ht="21" hidden="1" customHeight="1">
      <c r="B194" s="520"/>
      <c r="C194" s="521"/>
      <c r="D194" s="521"/>
      <c r="E194" s="521"/>
      <c r="F194" s="522"/>
      <c r="G194" s="520"/>
      <c r="H194" s="521"/>
      <c r="I194" s="521"/>
      <c r="J194" s="521"/>
      <c r="K194" s="522"/>
      <c r="L194" s="520"/>
      <c r="M194" s="521"/>
      <c r="N194" s="521"/>
      <c r="O194" s="521"/>
      <c r="P194" s="521"/>
      <c r="Q194" s="521"/>
      <c r="R194" s="521"/>
      <c r="S194" s="521"/>
      <c r="T194" s="521"/>
      <c r="U194" s="522"/>
      <c r="V194" s="529" t="s">
        <v>18</v>
      </c>
      <c r="W194" s="547"/>
      <c r="X194" s="473" t="s">
        <v>15</v>
      </c>
      <c r="Y194" s="550"/>
      <c r="Z194" s="475">
        <f>SUM(AC194:CP194)</f>
        <v>0</v>
      </c>
      <c r="AA194" s="487"/>
      <c r="AB194" s="485"/>
      <c r="AC194" s="475"/>
      <c r="AD194" s="487"/>
      <c r="AE194" s="476"/>
      <c r="AF194" s="484"/>
      <c r="AG194" s="487"/>
      <c r="AH194" s="476"/>
      <c r="AI194" s="484"/>
      <c r="AJ194" s="487"/>
      <c r="AK194" s="476"/>
      <c r="AL194" s="484"/>
      <c r="AM194" s="487"/>
      <c r="AN194" s="476"/>
      <c r="AO194" s="484"/>
      <c r="AP194" s="487"/>
      <c r="AQ194" s="476"/>
      <c r="AR194" s="484"/>
      <c r="AS194" s="487"/>
      <c r="AT194" s="476"/>
      <c r="AU194" s="484"/>
      <c r="AV194" s="487"/>
      <c r="AW194" s="476"/>
      <c r="AX194" s="484"/>
      <c r="AY194" s="487"/>
      <c r="AZ194" s="476"/>
      <c r="BA194" s="484"/>
      <c r="BB194" s="487"/>
      <c r="BC194" s="476"/>
      <c r="BD194" s="484"/>
      <c r="BE194" s="487"/>
      <c r="BF194" s="476"/>
      <c r="BG194" s="484"/>
      <c r="BH194" s="487"/>
      <c r="BI194" s="476"/>
      <c r="BJ194" s="484"/>
      <c r="BK194" s="487"/>
      <c r="BL194" s="476"/>
      <c r="BM194" s="484"/>
      <c r="BN194" s="487"/>
      <c r="BO194" s="476"/>
      <c r="BP194" s="484"/>
      <c r="BQ194" s="487"/>
      <c r="BR194" s="476"/>
      <c r="BS194" s="484"/>
      <c r="BT194" s="487"/>
      <c r="BU194" s="476"/>
      <c r="BV194" s="484"/>
      <c r="BW194" s="487"/>
      <c r="BX194" s="476"/>
      <c r="BY194" s="484"/>
      <c r="BZ194" s="487"/>
      <c r="CA194" s="476"/>
      <c r="CB194" s="484"/>
      <c r="CC194" s="487"/>
      <c r="CD194" s="476"/>
      <c r="CE194" s="484"/>
      <c r="CF194" s="487"/>
      <c r="CG194" s="476"/>
      <c r="CH194" s="484"/>
      <c r="CI194" s="487"/>
      <c r="CJ194" s="476"/>
      <c r="CK194" s="484"/>
      <c r="CL194" s="487"/>
      <c r="CM194" s="476"/>
      <c r="CN194" s="484"/>
      <c r="CO194" s="487"/>
      <c r="CP194" s="476"/>
      <c r="DG194" s="67"/>
      <c r="DH194" s="67"/>
      <c r="DI194" s="67"/>
      <c r="DJ194" s="67"/>
      <c r="DL194" s="66"/>
      <c r="DM194" s="66"/>
      <c r="DN194" s="66"/>
      <c r="DO194" s="66"/>
      <c r="EB194" s="157"/>
      <c r="EC194" s="157"/>
      <c r="ED194" s="157"/>
      <c r="EF194" s="66"/>
      <c r="EG194" s="66"/>
      <c r="EH194" s="66"/>
    </row>
    <row r="195" spans="2:138" ht="21" hidden="1" customHeight="1">
      <c r="B195" s="523"/>
      <c r="C195" s="524"/>
      <c r="D195" s="524"/>
      <c r="E195" s="524"/>
      <c r="F195" s="525"/>
      <c r="G195" s="523"/>
      <c r="H195" s="524"/>
      <c r="I195" s="524"/>
      <c r="J195" s="524"/>
      <c r="K195" s="525"/>
      <c r="L195" s="523"/>
      <c r="M195" s="524"/>
      <c r="N195" s="524"/>
      <c r="O195" s="524"/>
      <c r="P195" s="524"/>
      <c r="Q195" s="524"/>
      <c r="R195" s="524"/>
      <c r="S195" s="524"/>
      <c r="T195" s="524"/>
      <c r="U195" s="525"/>
      <c r="V195" s="548"/>
      <c r="W195" s="549"/>
      <c r="X195" s="534" t="s">
        <v>16</v>
      </c>
      <c r="Y195" s="551"/>
      <c r="Z195" s="535">
        <f>SUM(AC195:CP195)</f>
        <v>0</v>
      </c>
      <c r="AA195" s="518"/>
      <c r="AB195" s="536"/>
      <c r="AC195" s="535"/>
      <c r="AD195" s="518"/>
      <c r="AE195" s="519"/>
      <c r="AF195" s="517"/>
      <c r="AG195" s="518"/>
      <c r="AH195" s="519"/>
      <c r="AI195" s="517"/>
      <c r="AJ195" s="518"/>
      <c r="AK195" s="519"/>
      <c r="AL195" s="517"/>
      <c r="AM195" s="518"/>
      <c r="AN195" s="519"/>
      <c r="AO195" s="517"/>
      <c r="AP195" s="518"/>
      <c r="AQ195" s="519"/>
      <c r="AR195" s="517"/>
      <c r="AS195" s="518"/>
      <c r="AT195" s="519"/>
      <c r="AU195" s="517"/>
      <c r="AV195" s="518"/>
      <c r="AW195" s="519"/>
      <c r="AX195" s="517"/>
      <c r="AY195" s="518"/>
      <c r="AZ195" s="519"/>
      <c r="BA195" s="517"/>
      <c r="BB195" s="518"/>
      <c r="BC195" s="519"/>
      <c r="BD195" s="517"/>
      <c r="BE195" s="518"/>
      <c r="BF195" s="519"/>
      <c r="BG195" s="517"/>
      <c r="BH195" s="518"/>
      <c r="BI195" s="519"/>
      <c r="BJ195" s="517"/>
      <c r="BK195" s="518"/>
      <c r="BL195" s="519"/>
      <c r="BM195" s="517"/>
      <c r="BN195" s="518"/>
      <c r="BO195" s="519"/>
      <c r="BP195" s="517"/>
      <c r="BQ195" s="518"/>
      <c r="BR195" s="519"/>
      <c r="BS195" s="517"/>
      <c r="BT195" s="518"/>
      <c r="BU195" s="519"/>
      <c r="BV195" s="517"/>
      <c r="BW195" s="518"/>
      <c r="BX195" s="519"/>
      <c r="BY195" s="517"/>
      <c r="BZ195" s="518"/>
      <c r="CA195" s="519"/>
      <c r="CB195" s="517"/>
      <c r="CC195" s="518"/>
      <c r="CD195" s="519"/>
      <c r="CE195" s="517"/>
      <c r="CF195" s="518"/>
      <c r="CG195" s="519"/>
      <c r="CH195" s="517"/>
      <c r="CI195" s="518"/>
      <c r="CJ195" s="519"/>
      <c r="CK195" s="517"/>
      <c r="CL195" s="518"/>
      <c r="CM195" s="519"/>
      <c r="CN195" s="517"/>
      <c r="CO195" s="518"/>
      <c r="CP195" s="519"/>
      <c r="DG195" s="67"/>
      <c r="DH195" s="67"/>
      <c r="DI195" s="67"/>
      <c r="DJ195" s="67"/>
      <c r="DL195" s="66"/>
      <c r="DM195" s="66"/>
      <c r="DN195" s="66"/>
      <c r="DO195" s="66"/>
      <c r="EB195" s="157"/>
      <c r="EC195" s="157"/>
      <c r="ED195" s="157"/>
      <c r="EF195" s="66"/>
      <c r="EG195" s="66"/>
      <c r="EH195" s="66"/>
    </row>
    <row r="196" spans="2:138" ht="21" hidden="1" customHeight="1">
      <c r="B196" s="523"/>
      <c r="C196" s="524"/>
      <c r="D196" s="524"/>
      <c r="E196" s="524"/>
      <c r="F196" s="525"/>
      <c r="G196" s="523"/>
      <c r="H196" s="524"/>
      <c r="I196" s="524"/>
      <c r="J196" s="524"/>
      <c r="K196" s="525"/>
      <c r="L196" s="523"/>
      <c r="M196" s="524"/>
      <c r="N196" s="524"/>
      <c r="O196" s="524"/>
      <c r="P196" s="524"/>
      <c r="Q196" s="524"/>
      <c r="R196" s="524"/>
      <c r="S196" s="524"/>
      <c r="T196" s="524"/>
      <c r="U196" s="525"/>
      <c r="V196" s="479" t="s">
        <v>19</v>
      </c>
      <c r="W196" s="544"/>
      <c r="X196" s="537" t="s">
        <v>15</v>
      </c>
      <c r="Y196" s="552"/>
      <c r="Z196" s="451">
        <f>SUM(AC196:CP196)</f>
        <v>0</v>
      </c>
      <c r="AA196" s="455"/>
      <c r="AB196" s="454"/>
      <c r="AC196" s="451"/>
      <c r="AD196" s="455"/>
      <c r="AE196" s="452"/>
      <c r="AF196" s="453"/>
      <c r="AG196" s="455"/>
      <c r="AH196" s="452"/>
      <c r="AI196" s="453"/>
      <c r="AJ196" s="455"/>
      <c r="AK196" s="452"/>
      <c r="AL196" s="453"/>
      <c r="AM196" s="455"/>
      <c r="AN196" s="452"/>
      <c r="AO196" s="453"/>
      <c r="AP196" s="455"/>
      <c r="AQ196" s="452"/>
      <c r="AR196" s="453"/>
      <c r="AS196" s="455"/>
      <c r="AT196" s="452"/>
      <c r="AU196" s="453"/>
      <c r="AV196" s="455"/>
      <c r="AW196" s="452"/>
      <c r="AX196" s="453"/>
      <c r="AY196" s="455"/>
      <c r="AZ196" s="452"/>
      <c r="BA196" s="453"/>
      <c r="BB196" s="455"/>
      <c r="BC196" s="452"/>
      <c r="BD196" s="453"/>
      <c r="BE196" s="455"/>
      <c r="BF196" s="452"/>
      <c r="BG196" s="453"/>
      <c r="BH196" s="455"/>
      <c r="BI196" s="452"/>
      <c r="BJ196" s="453"/>
      <c r="BK196" s="455"/>
      <c r="BL196" s="452"/>
      <c r="BM196" s="453"/>
      <c r="BN196" s="455"/>
      <c r="BO196" s="452"/>
      <c r="BP196" s="453"/>
      <c r="BQ196" s="455"/>
      <c r="BR196" s="452"/>
      <c r="BS196" s="453"/>
      <c r="BT196" s="455"/>
      <c r="BU196" s="452"/>
      <c r="BV196" s="453"/>
      <c r="BW196" s="455"/>
      <c r="BX196" s="452"/>
      <c r="BY196" s="453"/>
      <c r="BZ196" s="455"/>
      <c r="CA196" s="452"/>
      <c r="CB196" s="453"/>
      <c r="CC196" s="455"/>
      <c r="CD196" s="452"/>
      <c r="CE196" s="453"/>
      <c r="CF196" s="455"/>
      <c r="CG196" s="452"/>
      <c r="CH196" s="453"/>
      <c r="CI196" s="455"/>
      <c r="CJ196" s="452"/>
      <c r="CK196" s="453"/>
      <c r="CL196" s="455"/>
      <c r="CM196" s="452"/>
      <c r="CN196" s="453"/>
      <c r="CO196" s="455"/>
      <c r="CP196" s="452"/>
      <c r="DG196" s="67"/>
      <c r="DH196" s="67"/>
      <c r="DI196" s="67"/>
      <c r="DJ196" s="67"/>
      <c r="DL196" s="66"/>
      <c r="DM196" s="66"/>
      <c r="DN196" s="66"/>
      <c r="DO196" s="66"/>
      <c r="EB196" s="157"/>
      <c r="EC196" s="157"/>
      <c r="ED196" s="157"/>
      <c r="EF196" s="66"/>
      <c r="EG196" s="66"/>
      <c r="EH196" s="66"/>
    </row>
    <row r="197" spans="2:138" ht="21" hidden="1" customHeight="1">
      <c r="B197" s="526"/>
      <c r="C197" s="527"/>
      <c r="D197" s="527"/>
      <c r="E197" s="527"/>
      <c r="F197" s="528"/>
      <c r="G197" s="526"/>
      <c r="H197" s="527"/>
      <c r="I197" s="527"/>
      <c r="J197" s="527"/>
      <c r="K197" s="528"/>
      <c r="L197" s="526"/>
      <c r="M197" s="527"/>
      <c r="N197" s="527"/>
      <c r="O197" s="527"/>
      <c r="P197" s="527"/>
      <c r="Q197" s="527"/>
      <c r="R197" s="527"/>
      <c r="S197" s="527"/>
      <c r="T197" s="527"/>
      <c r="U197" s="528"/>
      <c r="V197" s="545"/>
      <c r="W197" s="546"/>
      <c r="X197" s="449" t="s">
        <v>16</v>
      </c>
      <c r="Y197" s="553"/>
      <c r="Z197" s="542">
        <f>SUM(AC197:CP197)</f>
        <v>0</v>
      </c>
      <c r="AA197" s="540"/>
      <c r="AB197" s="543"/>
      <c r="AC197" s="542"/>
      <c r="AD197" s="540"/>
      <c r="AE197" s="541"/>
      <c r="AF197" s="539"/>
      <c r="AG197" s="540"/>
      <c r="AH197" s="541"/>
      <c r="AI197" s="539"/>
      <c r="AJ197" s="540"/>
      <c r="AK197" s="541"/>
      <c r="AL197" s="539"/>
      <c r="AM197" s="540"/>
      <c r="AN197" s="541"/>
      <c r="AO197" s="539"/>
      <c r="AP197" s="540"/>
      <c r="AQ197" s="541"/>
      <c r="AR197" s="539"/>
      <c r="AS197" s="540"/>
      <c r="AT197" s="541"/>
      <c r="AU197" s="539"/>
      <c r="AV197" s="540"/>
      <c r="AW197" s="541"/>
      <c r="AX197" s="539"/>
      <c r="AY197" s="540"/>
      <c r="AZ197" s="541"/>
      <c r="BA197" s="539"/>
      <c r="BB197" s="540"/>
      <c r="BC197" s="541"/>
      <c r="BD197" s="539"/>
      <c r="BE197" s="540"/>
      <c r="BF197" s="541"/>
      <c r="BG197" s="539"/>
      <c r="BH197" s="540"/>
      <c r="BI197" s="541"/>
      <c r="BJ197" s="539"/>
      <c r="BK197" s="540"/>
      <c r="BL197" s="541"/>
      <c r="BM197" s="539"/>
      <c r="BN197" s="540"/>
      <c r="BO197" s="541"/>
      <c r="BP197" s="539"/>
      <c r="BQ197" s="540"/>
      <c r="BR197" s="541"/>
      <c r="BS197" s="539"/>
      <c r="BT197" s="540"/>
      <c r="BU197" s="541"/>
      <c r="BV197" s="539"/>
      <c r="BW197" s="540"/>
      <c r="BX197" s="541"/>
      <c r="BY197" s="539"/>
      <c r="BZ197" s="540"/>
      <c r="CA197" s="541"/>
      <c r="CB197" s="539"/>
      <c r="CC197" s="540"/>
      <c r="CD197" s="541"/>
      <c r="CE197" s="539"/>
      <c r="CF197" s="540"/>
      <c r="CG197" s="541"/>
      <c r="CH197" s="539"/>
      <c r="CI197" s="540"/>
      <c r="CJ197" s="541"/>
      <c r="CK197" s="539"/>
      <c r="CL197" s="540"/>
      <c r="CM197" s="541"/>
      <c r="CN197" s="539"/>
      <c r="CO197" s="540"/>
      <c r="CP197" s="541"/>
      <c r="DG197" s="67"/>
      <c r="DH197" s="67"/>
      <c r="DI197" s="67"/>
      <c r="DJ197" s="67"/>
      <c r="DL197" s="66"/>
      <c r="DM197" s="66"/>
      <c r="DN197" s="66"/>
      <c r="DO197" s="66"/>
      <c r="EB197" s="157"/>
      <c r="EC197" s="157"/>
      <c r="ED197" s="157"/>
      <c r="EF197" s="66"/>
      <c r="EG197" s="66"/>
      <c r="EH197" s="66"/>
    </row>
    <row r="198" spans="2:138" ht="21" hidden="1" customHeight="1">
      <c r="B198" s="520"/>
      <c r="C198" s="521"/>
      <c r="D198" s="521"/>
      <c r="E198" s="521"/>
      <c r="F198" s="522"/>
      <c r="G198" s="520"/>
      <c r="H198" s="521"/>
      <c r="I198" s="521"/>
      <c r="J198" s="521"/>
      <c r="K198" s="522"/>
      <c r="L198" s="520"/>
      <c r="M198" s="521"/>
      <c r="N198" s="521"/>
      <c r="O198" s="521"/>
      <c r="P198" s="521"/>
      <c r="Q198" s="521"/>
      <c r="R198" s="521"/>
      <c r="S198" s="521"/>
      <c r="T198" s="521"/>
      <c r="U198" s="522"/>
      <c r="V198" s="529" t="s">
        <v>18</v>
      </c>
      <c r="W198" s="547"/>
      <c r="X198" s="473" t="s">
        <v>15</v>
      </c>
      <c r="Y198" s="550"/>
      <c r="Z198" s="475">
        <f>SUM(AC198:CP198)</f>
        <v>0</v>
      </c>
      <c r="AA198" s="487"/>
      <c r="AB198" s="485"/>
      <c r="AC198" s="475"/>
      <c r="AD198" s="487"/>
      <c r="AE198" s="476"/>
      <c r="AF198" s="484"/>
      <c r="AG198" s="487"/>
      <c r="AH198" s="476"/>
      <c r="AI198" s="484"/>
      <c r="AJ198" s="487"/>
      <c r="AK198" s="476"/>
      <c r="AL198" s="484"/>
      <c r="AM198" s="487"/>
      <c r="AN198" s="476"/>
      <c r="AO198" s="484"/>
      <c r="AP198" s="487"/>
      <c r="AQ198" s="476"/>
      <c r="AR198" s="484"/>
      <c r="AS198" s="487"/>
      <c r="AT198" s="476"/>
      <c r="AU198" s="484"/>
      <c r="AV198" s="487"/>
      <c r="AW198" s="476"/>
      <c r="AX198" s="484"/>
      <c r="AY198" s="487"/>
      <c r="AZ198" s="476"/>
      <c r="BA198" s="484"/>
      <c r="BB198" s="487"/>
      <c r="BC198" s="476"/>
      <c r="BD198" s="484"/>
      <c r="BE198" s="487"/>
      <c r="BF198" s="476"/>
      <c r="BG198" s="484"/>
      <c r="BH198" s="487"/>
      <c r="BI198" s="476"/>
      <c r="BJ198" s="484"/>
      <c r="BK198" s="487"/>
      <c r="BL198" s="476"/>
      <c r="BM198" s="484"/>
      <c r="BN198" s="487"/>
      <c r="BO198" s="476"/>
      <c r="BP198" s="484"/>
      <c r="BQ198" s="487"/>
      <c r="BR198" s="476"/>
      <c r="BS198" s="484"/>
      <c r="BT198" s="487"/>
      <c r="BU198" s="476"/>
      <c r="BV198" s="484"/>
      <c r="BW198" s="487"/>
      <c r="BX198" s="476"/>
      <c r="BY198" s="484"/>
      <c r="BZ198" s="487"/>
      <c r="CA198" s="476"/>
      <c r="CB198" s="484"/>
      <c r="CC198" s="487"/>
      <c r="CD198" s="476"/>
      <c r="CE198" s="484"/>
      <c r="CF198" s="487"/>
      <c r="CG198" s="476"/>
      <c r="CH198" s="484"/>
      <c r="CI198" s="487"/>
      <c r="CJ198" s="476"/>
      <c r="CK198" s="484"/>
      <c r="CL198" s="487"/>
      <c r="CM198" s="476"/>
      <c r="CN198" s="484"/>
      <c r="CO198" s="487"/>
      <c r="CP198" s="476"/>
      <c r="DG198" s="67"/>
      <c r="DH198" s="67"/>
      <c r="DI198" s="67"/>
      <c r="DJ198" s="67"/>
      <c r="DL198" s="66"/>
      <c r="DM198" s="66"/>
      <c r="DN198" s="66"/>
      <c r="DO198" s="66"/>
      <c r="EB198" s="157"/>
      <c r="EC198" s="157"/>
      <c r="ED198" s="157"/>
      <c r="EF198" s="66"/>
      <c r="EG198" s="66"/>
      <c r="EH198" s="66"/>
    </row>
    <row r="199" spans="2:138" ht="21" hidden="1" customHeight="1">
      <c r="B199" s="523"/>
      <c r="C199" s="524"/>
      <c r="D199" s="524"/>
      <c r="E199" s="524"/>
      <c r="F199" s="525"/>
      <c r="G199" s="523"/>
      <c r="H199" s="524"/>
      <c r="I199" s="524"/>
      <c r="J199" s="524"/>
      <c r="K199" s="525"/>
      <c r="L199" s="523"/>
      <c r="M199" s="524"/>
      <c r="N199" s="524"/>
      <c r="O199" s="524"/>
      <c r="P199" s="524"/>
      <c r="Q199" s="524"/>
      <c r="R199" s="524"/>
      <c r="S199" s="524"/>
      <c r="T199" s="524"/>
      <c r="U199" s="525"/>
      <c r="V199" s="548"/>
      <c r="W199" s="549"/>
      <c r="X199" s="534" t="s">
        <v>16</v>
      </c>
      <c r="Y199" s="551"/>
      <c r="Z199" s="535">
        <f>SUM(AC199:CP199)</f>
        <v>0</v>
      </c>
      <c r="AA199" s="518"/>
      <c r="AB199" s="536"/>
      <c r="AC199" s="535"/>
      <c r="AD199" s="518"/>
      <c r="AE199" s="519"/>
      <c r="AF199" s="517"/>
      <c r="AG199" s="518"/>
      <c r="AH199" s="519"/>
      <c r="AI199" s="517"/>
      <c r="AJ199" s="518"/>
      <c r="AK199" s="519"/>
      <c r="AL199" s="517"/>
      <c r="AM199" s="518"/>
      <c r="AN199" s="519"/>
      <c r="AO199" s="517"/>
      <c r="AP199" s="518"/>
      <c r="AQ199" s="519"/>
      <c r="AR199" s="517"/>
      <c r="AS199" s="518"/>
      <c r="AT199" s="519"/>
      <c r="AU199" s="517"/>
      <c r="AV199" s="518"/>
      <c r="AW199" s="519"/>
      <c r="AX199" s="517"/>
      <c r="AY199" s="518"/>
      <c r="AZ199" s="519"/>
      <c r="BA199" s="517"/>
      <c r="BB199" s="518"/>
      <c r="BC199" s="519"/>
      <c r="BD199" s="517"/>
      <c r="BE199" s="518"/>
      <c r="BF199" s="519"/>
      <c r="BG199" s="517"/>
      <c r="BH199" s="518"/>
      <c r="BI199" s="519"/>
      <c r="BJ199" s="517"/>
      <c r="BK199" s="518"/>
      <c r="BL199" s="519"/>
      <c r="BM199" s="517"/>
      <c r="BN199" s="518"/>
      <c r="BO199" s="519"/>
      <c r="BP199" s="517"/>
      <c r="BQ199" s="518"/>
      <c r="BR199" s="519"/>
      <c r="BS199" s="517"/>
      <c r="BT199" s="518"/>
      <c r="BU199" s="519"/>
      <c r="BV199" s="517"/>
      <c r="BW199" s="518"/>
      <c r="BX199" s="519"/>
      <c r="BY199" s="517"/>
      <c r="BZ199" s="518"/>
      <c r="CA199" s="519"/>
      <c r="CB199" s="517"/>
      <c r="CC199" s="518"/>
      <c r="CD199" s="519"/>
      <c r="CE199" s="517"/>
      <c r="CF199" s="518"/>
      <c r="CG199" s="519"/>
      <c r="CH199" s="517"/>
      <c r="CI199" s="518"/>
      <c r="CJ199" s="519"/>
      <c r="CK199" s="517"/>
      <c r="CL199" s="518"/>
      <c r="CM199" s="519"/>
      <c r="CN199" s="517"/>
      <c r="CO199" s="518"/>
      <c r="CP199" s="519"/>
      <c r="DG199" s="67"/>
      <c r="DH199" s="67"/>
      <c r="DI199" s="67"/>
      <c r="DJ199" s="67"/>
      <c r="DL199" s="66"/>
      <c r="DM199" s="66"/>
      <c r="DN199" s="66"/>
      <c r="DO199" s="66"/>
      <c r="EB199" s="157"/>
      <c r="EC199" s="157"/>
      <c r="ED199" s="157"/>
      <c r="EF199" s="66"/>
      <c r="EG199" s="66"/>
      <c r="EH199" s="66"/>
    </row>
    <row r="200" spans="2:138" ht="21" hidden="1" customHeight="1">
      <c r="B200" s="523"/>
      <c r="C200" s="524"/>
      <c r="D200" s="524"/>
      <c r="E200" s="524"/>
      <c r="F200" s="525"/>
      <c r="G200" s="523"/>
      <c r="H200" s="524"/>
      <c r="I200" s="524"/>
      <c r="J200" s="524"/>
      <c r="K200" s="525"/>
      <c r="L200" s="523"/>
      <c r="M200" s="524"/>
      <c r="N200" s="524"/>
      <c r="O200" s="524"/>
      <c r="P200" s="524"/>
      <c r="Q200" s="524"/>
      <c r="R200" s="524"/>
      <c r="S200" s="524"/>
      <c r="T200" s="524"/>
      <c r="U200" s="525"/>
      <c r="V200" s="479" t="s">
        <v>19</v>
      </c>
      <c r="W200" s="544"/>
      <c r="X200" s="537" t="s">
        <v>15</v>
      </c>
      <c r="Y200" s="552"/>
      <c r="Z200" s="451">
        <f>SUM(AC200:CP200)</f>
        <v>0</v>
      </c>
      <c r="AA200" s="455"/>
      <c r="AB200" s="454"/>
      <c r="AC200" s="451"/>
      <c r="AD200" s="455"/>
      <c r="AE200" s="452"/>
      <c r="AF200" s="453"/>
      <c r="AG200" s="455"/>
      <c r="AH200" s="452"/>
      <c r="AI200" s="453"/>
      <c r="AJ200" s="455"/>
      <c r="AK200" s="452"/>
      <c r="AL200" s="453"/>
      <c r="AM200" s="455"/>
      <c r="AN200" s="452"/>
      <c r="AO200" s="453"/>
      <c r="AP200" s="455"/>
      <c r="AQ200" s="452"/>
      <c r="AR200" s="453"/>
      <c r="AS200" s="455"/>
      <c r="AT200" s="452"/>
      <c r="AU200" s="453"/>
      <c r="AV200" s="455"/>
      <c r="AW200" s="452"/>
      <c r="AX200" s="453"/>
      <c r="AY200" s="455"/>
      <c r="AZ200" s="452"/>
      <c r="BA200" s="453"/>
      <c r="BB200" s="455"/>
      <c r="BC200" s="452"/>
      <c r="BD200" s="453"/>
      <c r="BE200" s="455"/>
      <c r="BF200" s="452"/>
      <c r="BG200" s="453"/>
      <c r="BH200" s="455"/>
      <c r="BI200" s="452"/>
      <c r="BJ200" s="453"/>
      <c r="BK200" s="455"/>
      <c r="BL200" s="452"/>
      <c r="BM200" s="453"/>
      <c r="BN200" s="455"/>
      <c r="BO200" s="452"/>
      <c r="BP200" s="453"/>
      <c r="BQ200" s="455"/>
      <c r="BR200" s="452"/>
      <c r="BS200" s="453"/>
      <c r="BT200" s="455"/>
      <c r="BU200" s="452"/>
      <c r="BV200" s="453"/>
      <c r="BW200" s="455"/>
      <c r="BX200" s="452"/>
      <c r="BY200" s="453"/>
      <c r="BZ200" s="455"/>
      <c r="CA200" s="452"/>
      <c r="CB200" s="453"/>
      <c r="CC200" s="455"/>
      <c r="CD200" s="452"/>
      <c r="CE200" s="453"/>
      <c r="CF200" s="455"/>
      <c r="CG200" s="452"/>
      <c r="CH200" s="453"/>
      <c r="CI200" s="455"/>
      <c r="CJ200" s="452"/>
      <c r="CK200" s="453"/>
      <c r="CL200" s="455"/>
      <c r="CM200" s="452"/>
      <c r="CN200" s="453"/>
      <c r="CO200" s="455"/>
      <c r="CP200" s="452"/>
      <c r="DG200" s="67"/>
      <c r="DH200" s="67"/>
      <c r="DI200" s="67"/>
      <c r="DJ200" s="67"/>
      <c r="DL200" s="66"/>
      <c r="DM200" s="66"/>
      <c r="DN200" s="66"/>
      <c r="DO200" s="66"/>
      <c r="EB200" s="157"/>
      <c r="EC200" s="157"/>
      <c r="ED200" s="157"/>
      <c r="EF200" s="66"/>
      <c r="EG200" s="66"/>
      <c r="EH200" s="66"/>
    </row>
    <row r="201" spans="2:138" ht="21" hidden="1" customHeight="1">
      <c r="B201" s="526"/>
      <c r="C201" s="527"/>
      <c r="D201" s="527"/>
      <c r="E201" s="527"/>
      <c r="F201" s="528"/>
      <c r="G201" s="526"/>
      <c r="H201" s="527"/>
      <c r="I201" s="527"/>
      <c r="J201" s="527"/>
      <c r="K201" s="528"/>
      <c r="L201" s="526"/>
      <c r="M201" s="527"/>
      <c r="N201" s="527"/>
      <c r="O201" s="527"/>
      <c r="P201" s="527"/>
      <c r="Q201" s="527"/>
      <c r="R201" s="527"/>
      <c r="S201" s="527"/>
      <c r="T201" s="527"/>
      <c r="U201" s="528"/>
      <c r="V201" s="545"/>
      <c r="W201" s="546"/>
      <c r="X201" s="449" t="s">
        <v>16</v>
      </c>
      <c r="Y201" s="553"/>
      <c r="Z201" s="542">
        <f>SUM(AC201:CP201)</f>
        <v>0</v>
      </c>
      <c r="AA201" s="540"/>
      <c r="AB201" s="543"/>
      <c r="AC201" s="542"/>
      <c r="AD201" s="540"/>
      <c r="AE201" s="541"/>
      <c r="AF201" s="539"/>
      <c r="AG201" s="540"/>
      <c r="AH201" s="541"/>
      <c r="AI201" s="539"/>
      <c r="AJ201" s="540"/>
      <c r="AK201" s="541"/>
      <c r="AL201" s="539"/>
      <c r="AM201" s="540"/>
      <c r="AN201" s="541"/>
      <c r="AO201" s="539"/>
      <c r="AP201" s="540"/>
      <c r="AQ201" s="541"/>
      <c r="AR201" s="539"/>
      <c r="AS201" s="540"/>
      <c r="AT201" s="541"/>
      <c r="AU201" s="539"/>
      <c r="AV201" s="540"/>
      <c r="AW201" s="541"/>
      <c r="AX201" s="539"/>
      <c r="AY201" s="540"/>
      <c r="AZ201" s="541"/>
      <c r="BA201" s="539"/>
      <c r="BB201" s="540"/>
      <c r="BC201" s="541"/>
      <c r="BD201" s="539"/>
      <c r="BE201" s="540"/>
      <c r="BF201" s="541"/>
      <c r="BG201" s="539"/>
      <c r="BH201" s="540"/>
      <c r="BI201" s="541"/>
      <c r="BJ201" s="539"/>
      <c r="BK201" s="540"/>
      <c r="BL201" s="541"/>
      <c r="BM201" s="539"/>
      <c r="BN201" s="540"/>
      <c r="BO201" s="541"/>
      <c r="BP201" s="539"/>
      <c r="BQ201" s="540"/>
      <c r="BR201" s="541"/>
      <c r="BS201" s="539"/>
      <c r="BT201" s="540"/>
      <c r="BU201" s="541"/>
      <c r="BV201" s="539"/>
      <c r="BW201" s="540"/>
      <c r="BX201" s="541"/>
      <c r="BY201" s="539"/>
      <c r="BZ201" s="540"/>
      <c r="CA201" s="541"/>
      <c r="CB201" s="539"/>
      <c r="CC201" s="540"/>
      <c r="CD201" s="541"/>
      <c r="CE201" s="539"/>
      <c r="CF201" s="540"/>
      <c r="CG201" s="541"/>
      <c r="CH201" s="539"/>
      <c r="CI201" s="540"/>
      <c r="CJ201" s="541"/>
      <c r="CK201" s="539"/>
      <c r="CL201" s="540"/>
      <c r="CM201" s="541"/>
      <c r="CN201" s="539"/>
      <c r="CO201" s="540"/>
      <c r="CP201" s="541"/>
      <c r="DG201" s="67"/>
      <c r="DH201" s="67"/>
      <c r="DI201" s="67"/>
      <c r="DJ201" s="67"/>
      <c r="DL201" s="66"/>
      <c r="DM201" s="66"/>
      <c r="DN201" s="66"/>
      <c r="DO201" s="66"/>
      <c r="EB201" s="157"/>
      <c r="EC201" s="157"/>
      <c r="ED201" s="157"/>
      <c r="EF201" s="66"/>
      <c r="EG201" s="66"/>
      <c r="EH201" s="66"/>
    </row>
    <row r="202" spans="2:138" ht="21" hidden="1" customHeight="1">
      <c r="B202" s="520"/>
      <c r="C202" s="521"/>
      <c r="D202" s="521"/>
      <c r="E202" s="521"/>
      <c r="F202" s="522"/>
      <c r="G202" s="520"/>
      <c r="H202" s="521"/>
      <c r="I202" s="521"/>
      <c r="J202" s="521"/>
      <c r="K202" s="522"/>
      <c r="L202" s="520"/>
      <c r="M202" s="521"/>
      <c r="N202" s="521"/>
      <c r="O202" s="521"/>
      <c r="P202" s="521"/>
      <c r="Q202" s="521"/>
      <c r="R202" s="521"/>
      <c r="S202" s="521"/>
      <c r="T202" s="521"/>
      <c r="U202" s="522"/>
      <c r="V202" s="529" t="s">
        <v>18</v>
      </c>
      <c r="W202" s="530"/>
      <c r="X202" s="473" t="s">
        <v>15</v>
      </c>
      <c r="Y202" s="474"/>
      <c r="Z202" s="475">
        <f>SUM(AC202:CP202)</f>
        <v>0</v>
      </c>
      <c r="AA202" s="487"/>
      <c r="AB202" s="485"/>
      <c r="AC202" s="487"/>
      <c r="AD202" s="487"/>
      <c r="AE202" s="476"/>
      <c r="AF202" s="484"/>
      <c r="AG202" s="487"/>
      <c r="AH202" s="476"/>
      <c r="AI202" s="484"/>
      <c r="AJ202" s="487"/>
      <c r="AK202" s="476"/>
      <c r="AL202" s="484"/>
      <c r="AM202" s="487"/>
      <c r="AN202" s="476"/>
      <c r="AO202" s="484"/>
      <c r="AP202" s="487"/>
      <c r="AQ202" s="476"/>
      <c r="AR202" s="484"/>
      <c r="AS202" s="487"/>
      <c r="AT202" s="476"/>
      <c r="AU202" s="484"/>
      <c r="AV202" s="487"/>
      <c r="AW202" s="476"/>
      <c r="AX202" s="484"/>
      <c r="AY202" s="487"/>
      <c r="AZ202" s="476"/>
      <c r="BA202" s="484"/>
      <c r="BB202" s="487"/>
      <c r="BC202" s="476"/>
      <c r="BD202" s="484"/>
      <c r="BE202" s="487"/>
      <c r="BF202" s="476"/>
      <c r="BG202" s="484"/>
      <c r="BH202" s="487"/>
      <c r="BI202" s="476"/>
      <c r="BJ202" s="484"/>
      <c r="BK202" s="487"/>
      <c r="BL202" s="476"/>
      <c r="BM202" s="484"/>
      <c r="BN202" s="487"/>
      <c r="BO202" s="476"/>
      <c r="BP202" s="484"/>
      <c r="BQ202" s="487"/>
      <c r="BR202" s="476"/>
      <c r="BS202" s="484"/>
      <c r="BT202" s="487"/>
      <c r="BU202" s="476"/>
      <c r="BV202" s="484"/>
      <c r="BW202" s="487"/>
      <c r="BX202" s="476"/>
      <c r="BY202" s="484"/>
      <c r="BZ202" s="487"/>
      <c r="CA202" s="476"/>
      <c r="CB202" s="484"/>
      <c r="CC202" s="487"/>
      <c r="CD202" s="476"/>
      <c r="CE202" s="484"/>
      <c r="CF202" s="487"/>
      <c r="CG202" s="476"/>
      <c r="CH202" s="484"/>
      <c r="CI202" s="487"/>
      <c r="CJ202" s="476"/>
      <c r="CK202" s="484"/>
      <c r="CL202" s="487"/>
      <c r="CM202" s="476"/>
      <c r="CN202" s="484"/>
      <c r="CO202" s="487"/>
      <c r="CP202" s="476"/>
      <c r="DG202" s="67"/>
      <c r="DH202" s="67"/>
      <c r="DI202" s="67"/>
      <c r="DJ202" s="67"/>
      <c r="DL202" s="66"/>
      <c r="DM202" s="66"/>
      <c r="DN202" s="66"/>
      <c r="DO202" s="66"/>
      <c r="EB202" s="157"/>
      <c r="EC202" s="157"/>
      <c r="ED202" s="157"/>
      <c r="EF202" s="66"/>
      <c r="EG202" s="66"/>
      <c r="EH202" s="66"/>
    </row>
    <row r="203" spans="2:138" ht="21" hidden="1" customHeight="1">
      <c r="B203" s="523"/>
      <c r="C203" s="524"/>
      <c r="D203" s="524"/>
      <c r="E203" s="524"/>
      <c r="F203" s="525"/>
      <c r="G203" s="523"/>
      <c r="H203" s="524"/>
      <c r="I203" s="524"/>
      <c r="J203" s="524"/>
      <c r="K203" s="525"/>
      <c r="L203" s="523"/>
      <c r="M203" s="524"/>
      <c r="N203" s="524"/>
      <c r="O203" s="524"/>
      <c r="P203" s="524"/>
      <c r="Q203" s="524"/>
      <c r="R203" s="524"/>
      <c r="S203" s="524"/>
      <c r="T203" s="524"/>
      <c r="U203" s="525"/>
      <c r="V203" s="531"/>
      <c r="W203" s="532"/>
      <c r="X203" s="534" t="s">
        <v>16</v>
      </c>
      <c r="Y203" s="474"/>
      <c r="Z203" s="535">
        <f>SUM(AC203:CP203)</f>
        <v>0</v>
      </c>
      <c r="AA203" s="518"/>
      <c r="AB203" s="536"/>
      <c r="AC203" s="518"/>
      <c r="AD203" s="518"/>
      <c r="AE203" s="519"/>
      <c r="AF203" s="517"/>
      <c r="AG203" s="518"/>
      <c r="AH203" s="519"/>
      <c r="AI203" s="517"/>
      <c r="AJ203" s="518"/>
      <c r="AK203" s="519"/>
      <c r="AL203" s="517"/>
      <c r="AM203" s="518"/>
      <c r="AN203" s="519"/>
      <c r="AO203" s="517"/>
      <c r="AP203" s="518"/>
      <c r="AQ203" s="519"/>
      <c r="AR203" s="517"/>
      <c r="AS203" s="518"/>
      <c r="AT203" s="519"/>
      <c r="AU203" s="517"/>
      <c r="AV203" s="518"/>
      <c r="AW203" s="519"/>
      <c r="AX203" s="517"/>
      <c r="AY203" s="518"/>
      <c r="AZ203" s="519"/>
      <c r="BA203" s="517"/>
      <c r="BB203" s="518"/>
      <c r="BC203" s="519"/>
      <c r="BD203" s="517"/>
      <c r="BE203" s="518"/>
      <c r="BF203" s="519"/>
      <c r="BG203" s="517"/>
      <c r="BH203" s="518"/>
      <c r="BI203" s="519"/>
      <c r="BJ203" s="517"/>
      <c r="BK203" s="518"/>
      <c r="BL203" s="519"/>
      <c r="BM203" s="517"/>
      <c r="BN203" s="518"/>
      <c r="BO203" s="519"/>
      <c r="BP203" s="517"/>
      <c r="BQ203" s="518"/>
      <c r="BR203" s="519"/>
      <c r="BS203" s="517"/>
      <c r="BT203" s="518"/>
      <c r="BU203" s="519"/>
      <c r="BV203" s="517"/>
      <c r="BW203" s="518"/>
      <c r="BX203" s="519"/>
      <c r="BY203" s="517"/>
      <c r="BZ203" s="518"/>
      <c r="CA203" s="519"/>
      <c r="CB203" s="517"/>
      <c r="CC203" s="518"/>
      <c r="CD203" s="519"/>
      <c r="CE203" s="517"/>
      <c r="CF203" s="518"/>
      <c r="CG203" s="519"/>
      <c r="CH203" s="517"/>
      <c r="CI203" s="518"/>
      <c r="CJ203" s="519"/>
      <c r="CK203" s="517"/>
      <c r="CL203" s="518"/>
      <c r="CM203" s="519"/>
      <c r="CN203" s="517"/>
      <c r="CO203" s="518"/>
      <c r="CP203" s="519"/>
      <c r="DG203" s="67"/>
      <c r="DH203" s="67"/>
      <c r="DI203" s="67"/>
      <c r="DJ203" s="67"/>
      <c r="DL203" s="66"/>
      <c r="DM203" s="66"/>
      <c r="DN203" s="66"/>
      <c r="DO203" s="66"/>
      <c r="EB203" s="157"/>
      <c r="EC203" s="157"/>
      <c r="ED203" s="157"/>
      <c r="EF203" s="66"/>
      <c r="EG203" s="66"/>
      <c r="EH203" s="66"/>
    </row>
    <row r="204" spans="2:138" ht="21" hidden="1" customHeight="1">
      <c r="B204" s="523"/>
      <c r="C204" s="524"/>
      <c r="D204" s="524"/>
      <c r="E204" s="524"/>
      <c r="F204" s="525"/>
      <c r="G204" s="523"/>
      <c r="H204" s="524"/>
      <c r="I204" s="524"/>
      <c r="J204" s="524"/>
      <c r="K204" s="525"/>
      <c r="L204" s="523"/>
      <c r="M204" s="524"/>
      <c r="N204" s="524"/>
      <c r="O204" s="524"/>
      <c r="P204" s="524"/>
      <c r="Q204" s="524"/>
      <c r="R204" s="524"/>
      <c r="S204" s="524"/>
      <c r="T204" s="524"/>
      <c r="U204" s="525"/>
      <c r="V204" s="479" t="s">
        <v>19</v>
      </c>
      <c r="W204" s="544"/>
      <c r="X204" s="537" t="s">
        <v>15</v>
      </c>
      <c r="Y204" s="538"/>
      <c r="Z204" s="451">
        <f>SUM(AC204:CP204)</f>
        <v>0</v>
      </c>
      <c r="AA204" s="455"/>
      <c r="AB204" s="454"/>
      <c r="AC204" s="455"/>
      <c r="AD204" s="455"/>
      <c r="AE204" s="452"/>
      <c r="AF204" s="453"/>
      <c r="AG204" s="455"/>
      <c r="AH204" s="452"/>
      <c r="AI204" s="453"/>
      <c r="AJ204" s="455"/>
      <c r="AK204" s="452"/>
      <c r="AL204" s="453"/>
      <c r="AM204" s="455"/>
      <c r="AN204" s="452"/>
      <c r="AO204" s="453"/>
      <c r="AP204" s="455"/>
      <c r="AQ204" s="452"/>
      <c r="AR204" s="453"/>
      <c r="AS204" s="455"/>
      <c r="AT204" s="452"/>
      <c r="AU204" s="453"/>
      <c r="AV204" s="455"/>
      <c r="AW204" s="452"/>
      <c r="AX204" s="453"/>
      <c r="AY204" s="455"/>
      <c r="AZ204" s="452"/>
      <c r="BA204" s="453"/>
      <c r="BB204" s="455"/>
      <c r="BC204" s="452"/>
      <c r="BD204" s="453"/>
      <c r="BE204" s="455"/>
      <c r="BF204" s="452"/>
      <c r="BG204" s="453"/>
      <c r="BH204" s="455"/>
      <c r="BI204" s="452"/>
      <c r="BJ204" s="453"/>
      <c r="BK204" s="455"/>
      <c r="BL204" s="452"/>
      <c r="BM204" s="453"/>
      <c r="BN204" s="455"/>
      <c r="BO204" s="452"/>
      <c r="BP204" s="453"/>
      <c r="BQ204" s="455"/>
      <c r="BR204" s="452"/>
      <c r="BS204" s="453"/>
      <c r="BT204" s="455"/>
      <c r="BU204" s="452"/>
      <c r="BV204" s="453"/>
      <c r="BW204" s="455"/>
      <c r="BX204" s="452"/>
      <c r="BY204" s="453"/>
      <c r="BZ204" s="455"/>
      <c r="CA204" s="452"/>
      <c r="CB204" s="453"/>
      <c r="CC204" s="455"/>
      <c r="CD204" s="452"/>
      <c r="CE204" s="453"/>
      <c r="CF204" s="455"/>
      <c r="CG204" s="452"/>
      <c r="CH204" s="453"/>
      <c r="CI204" s="455"/>
      <c r="CJ204" s="452"/>
      <c r="CK204" s="453"/>
      <c r="CL204" s="455"/>
      <c r="CM204" s="452"/>
      <c r="CN204" s="453"/>
      <c r="CO204" s="455"/>
      <c r="CP204" s="452"/>
      <c r="DG204" s="67"/>
      <c r="DH204" s="67"/>
      <c r="DI204" s="67"/>
      <c r="DJ204" s="67"/>
      <c r="DL204" s="66"/>
      <c r="DM204" s="66"/>
      <c r="DN204" s="66"/>
      <c r="DO204" s="66"/>
      <c r="EB204" s="157"/>
      <c r="EC204" s="157"/>
      <c r="ED204" s="157"/>
      <c r="EF204" s="66"/>
      <c r="EG204" s="66"/>
      <c r="EH204" s="66"/>
    </row>
    <row r="205" spans="2:138" ht="21" hidden="1" customHeight="1">
      <c r="B205" s="526"/>
      <c r="C205" s="527"/>
      <c r="D205" s="527"/>
      <c r="E205" s="527"/>
      <c r="F205" s="528"/>
      <c r="G205" s="526"/>
      <c r="H205" s="527"/>
      <c r="I205" s="527"/>
      <c r="J205" s="527"/>
      <c r="K205" s="528"/>
      <c r="L205" s="526"/>
      <c r="M205" s="527"/>
      <c r="N205" s="527"/>
      <c r="O205" s="527"/>
      <c r="P205" s="527"/>
      <c r="Q205" s="527"/>
      <c r="R205" s="527"/>
      <c r="S205" s="527"/>
      <c r="T205" s="527"/>
      <c r="U205" s="528"/>
      <c r="V205" s="545"/>
      <c r="W205" s="546"/>
      <c r="X205" s="449" t="s">
        <v>16</v>
      </c>
      <c r="Y205" s="538"/>
      <c r="Z205" s="542">
        <f>SUM(AC205:CP205)</f>
        <v>0</v>
      </c>
      <c r="AA205" s="540"/>
      <c r="AB205" s="543"/>
      <c r="AC205" s="540"/>
      <c r="AD205" s="540"/>
      <c r="AE205" s="541"/>
      <c r="AF205" s="539"/>
      <c r="AG205" s="540"/>
      <c r="AH205" s="541"/>
      <c r="AI205" s="539"/>
      <c r="AJ205" s="540"/>
      <c r="AK205" s="541"/>
      <c r="AL205" s="539"/>
      <c r="AM205" s="540"/>
      <c r="AN205" s="541"/>
      <c r="AO205" s="539"/>
      <c r="AP205" s="540"/>
      <c r="AQ205" s="541"/>
      <c r="AR205" s="539"/>
      <c r="AS205" s="540"/>
      <c r="AT205" s="541"/>
      <c r="AU205" s="539"/>
      <c r="AV205" s="540"/>
      <c r="AW205" s="541"/>
      <c r="AX205" s="539"/>
      <c r="AY205" s="540"/>
      <c r="AZ205" s="541"/>
      <c r="BA205" s="539"/>
      <c r="BB205" s="540"/>
      <c r="BC205" s="541"/>
      <c r="BD205" s="539"/>
      <c r="BE205" s="540"/>
      <c r="BF205" s="541"/>
      <c r="BG205" s="539"/>
      <c r="BH205" s="540"/>
      <c r="BI205" s="541"/>
      <c r="BJ205" s="539"/>
      <c r="BK205" s="540"/>
      <c r="BL205" s="541"/>
      <c r="BM205" s="539"/>
      <c r="BN205" s="540"/>
      <c r="BO205" s="541"/>
      <c r="BP205" s="539"/>
      <c r="BQ205" s="540"/>
      <c r="BR205" s="541"/>
      <c r="BS205" s="539"/>
      <c r="BT205" s="540"/>
      <c r="BU205" s="541"/>
      <c r="BV205" s="539"/>
      <c r="BW205" s="540"/>
      <c r="BX205" s="541"/>
      <c r="BY205" s="539"/>
      <c r="BZ205" s="540"/>
      <c r="CA205" s="541"/>
      <c r="CB205" s="539"/>
      <c r="CC205" s="540"/>
      <c r="CD205" s="541"/>
      <c r="CE205" s="539"/>
      <c r="CF205" s="540"/>
      <c r="CG205" s="541"/>
      <c r="CH205" s="539"/>
      <c r="CI205" s="540"/>
      <c r="CJ205" s="541"/>
      <c r="CK205" s="539"/>
      <c r="CL205" s="540"/>
      <c r="CM205" s="541"/>
      <c r="CN205" s="539"/>
      <c r="CO205" s="540"/>
      <c r="CP205" s="541"/>
      <c r="DG205" s="67"/>
      <c r="DH205" s="67"/>
      <c r="DI205" s="67"/>
      <c r="DJ205" s="67"/>
      <c r="DL205" s="66"/>
      <c r="DM205" s="66"/>
      <c r="DN205" s="66"/>
      <c r="DO205" s="66"/>
      <c r="EB205" s="157"/>
      <c r="EC205" s="157"/>
      <c r="ED205" s="157"/>
      <c r="EF205" s="66"/>
      <c r="EG205" s="66"/>
      <c r="EH205" s="66"/>
    </row>
    <row r="206" spans="2:138" ht="21" hidden="1" customHeight="1">
      <c r="B206" s="222"/>
      <c r="C206" s="223"/>
      <c r="D206" s="223"/>
      <c r="E206" s="223"/>
      <c r="F206" s="224"/>
      <c r="G206" s="520"/>
      <c r="H206" s="521"/>
      <c r="I206" s="521"/>
      <c r="J206" s="521"/>
      <c r="K206" s="522"/>
      <c r="L206" s="520"/>
      <c r="M206" s="521"/>
      <c r="N206" s="521"/>
      <c r="O206" s="521"/>
      <c r="P206" s="521"/>
      <c r="Q206" s="521"/>
      <c r="R206" s="521"/>
      <c r="S206" s="521"/>
      <c r="T206" s="521"/>
      <c r="U206" s="522"/>
      <c r="V206" s="529" t="s">
        <v>18</v>
      </c>
      <c r="W206" s="530"/>
      <c r="X206" s="473" t="s">
        <v>15</v>
      </c>
      <c r="Y206" s="474"/>
      <c r="Z206" s="475">
        <f>SUM(AC206:CP206)</f>
        <v>0</v>
      </c>
      <c r="AA206" s="487"/>
      <c r="AB206" s="485"/>
      <c r="AC206" s="487"/>
      <c r="AD206" s="487"/>
      <c r="AE206" s="476"/>
      <c r="AF206" s="484"/>
      <c r="AG206" s="487"/>
      <c r="AH206" s="476"/>
      <c r="AI206" s="484"/>
      <c r="AJ206" s="487"/>
      <c r="AK206" s="476"/>
      <c r="AL206" s="484"/>
      <c r="AM206" s="487"/>
      <c r="AN206" s="476"/>
      <c r="AO206" s="484"/>
      <c r="AP206" s="487"/>
      <c r="AQ206" s="476"/>
      <c r="AR206" s="484"/>
      <c r="AS206" s="487"/>
      <c r="AT206" s="476"/>
      <c r="AU206" s="484"/>
      <c r="AV206" s="487"/>
      <c r="AW206" s="476"/>
      <c r="AX206" s="484"/>
      <c r="AY206" s="487"/>
      <c r="AZ206" s="476"/>
      <c r="BA206" s="484"/>
      <c r="BB206" s="487"/>
      <c r="BC206" s="476"/>
      <c r="BD206" s="484"/>
      <c r="BE206" s="487"/>
      <c r="BF206" s="476"/>
      <c r="BG206" s="484"/>
      <c r="BH206" s="487"/>
      <c r="BI206" s="476"/>
      <c r="BJ206" s="484"/>
      <c r="BK206" s="487"/>
      <c r="BL206" s="476"/>
      <c r="BM206" s="484"/>
      <c r="BN206" s="487"/>
      <c r="BO206" s="476"/>
      <c r="BP206" s="484"/>
      <c r="BQ206" s="487"/>
      <c r="BR206" s="476"/>
      <c r="BS206" s="484"/>
      <c r="BT206" s="487"/>
      <c r="BU206" s="476"/>
      <c r="BV206" s="484"/>
      <c r="BW206" s="487"/>
      <c r="BX206" s="476"/>
      <c r="BY206" s="484"/>
      <c r="BZ206" s="487"/>
      <c r="CA206" s="476"/>
      <c r="CB206" s="484"/>
      <c r="CC206" s="487"/>
      <c r="CD206" s="476"/>
      <c r="CE206" s="484"/>
      <c r="CF206" s="487"/>
      <c r="CG206" s="476"/>
      <c r="CH206" s="484"/>
      <c r="CI206" s="487"/>
      <c r="CJ206" s="476"/>
      <c r="CK206" s="484"/>
      <c r="CL206" s="487"/>
      <c r="CM206" s="476"/>
      <c r="CN206" s="484"/>
      <c r="CO206" s="487"/>
      <c r="CP206" s="476"/>
      <c r="DG206" s="67"/>
      <c r="DH206" s="67"/>
      <c r="DI206" s="67"/>
      <c r="DJ206" s="67"/>
      <c r="DL206" s="66"/>
      <c r="DM206" s="66"/>
      <c r="DN206" s="66"/>
      <c r="DO206" s="66"/>
      <c r="EB206" s="157"/>
      <c r="EC206" s="157"/>
      <c r="ED206" s="157"/>
      <c r="EF206" s="66"/>
      <c r="EG206" s="66"/>
      <c r="EH206" s="66"/>
    </row>
    <row r="207" spans="2:138" ht="21" hidden="1" customHeight="1">
      <c r="B207" s="269"/>
      <c r="C207" s="270"/>
      <c r="D207" s="270"/>
      <c r="E207" s="270"/>
      <c r="F207" s="271"/>
      <c r="G207" s="523"/>
      <c r="H207" s="524"/>
      <c r="I207" s="524"/>
      <c r="J207" s="524"/>
      <c r="K207" s="525"/>
      <c r="L207" s="523"/>
      <c r="M207" s="524"/>
      <c r="N207" s="524"/>
      <c r="O207" s="524"/>
      <c r="P207" s="524"/>
      <c r="Q207" s="524"/>
      <c r="R207" s="524"/>
      <c r="S207" s="524"/>
      <c r="T207" s="524"/>
      <c r="U207" s="525"/>
      <c r="V207" s="531"/>
      <c r="W207" s="532"/>
      <c r="X207" s="534" t="s">
        <v>16</v>
      </c>
      <c r="Y207" s="474"/>
      <c r="Z207" s="535">
        <f>SUM(AC207:CP207)</f>
        <v>0</v>
      </c>
      <c r="AA207" s="518"/>
      <c r="AB207" s="536"/>
      <c r="AC207" s="518"/>
      <c r="AD207" s="518"/>
      <c r="AE207" s="519"/>
      <c r="AF207" s="517"/>
      <c r="AG207" s="518"/>
      <c r="AH207" s="519"/>
      <c r="AI207" s="517"/>
      <c r="AJ207" s="518"/>
      <c r="AK207" s="519"/>
      <c r="AL207" s="517"/>
      <c r="AM207" s="518"/>
      <c r="AN207" s="519"/>
      <c r="AO207" s="517"/>
      <c r="AP207" s="518"/>
      <c r="AQ207" s="519"/>
      <c r="AR207" s="517"/>
      <c r="AS207" s="518"/>
      <c r="AT207" s="519"/>
      <c r="AU207" s="517"/>
      <c r="AV207" s="518"/>
      <c r="AW207" s="519"/>
      <c r="AX207" s="517"/>
      <c r="AY207" s="518"/>
      <c r="AZ207" s="519"/>
      <c r="BA207" s="517"/>
      <c r="BB207" s="518"/>
      <c r="BC207" s="519"/>
      <c r="BD207" s="517"/>
      <c r="BE207" s="518"/>
      <c r="BF207" s="519"/>
      <c r="BG207" s="517"/>
      <c r="BH207" s="518"/>
      <c r="BI207" s="519"/>
      <c r="BJ207" s="517"/>
      <c r="BK207" s="518"/>
      <c r="BL207" s="519"/>
      <c r="BM207" s="517"/>
      <c r="BN207" s="518"/>
      <c r="BO207" s="519"/>
      <c r="BP207" s="517"/>
      <c r="BQ207" s="518"/>
      <c r="BR207" s="519"/>
      <c r="BS207" s="517"/>
      <c r="BT207" s="518"/>
      <c r="BU207" s="519"/>
      <c r="BV207" s="517"/>
      <c r="BW207" s="518"/>
      <c r="BX207" s="519"/>
      <c r="BY207" s="517"/>
      <c r="BZ207" s="518"/>
      <c r="CA207" s="519"/>
      <c r="CB207" s="517"/>
      <c r="CC207" s="518"/>
      <c r="CD207" s="519"/>
      <c r="CE207" s="517"/>
      <c r="CF207" s="518"/>
      <c r="CG207" s="519"/>
      <c r="CH207" s="517"/>
      <c r="CI207" s="518"/>
      <c r="CJ207" s="519"/>
      <c r="CK207" s="517"/>
      <c r="CL207" s="518"/>
      <c r="CM207" s="519"/>
      <c r="CN207" s="517"/>
      <c r="CO207" s="518"/>
      <c r="CP207" s="519"/>
      <c r="DG207" s="67"/>
      <c r="DH207" s="67"/>
      <c r="DI207" s="67"/>
      <c r="DJ207" s="67"/>
      <c r="DL207" s="66"/>
      <c r="DM207" s="66"/>
      <c r="DN207" s="66"/>
      <c r="DO207" s="66"/>
      <c r="EB207" s="157"/>
      <c r="EC207" s="157"/>
      <c r="ED207" s="157"/>
      <c r="EF207" s="66"/>
      <c r="EG207" s="66"/>
      <c r="EH207" s="66"/>
    </row>
    <row r="208" spans="2:138" ht="21" hidden="1" customHeight="1">
      <c r="B208" s="269"/>
      <c r="C208" s="270"/>
      <c r="D208" s="270"/>
      <c r="E208" s="270"/>
      <c r="F208" s="271"/>
      <c r="G208" s="523"/>
      <c r="H208" s="524"/>
      <c r="I208" s="524"/>
      <c r="J208" s="524"/>
      <c r="K208" s="525"/>
      <c r="L208" s="523"/>
      <c r="M208" s="524"/>
      <c r="N208" s="524"/>
      <c r="O208" s="524"/>
      <c r="P208" s="524"/>
      <c r="Q208" s="524"/>
      <c r="R208" s="524"/>
      <c r="S208" s="524"/>
      <c r="T208" s="524"/>
      <c r="U208" s="525"/>
      <c r="V208" s="479" t="s">
        <v>19</v>
      </c>
      <c r="W208" s="544"/>
      <c r="X208" s="537" t="s">
        <v>15</v>
      </c>
      <c r="Y208" s="538"/>
      <c r="Z208" s="451">
        <f>SUM(AC208:CP208)</f>
        <v>0</v>
      </c>
      <c r="AA208" s="455"/>
      <c r="AB208" s="454"/>
      <c r="AC208" s="455"/>
      <c r="AD208" s="455"/>
      <c r="AE208" s="452"/>
      <c r="AF208" s="453"/>
      <c r="AG208" s="455"/>
      <c r="AH208" s="452"/>
      <c r="AI208" s="453"/>
      <c r="AJ208" s="455"/>
      <c r="AK208" s="452"/>
      <c r="AL208" s="453"/>
      <c r="AM208" s="455"/>
      <c r="AN208" s="452"/>
      <c r="AO208" s="453"/>
      <c r="AP208" s="455"/>
      <c r="AQ208" s="452"/>
      <c r="AR208" s="453"/>
      <c r="AS208" s="455"/>
      <c r="AT208" s="452"/>
      <c r="AU208" s="453"/>
      <c r="AV208" s="455"/>
      <c r="AW208" s="452"/>
      <c r="AX208" s="453"/>
      <c r="AY208" s="455"/>
      <c r="AZ208" s="452"/>
      <c r="BA208" s="453"/>
      <c r="BB208" s="455"/>
      <c r="BC208" s="452"/>
      <c r="BD208" s="453"/>
      <c r="BE208" s="455"/>
      <c r="BF208" s="452"/>
      <c r="BG208" s="453"/>
      <c r="BH208" s="455"/>
      <c r="BI208" s="452"/>
      <c r="BJ208" s="453"/>
      <c r="BK208" s="455"/>
      <c r="BL208" s="452"/>
      <c r="BM208" s="453"/>
      <c r="BN208" s="455"/>
      <c r="BO208" s="452"/>
      <c r="BP208" s="453"/>
      <c r="BQ208" s="455"/>
      <c r="BR208" s="452"/>
      <c r="BS208" s="453"/>
      <c r="BT208" s="455"/>
      <c r="BU208" s="452"/>
      <c r="BV208" s="453"/>
      <c r="BW208" s="455"/>
      <c r="BX208" s="452"/>
      <c r="BY208" s="453"/>
      <c r="BZ208" s="455"/>
      <c r="CA208" s="452"/>
      <c r="CB208" s="453"/>
      <c r="CC208" s="455"/>
      <c r="CD208" s="452"/>
      <c r="CE208" s="453"/>
      <c r="CF208" s="455"/>
      <c r="CG208" s="452"/>
      <c r="CH208" s="453"/>
      <c r="CI208" s="455"/>
      <c r="CJ208" s="452"/>
      <c r="CK208" s="453"/>
      <c r="CL208" s="455"/>
      <c r="CM208" s="452"/>
      <c r="CN208" s="453"/>
      <c r="CO208" s="455"/>
      <c r="CP208" s="452"/>
      <c r="DG208" s="67"/>
      <c r="DH208" s="67"/>
      <c r="DI208" s="67"/>
      <c r="DJ208" s="67"/>
      <c r="DL208" s="66"/>
      <c r="DM208" s="66"/>
      <c r="DN208" s="66"/>
      <c r="DO208" s="66"/>
      <c r="EB208" s="157"/>
      <c r="EC208" s="157"/>
      <c r="ED208" s="157"/>
      <c r="EF208" s="66"/>
      <c r="EG208" s="66"/>
      <c r="EH208" s="66"/>
    </row>
    <row r="209" spans="1:138" ht="21" hidden="1" customHeight="1">
      <c r="B209" s="231"/>
      <c r="C209" s="232"/>
      <c r="D209" s="232"/>
      <c r="E209" s="232"/>
      <c r="F209" s="233"/>
      <c r="G209" s="526"/>
      <c r="H209" s="527"/>
      <c r="I209" s="527"/>
      <c r="J209" s="527"/>
      <c r="K209" s="528"/>
      <c r="L209" s="526"/>
      <c r="M209" s="527"/>
      <c r="N209" s="527"/>
      <c r="O209" s="527"/>
      <c r="P209" s="527"/>
      <c r="Q209" s="527"/>
      <c r="R209" s="527"/>
      <c r="S209" s="527"/>
      <c r="T209" s="527"/>
      <c r="U209" s="528"/>
      <c r="V209" s="545"/>
      <c r="W209" s="546"/>
      <c r="X209" s="449" t="s">
        <v>16</v>
      </c>
      <c r="Y209" s="538"/>
      <c r="Z209" s="542">
        <f>SUM(AC209:CP209)</f>
        <v>0</v>
      </c>
      <c r="AA209" s="540"/>
      <c r="AB209" s="543"/>
      <c r="AC209" s="540"/>
      <c r="AD209" s="540"/>
      <c r="AE209" s="541"/>
      <c r="AF209" s="539"/>
      <c r="AG209" s="540"/>
      <c r="AH209" s="541"/>
      <c r="AI209" s="539"/>
      <c r="AJ209" s="540"/>
      <c r="AK209" s="541"/>
      <c r="AL209" s="539"/>
      <c r="AM209" s="540"/>
      <c r="AN209" s="541"/>
      <c r="AO209" s="539"/>
      <c r="AP209" s="540"/>
      <c r="AQ209" s="541"/>
      <c r="AR209" s="539"/>
      <c r="AS209" s="540"/>
      <c r="AT209" s="541"/>
      <c r="AU209" s="539"/>
      <c r="AV209" s="540"/>
      <c r="AW209" s="541"/>
      <c r="AX209" s="539"/>
      <c r="AY209" s="540"/>
      <c r="AZ209" s="541"/>
      <c r="BA209" s="539"/>
      <c r="BB209" s="540"/>
      <c r="BC209" s="541"/>
      <c r="BD209" s="539"/>
      <c r="BE209" s="540"/>
      <c r="BF209" s="541"/>
      <c r="BG209" s="539"/>
      <c r="BH209" s="540"/>
      <c r="BI209" s="541"/>
      <c r="BJ209" s="539"/>
      <c r="BK209" s="540"/>
      <c r="BL209" s="541"/>
      <c r="BM209" s="539"/>
      <c r="BN209" s="540"/>
      <c r="BO209" s="541"/>
      <c r="BP209" s="539"/>
      <c r="BQ209" s="540"/>
      <c r="BR209" s="541"/>
      <c r="BS209" s="539"/>
      <c r="BT209" s="540"/>
      <c r="BU209" s="541"/>
      <c r="BV209" s="539"/>
      <c r="BW209" s="540"/>
      <c r="BX209" s="541"/>
      <c r="BY209" s="539"/>
      <c r="BZ209" s="540"/>
      <c r="CA209" s="541"/>
      <c r="CB209" s="539"/>
      <c r="CC209" s="540"/>
      <c r="CD209" s="541"/>
      <c r="CE209" s="539"/>
      <c r="CF209" s="540"/>
      <c r="CG209" s="541"/>
      <c r="CH209" s="539"/>
      <c r="CI209" s="540"/>
      <c r="CJ209" s="541"/>
      <c r="CK209" s="539"/>
      <c r="CL209" s="540"/>
      <c r="CM209" s="541"/>
      <c r="CN209" s="539"/>
      <c r="CO209" s="540"/>
      <c r="CP209" s="541"/>
      <c r="DG209" s="67"/>
      <c r="DH209" s="67"/>
      <c r="DI209" s="67"/>
      <c r="DJ209" s="67"/>
      <c r="DL209" s="66"/>
      <c r="DM209" s="66"/>
      <c r="DN209" s="66"/>
      <c r="DO209" s="66"/>
      <c r="EB209" s="157"/>
      <c r="EC209" s="157"/>
      <c r="ED209" s="157"/>
      <c r="EF209" s="66"/>
      <c r="EG209" s="66"/>
      <c r="EH209" s="66"/>
    </row>
    <row r="210" spans="1:138" ht="21" hidden="1" customHeight="1">
      <c r="B210" s="222"/>
      <c r="C210" s="223"/>
      <c r="D210" s="223"/>
      <c r="E210" s="223"/>
      <c r="F210" s="224"/>
      <c r="G210" s="520"/>
      <c r="H210" s="521"/>
      <c r="I210" s="521"/>
      <c r="J210" s="521"/>
      <c r="K210" s="522"/>
      <c r="L210" s="520"/>
      <c r="M210" s="521"/>
      <c r="N210" s="521"/>
      <c r="O210" s="521"/>
      <c r="P210" s="521"/>
      <c r="Q210" s="521"/>
      <c r="R210" s="521"/>
      <c r="S210" s="521"/>
      <c r="T210" s="521"/>
      <c r="U210" s="522"/>
      <c r="V210" s="529" t="s">
        <v>18</v>
      </c>
      <c r="W210" s="530"/>
      <c r="X210" s="473" t="s">
        <v>15</v>
      </c>
      <c r="Y210" s="474"/>
      <c r="Z210" s="475">
        <f>SUM(AC210:CP210)</f>
        <v>0</v>
      </c>
      <c r="AA210" s="487"/>
      <c r="AB210" s="485"/>
      <c r="AC210" s="487"/>
      <c r="AD210" s="487"/>
      <c r="AE210" s="476"/>
      <c r="AF210" s="484"/>
      <c r="AG210" s="487"/>
      <c r="AH210" s="476"/>
      <c r="AI210" s="484"/>
      <c r="AJ210" s="487"/>
      <c r="AK210" s="476"/>
      <c r="AL210" s="484"/>
      <c r="AM210" s="487"/>
      <c r="AN210" s="476"/>
      <c r="AO210" s="484"/>
      <c r="AP210" s="487"/>
      <c r="AQ210" s="476"/>
      <c r="AR210" s="484"/>
      <c r="AS210" s="487"/>
      <c r="AT210" s="476"/>
      <c r="AU210" s="484"/>
      <c r="AV210" s="487"/>
      <c r="AW210" s="476"/>
      <c r="AX210" s="484"/>
      <c r="AY210" s="487"/>
      <c r="AZ210" s="476"/>
      <c r="BA210" s="484"/>
      <c r="BB210" s="487"/>
      <c r="BC210" s="476"/>
      <c r="BD210" s="484"/>
      <c r="BE210" s="487"/>
      <c r="BF210" s="476"/>
      <c r="BG210" s="484"/>
      <c r="BH210" s="487"/>
      <c r="BI210" s="476"/>
      <c r="BJ210" s="484"/>
      <c r="BK210" s="487"/>
      <c r="BL210" s="476"/>
      <c r="BM210" s="484"/>
      <c r="BN210" s="487"/>
      <c r="BO210" s="476"/>
      <c r="BP210" s="484"/>
      <c r="BQ210" s="487"/>
      <c r="BR210" s="476"/>
      <c r="BS210" s="484"/>
      <c r="BT210" s="487"/>
      <c r="BU210" s="476"/>
      <c r="BV210" s="484"/>
      <c r="BW210" s="487"/>
      <c r="BX210" s="476"/>
      <c r="BY210" s="484"/>
      <c r="BZ210" s="487"/>
      <c r="CA210" s="476"/>
      <c r="CB210" s="484"/>
      <c r="CC210" s="487"/>
      <c r="CD210" s="476"/>
      <c r="CE210" s="484"/>
      <c r="CF210" s="487"/>
      <c r="CG210" s="476"/>
      <c r="CH210" s="484"/>
      <c r="CI210" s="487"/>
      <c r="CJ210" s="476"/>
      <c r="CK210" s="484"/>
      <c r="CL210" s="487"/>
      <c r="CM210" s="476"/>
      <c r="CN210" s="484"/>
      <c r="CO210" s="487"/>
      <c r="CP210" s="476"/>
      <c r="DG210" s="67"/>
      <c r="DH210" s="67"/>
      <c r="DI210" s="67"/>
      <c r="DJ210" s="67"/>
      <c r="DL210" s="66"/>
      <c r="DM210" s="66"/>
      <c r="DN210" s="66"/>
      <c r="DO210" s="66"/>
      <c r="EB210" s="157"/>
      <c r="EC210" s="157"/>
      <c r="ED210" s="157"/>
      <c r="EF210" s="66"/>
      <c r="EG210" s="66"/>
      <c r="EH210" s="66"/>
    </row>
    <row r="211" spans="1:138" ht="21" hidden="1" customHeight="1">
      <c r="B211" s="269"/>
      <c r="C211" s="270"/>
      <c r="D211" s="270"/>
      <c r="E211" s="270"/>
      <c r="F211" s="271"/>
      <c r="G211" s="523"/>
      <c r="H211" s="524"/>
      <c r="I211" s="524"/>
      <c r="J211" s="524"/>
      <c r="K211" s="525"/>
      <c r="L211" s="523"/>
      <c r="M211" s="524"/>
      <c r="N211" s="524"/>
      <c r="O211" s="524"/>
      <c r="P211" s="524"/>
      <c r="Q211" s="524"/>
      <c r="R211" s="524"/>
      <c r="S211" s="524"/>
      <c r="T211" s="524"/>
      <c r="U211" s="525"/>
      <c r="V211" s="531"/>
      <c r="W211" s="532"/>
      <c r="X211" s="534" t="s">
        <v>16</v>
      </c>
      <c r="Y211" s="474"/>
      <c r="Z211" s="535">
        <f>SUM(AC211:CP211)</f>
        <v>0</v>
      </c>
      <c r="AA211" s="518"/>
      <c r="AB211" s="536"/>
      <c r="AC211" s="518"/>
      <c r="AD211" s="518"/>
      <c r="AE211" s="519"/>
      <c r="AF211" s="517"/>
      <c r="AG211" s="518"/>
      <c r="AH211" s="519"/>
      <c r="AI211" s="517"/>
      <c r="AJ211" s="518"/>
      <c r="AK211" s="519"/>
      <c r="AL211" s="517"/>
      <c r="AM211" s="518"/>
      <c r="AN211" s="519"/>
      <c r="AO211" s="517"/>
      <c r="AP211" s="518"/>
      <c r="AQ211" s="519"/>
      <c r="AR211" s="517"/>
      <c r="AS211" s="518"/>
      <c r="AT211" s="519"/>
      <c r="AU211" s="517"/>
      <c r="AV211" s="518"/>
      <c r="AW211" s="519"/>
      <c r="AX211" s="517"/>
      <c r="AY211" s="518"/>
      <c r="AZ211" s="519"/>
      <c r="BA211" s="517"/>
      <c r="BB211" s="518"/>
      <c r="BC211" s="519"/>
      <c r="BD211" s="517"/>
      <c r="BE211" s="518"/>
      <c r="BF211" s="519"/>
      <c r="BG211" s="517"/>
      <c r="BH211" s="518"/>
      <c r="BI211" s="519"/>
      <c r="BJ211" s="517"/>
      <c r="BK211" s="518"/>
      <c r="BL211" s="519"/>
      <c r="BM211" s="517"/>
      <c r="BN211" s="518"/>
      <c r="BO211" s="519"/>
      <c r="BP211" s="517"/>
      <c r="BQ211" s="518"/>
      <c r="BR211" s="519"/>
      <c r="BS211" s="517"/>
      <c r="BT211" s="518"/>
      <c r="BU211" s="519"/>
      <c r="BV211" s="517"/>
      <c r="BW211" s="518"/>
      <c r="BX211" s="519"/>
      <c r="BY211" s="517"/>
      <c r="BZ211" s="518"/>
      <c r="CA211" s="519"/>
      <c r="CB211" s="517"/>
      <c r="CC211" s="518"/>
      <c r="CD211" s="519"/>
      <c r="CE211" s="517"/>
      <c r="CF211" s="518"/>
      <c r="CG211" s="519"/>
      <c r="CH211" s="517"/>
      <c r="CI211" s="518"/>
      <c r="CJ211" s="519"/>
      <c r="CK211" s="517"/>
      <c r="CL211" s="518"/>
      <c r="CM211" s="519"/>
      <c r="CN211" s="517"/>
      <c r="CO211" s="518"/>
      <c r="CP211" s="519"/>
      <c r="DG211" s="67"/>
      <c r="DH211" s="67"/>
      <c r="DI211" s="67"/>
      <c r="DJ211" s="67"/>
      <c r="DL211" s="66"/>
      <c r="DM211" s="66"/>
      <c r="DN211" s="66"/>
      <c r="DO211" s="66"/>
      <c r="EB211" s="157"/>
      <c r="EC211" s="157"/>
      <c r="ED211" s="157"/>
      <c r="EF211" s="66"/>
      <c r="EG211" s="66"/>
      <c r="EH211" s="66"/>
    </row>
    <row r="212" spans="1:138" ht="21" hidden="1" customHeight="1">
      <c r="B212" s="269"/>
      <c r="C212" s="270"/>
      <c r="D212" s="270"/>
      <c r="E212" s="270"/>
      <c r="F212" s="271"/>
      <c r="G212" s="523"/>
      <c r="H212" s="524"/>
      <c r="I212" s="524"/>
      <c r="J212" s="524"/>
      <c r="K212" s="525"/>
      <c r="L212" s="523"/>
      <c r="M212" s="524"/>
      <c r="N212" s="524"/>
      <c r="O212" s="524"/>
      <c r="P212" s="524"/>
      <c r="Q212" s="524"/>
      <c r="R212" s="524"/>
      <c r="S212" s="524"/>
      <c r="T212" s="524"/>
      <c r="U212" s="525"/>
      <c r="V212" s="479" t="s">
        <v>19</v>
      </c>
      <c r="W212" s="544"/>
      <c r="X212" s="537" t="s">
        <v>15</v>
      </c>
      <c r="Y212" s="538"/>
      <c r="Z212" s="451">
        <f>SUM(AC212:CP212)</f>
        <v>0</v>
      </c>
      <c r="AA212" s="455"/>
      <c r="AB212" s="454"/>
      <c r="AC212" s="455"/>
      <c r="AD212" s="455"/>
      <c r="AE212" s="452"/>
      <c r="AF212" s="453"/>
      <c r="AG212" s="455"/>
      <c r="AH212" s="452"/>
      <c r="AI212" s="453"/>
      <c r="AJ212" s="455"/>
      <c r="AK212" s="452"/>
      <c r="AL212" s="453"/>
      <c r="AM212" s="455"/>
      <c r="AN212" s="452"/>
      <c r="AO212" s="453"/>
      <c r="AP212" s="455"/>
      <c r="AQ212" s="452"/>
      <c r="AR212" s="453"/>
      <c r="AS212" s="455"/>
      <c r="AT212" s="452"/>
      <c r="AU212" s="453"/>
      <c r="AV212" s="455"/>
      <c r="AW212" s="452"/>
      <c r="AX212" s="453"/>
      <c r="AY212" s="455"/>
      <c r="AZ212" s="452"/>
      <c r="BA212" s="453"/>
      <c r="BB212" s="455"/>
      <c r="BC212" s="452"/>
      <c r="BD212" s="453"/>
      <c r="BE212" s="455"/>
      <c r="BF212" s="452"/>
      <c r="BG212" s="453"/>
      <c r="BH212" s="455"/>
      <c r="BI212" s="452"/>
      <c r="BJ212" s="453"/>
      <c r="BK212" s="455"/>
      <c r="BL212" s="452"/>
      <c r="BM212" s="453"/>
      <c r="BN212" s="455"/>
      <c r="BO212" s="452"/>
      <c r="BP212" s="453"/>
      <c r="BQ212" s="455"/>
      <c r="BR212" s="452"/>
      <c r="BS212" s="453"/>
      <c r="BT212" s="455"/>
      <c r="BU212" s="452"/>
      <c r="BV212" s="453"/>
      <c r="BW212" s="455"/>
      <c r="BX212" s="452"/>
      <c r="BY212" s="453"/>
      <c r="BZ212" s="455"/>
      <c r="CA212" s="452"/>
      <c r="CB212" s="453"/>
      <c r="CC212" s="455"/>
      <c r="CD212" s="452"/>
      <c r="CE212" s="453"/>
      <c r="CF212" s="455"/>
      <c r="CG212" s="452"/>
      <c r="CH212" s="453"/>
      <c r="CI212" s="455"/>
      <c r="CJ212" s="452"/>
      <c r="CK212" s="453"/>
      <c r="CL212" s="455"/>
      <c r="CM212" s="452"/>
      <c r="CN212" s="453"/>
      <c r="CO212" s="455"/>
      <c r="CP212" s="452"/>
      <c r="DG212" s="67"/>
      <c r="DH212" s="67"/>
      <c r="DI212" s="67"/>
      <c r="DJ212" s="67"/>
      <c r="DL212" s="66"/>
      <c r="DM212" s="66"/>
      <c r="DN212" s="66"/>
      <c r="DO212" s="66"/>
      <c r="EB212" s="157"/>
      <c r="EC212" s="157"/>
      <c r="ED212" s="157"/>
      <c r="EF212" s="66"/>
      <c r="EG212" s="66"/>
      <c r="EH212" s="66"/>
    </row>
    <row r="213" spans="1:138" ht="21" hidden="1" customHeight="1">
      <c r="B213" s="231"/>
      <c r="C213" s="232"/>
      <c r="D213" s="232"/>
      <c r="E213" s="232"/>
      <c r="F213" s="233"/>
      <c r="G213" s="526"/>
      <c r="H213" s="527"/>
      <c r="I213" s="527"/>
      <c r="J213" s="527"/>
      <c r="K213" s="528"/>
      <c r="L213" s="526"/>
      <c r="M213" s="527"/>
      <c r="N213" s="527"/>
      <c r="O213" s="527"/>
      <c r="P213" s="527"/>
      <c r="Q213" s="527"/>
      <c r="R213" s="527"/>
      <c r="S213" s="527"/>
      <c r="T213" s="527"/>
      <c r="U213" s="528"/>
      <c r="V213" s="545"/>
      <c r="W213" s="546"/>
      <c r="X213" s="449" t="s">
        <v>16</v>
      </c>
      <c r="Y213" s="538"/>
      <c r="Z213" s="542">
        <f>SUM(AC213:CP213)</f>
        <v>0</v>
      </c>
      <c r="AA213" s="540"/>
      <c r="AB213" s="543"/>
      <c r="AC213" s="540"/>
      <c r="AD213" s="540"/>
      <c r="AE213" s="541"/>
      <c r="AF213" s="539"/>
      <c r="AG213" s="540"/>
      <c r="AH213" s="541"/>
      <c r="AI213" s="539"/>
      <c r="AJ213" s="540"/>
      <c r="AK213" s="541"/>
      <c r="AL213" s="539"/>
      <c r="AM213" s="540"/>
      <c r="AN213" s="541"/>
      <c r="AO213" s="539"/>
      <c r="AP213" s="540"/>
      <c r="AQ213" s="541"/>
      <c r="AR213" s="539"/>
      <c r="AS213" s="540"/>
      <c r="AT213" s="541"/>
      <c r="AU213" s="539"/>
      <c r="AV213" s="540"/>
      <c r="AW213" s="541"/>
      <c r="AX213" s="539"/>
      <c r="AY213" s="540"/>
      <c r="AZ213" s="541"/>
      <c r="BA213" s="539"/>
      <c r="BB213" s="540"/>
      <c r="BC213" s="541"/>
      <c r="BD213" s="539"/>
      <c r="BE213" s="540"/>
      <c r="BF213" s="541"/>
      <c r="BG213" s="539"/>
      <c r="BH213" s="540"/>
      <c r="BI213" s="541"/>
      <c r="BJ213" s="539"/>
      <c r="BK213" s="540"/>
      <c r="BL213" s="541"/>
      <c r="BM213" s="539"/>
      <c r="BN213" s="540"/>
      <c r="BO213" s="541"/>
      <c r="BP213" s="539"/>
      <c r="BQ213" s="540"/>
      <c r="BR213" s="541"/>
      <c r="BS213" s="539"/>
      <c r="BT213" s="540"/>
      <c r="BU213" s="541"/>
      <c r="BV213" s="539"/>
      <c r="BW213" s="540"/>
      <c r="BX213" s="541"/>
      <c r="BY213" s="539"/>
      <c r="BZ213" s="540"/>
      <c r="CA213" s="541"/>
      <c r="CB213" s="539"/>
      <c r="CC213" s="540"/>
      <c r="CD213" s="541"/>
      <c r="CE213" s="539"/>
      <c r="CF213" s="540"/>
      <c r="CG213" s="541"/>
      <c r="CH213" s="539"/>
      <c r="CI213" s="540"/>
      <c r="CJ213" s="541"/>
      <c r="CK213" s="539"/>
      <c r="CL213" s="540"/>
      <c r="CM213" s="541"/>
      <c r="CN213" s="539"/>
      <c r="CO213" s="540"/>
      <c r="CP213" s="541"/>
      <c r="DG213" s="67"/>
      <c r="DH213" s="67"/>
      <c r="DI213" s="67"/>
      <c r="DJ213" s="67"/>
      <c r="DL213" s="66"/>
      <c r="DM213" s="66"/>
      <c r="DN213" s="66"/>
      <c r="DO213" s="66"/>
      <c r="EB213" s="157"/>
      <c r="EC213" s="157"/>
      <c r="ED213" s="157"/>
      <c r="EF213" s="66"/>
      <c r="EG213" s="66"/>
      <c r="EH213" s="66"/>
    </row>
    <row r="214" spans="1:138" ht="21" hidden="1" customHeight="1">
      <c r="B214" s="222"/>
      <c r="C214" s="223"/>
      <c r="D214" s="223"/>
      <c r="E214" s="223"/>
      <c r="F214" s="224"/>
      <c r="G214" s="520"/>
      <c r="H214" s="521"/>
      <c r="I214" s="521"/>
      <c r="J214" s="521"/>
      <c r="K214" s="522"/>
      <c r="L214" s="520"/>
      <c r="M214" s="521"/>
      <c r="N214" s="521"/>
      <c r="O214" s="521"/>
      <c r="P214" s="521"/>
      <c r="Q214" s="521"/>
      <c r="R214" s="521"/>
      <c r="S214" s="521"/>
      <c r="T214" s="521"/>
      <c r="U214" s="522"/>
      <c r="V214" s="529" t="s">
        <v>18</v>
      </c>
      <c r="W214" s="530"/>
      <c r="X214" s="473" t="s">
        <v>15</v>
      </c>
      <c r="Y214" s="474"/>
      <c r="Z214" s="475">
        <f>SUM(AC214:CP214)</f>
        <v>0</v>
      </c>
      <c r="AA214" s="487"/>
      <c r="AB214" s="485"/>
      <c r="AC214" s="487"/>
      <c r="AD214" s="487"/>
      <c r="AE214" s="476"/>
      <c r="AF214" s="484"/>
      <c r="AG214" s="487"/>
      <c r="AH214" s="476"/>
      <c r="AI214" s="484"/>
      <c r="AJ214" s="487"/>
      <c r="AK214" s="476"/>
      <c r="AL214" s="484"/>
      <c r="AM214" s="487"/>
      <c r="AN214" s="476"/>
      <c r="AO214" s="484"/>
      <c r="AP214" s="487"/>
      <c r="AQ214" s="476"/>
      <c r="AR214" s="484"/>
      <c r="AS214" s="487"/>
      <c r="AT214" s="476"/>
      <c r="AU214" s="484"/>
      <c r="AV214" s="487"/>
      <c r="AW214" s="476"/>
      <c r="AX214" s="484"/>
      <c r="AY214" s="487"/>
      <c r="AZ214" s="476"/>
      <c r="BA214" s="484"/>
      <c r="BB214" s="487"/>
      <c r="BC214" s="476"/>
      <c r="BD214" s="484"/>
      <c r="BE214" s="487"/>
      <c r="BF214" s="476"/>
      <c r="BG214" s="484"/>
      <c r="BH214" s="487"/>
      <c r="BI214" s="476"/>
      <c r="BJ214" s="484"/>
      <c r="BK214" s="487"/>
      <c r="BL214" s="476"/>
      <c r="BM214" s="484"/>
      <c r="BN214" s="487"/>
      <c r="BO214" s="476"/>
      <c r="BP214" s="484"/>
      <c r="BQ214" s="487"/>
      <c r="BR214" s="476"/>
      <c r="BS214" s="484"/>
      <c r="BT214" s="487"/>
      <c r="BU214" s="476"/>
      <c r="BV214" s="484"/>
      <c r="BW214" s="487"/>
      <c r="BX214" s="476"/>
      <c r="BY214" s="484"/>
      <c r="BZ214" s="487"/>
      <c r="CA214" s="476"/>
      <c r="CB214" s="484"/>
      <c r="CC214" s="487"/>
      <c r="CD214" s="476"/>
      <c r="CE214" s="484"/>
      <c r="CF214" s="487"/>
      <c r="CG214" s="476"/>
      <c r="CH214" s="484"/>
      <c r="CI214" s="487"/>
      <c r="CJ214" s="476"/>
      <c r="CK214" s="484"/>
      <c r="CL214" s="487"/>
      <c r="CM214" s="476"/>
      <c r="CN214" s="484"/>
      <c r="CO214" s="487"/>
      <c r="CP214" s="476"/>
      <c r="DG214" s="67"/>
      <c r="DH214" s="67"/>
      <c r="DI214" s="67"/>
      <c r="DJ214" s="67"/>
      <c r="DL214" s="66"/>
      <c r="DM214" s="66"/>
      <c r="DN214" s="66"/>
      <c r="DO214" s="66"/>
      <c r="EB214" s="157"/>
      <c r="EC214" s="157"/>
      <c r="ED214" s="157"/>
      <c r="EF214" s="66"/>
      <c r="EG214" s="66"/>
      <c r="EH214" s="66"/>
    </row>
    <row r="215" spans="1:138" ht="21" hidden="1" customHeight="1">
      <c r="B215" s="269"/>
      <c r="C215" s="270"/>
      <c r="D215" s="270"/>
      <c r="E215" s="270"/>
      <c r="F215" s="271"/>
      <c r="G215" s="523"/>
      <c r="H215" s="524"/>
      <c r="I215" s="524"/>
      <c r="J215" s="524"/>
      <c r="K215" s="525"/>
      <c r="L215" s="523"/>
      <c r="M215" s="524"/>
      <c r="N215" s="524"/>
      <c r="O215" s="524"/>
      <c r="P215" s="524"/>
      <c r="Q215" s="524"/>
      <c r="R215" s="524"/>
      <c r="S215" s="524"/>
      <c r="T215" s="524"/>
      <c r="U215" s="525"/>
      <c r="V215" s="531"/>
      <c r="W215" s="532"/>
      <c r="X215" s="534" t="s">
        <v>16</v>
      </c>
      <c r="Y215" s="474"/>
      <c r="Z215" s="535">
        <f>SUM(AC215:CP215)</f>
        <v>0</v>
      </c>
      <c r="AA215" s="518"/>
      <c r="AB215" s="536"/>
      <c r="AC215" s="518"/>
      <c r="AD215" s="518"/>
      <c r="AE215" s="519"/>
      <c r="AF215" s="517"/>
      <c r="AG215" s="518"/>
      <c r="AH215" s="519"/>
      <c r="AI215" s="517"/>
      <c r="AJ215" s="518"/>
      <c r="AK215" s="519"/>
      <c r="AL215" s="517"/>
      <c r="AM215" s="518"/>
      <c r="AN215" s="519"/>
      <c r="AO215" s="517"/>
      <c r="AP215" s="518"/>
      <c r="AQ215" s="519"/>
      <c r="AR215" s="517"/>
      <c r="AS215" s="518"/>
      <c r="AT215" s="519"/>
      <c r="AU215" s="517"/>
      <c r="AV215" s="518"/>
      <c r="AW215" s="519"/>
      <c r="AX215" s="517"/>
      <c r="AY215" s="518"/>
      <c r="AZ215" s="519"/>
      <c r="BA215" s="517"/>
      <c r="BB215" s="518"/>
      <c r="BC215" s="519"/>
      <c r="BD215" s="517"/>
      <c r="BE215" s="518"/>
      <c r="BF215" s="519"/>
      <c r="BG215" s="517"/>
      <c r="BH215" s="518"/>
      <c r="BI215" s="519"/>
      <c r="BJ215" s="517"/>
      <c r="BK215" s="518"/>
      <c r="BL215" s="519"/>
      <c r="BM215" s="517"/>
      <c r="BN215" s="518"/>
      <c r="BO215" s="519"/>
      <c r="BP215" s="517"/>
      <c r="BQ215" s="518"/>
      <c r="BR215" s="519"/>
      <c r="BS215" s="517"/>
      <c r="BT215" s="518"/>
      <c r="BU215" s="519"/>
      <c r="BV215" s="517"/>
      <c r="BW215" s="518"/>
      <c r="BX215" s="519"/>
      <c r="BY215" s="517"/>
      <c r="BZ215" s="518"/>
      <c r="CA215" s="519"/>
      <c r="CB215" s="517"/>
      <c r="CC215" s="518"/>
      <c r="CD215" s="519"/>
      <c r="CE215" s="517"/>
      <c r="CF215" s="518"/>
      <c r="CG215" s="519"/>
      <c r="CH215" s="517"/>
      <c r="CI215" s="518"/>
      <c r="CJ215" s="519"/>
      <c r="CK215" s="517"/>
      <c r="CL215" s="518"/>
      <c r="CM215" s="519"/>
      <c r="CN215" s="517"/>
      <c r="CO215" s="518"/>
      <c r="CP215" s="519"/>
      <c r="DG215" s="67"/>
      <c r="DH215" s="67"/>
      <c r="DI215" s="67"/>
      <c r="DJ215" s="67"/>
      <c r="DL215" s="66"/>
      <c r="DM215" s="66"/>
      <c r="DN215" s="66"/>
      <c r="DO215" s="66"/>
      <c r="EB215" s="157"/>
      <c r="EC215" s="157"/>
      <c r="ED215" s="157"/>
      <c r="EF215" s="66"/>
      <c r="EG215" s="66"/>
      <c r="EH215" s="66"/>
    </row>
    <row r="216" spans="1:138" ht="21" hidden="1" customHeight="1">
      <c r="B216" s="269"/>
      <c r="C216" s="270"/>
      <c r="D216" s="270"/>
      <c r="E216" s="270"/>
      <c r="F216" s="271"/>
      <c r="G216" s="523"/>
      <c r="H216" s="524"/>
      <c r="I216" s="524"/>
      <c r="J216" s="524"/>
      <c r="K216" s="525"/>
      <c r="L216" s="523"/>
      <c r="M216" s="524"/>
      <c r="N216" s="524"/>
      <c r="O216" s="524"/>
      <c r="P216" s="524"/>
      <c r="Q216" s="524"/>
      <c r="R216" s="524"/>
      <c r="S216" s="524"/>
      <c r="T216" s="524"/>
      <c r="U216" s="525"/>
      <c r="V216" s="479" t="s">
        <v>19</v>
      </c>
      <c r="W216" s="544"/>
      <c r="X216" s="537" t="s">
        <v>15</v>
      </c>
      <c r="Y216" s="538"/>
      <c r="Z216" s="451">
        <f>SUM(AC216:CP216)</f>
        <v>0</v>
      </c>
      <c r="AA216" s="455"/>
      <c r="AB216" s="454"/>
      <c r="AC216" s="455"/>
      <c r="AD216" s="455"/>
      <c r="AE216" s="452"/>
      <c r="AF216" s="453"/>
      <c r="AG216" s="455"/>
      <c r="AH216" s="452"/>
      <c r="AI216" s="453"/>
      <c r="AJ216" s="455"/>
      <c r="AK216" s="452"/>
      <c r="AL216" s="453"/>
      <c r="AM216" s="455"/>
      <c r="AN216" s="452"/>
      <c r="AO216" s="453"/>
      <c r="AP216" s="455"/>
      <c r="AQ216" s="452"/>
      <c r="AR216" s="453"/>
      <c r="AS216" s="455"/>
      <c r="AT216" s="452"/>
      <c r="AU216" s="453"/>
      <c r="AV216" s="455"/>
      <c r="AW216" s="452"/>
      <c r="AX216" s="453"/>
      <c r="AY216" s="455"/>
      <c r="AZ216" s="452"/>
      <c r="BA216" s="453"/>
      <c r="BB216" s="455"/>
      <c r="BC216" s="452"/>
      <c r="BD216" s="453"/>
      <c r="BE216" s="455"/>
      <c r="BF216" s="452"/>
      <c r="BG216" s="453"/>
      <c r="BH216" s="455"/>
      <c r="BI216" s="452"/>
      <c r="BJ216" s="453"/>
      <c r="BK216" s="455"/>
      <c r="BL216" s="452"/>
      <c r="BM216" s="453"/>
      <c r="BN216" s="455"/>
      <c r="BO216" s="452"/>
      <c r="BP216" s="453"/>
      <c r="BQ216" s="455"/>
      <c r="BR216" s="452"/>
      <c r="BS216" s="453"/>
      <c r="BT216" s="455"/>
      <c r="BU216" s="452"/>
      <c r="BV216" s="453"/>
      <c r="BW216" s="455"/>
      <c r="BX216" s="452"/>
      <c r="BY216" s="453"/>
      <c r="BZ216" s="455"/>
      <c r="CA216" s="452"/>
      <c r="CB216" s="453"/>
      <c r="CC216" s="455"/>
      <c r="CD216" s="452"/>
      <c r="CE216" s="453"/>
      <c r="CF216" s="455"/>
      <c r="CG216" s="452"/>
      <c r="CH216" s="453"/>
      <c r="CI216" s="455"/>
      <c r="CJ216" s="452"/>
      <c r="CK216" s="453"/>
      <c r="CL216" s="455"/>
      <c r="CM216" s="452"/>
      <c r="CN216" s="453"/>
      <c r="CO216" s="455"/>
      <c r="CP216" s="452"/>
      <c r="DG216" s="67"/>
      <c r="DH216" s="67"/>
      <c r="DI216" s="67"/>
      <c r="DJ216" s="67"/>
      <c r="DL216" s="66"/>
      <c r="DM216" s="66"/>
      <c r="DN216" s="66"/>
      <c r="DO216" s="66"/>
      <c r="EB216" s="157"/>
      <c r="EC216" s="157"/>
      <c r="ED216" s="157"/>
      <c r="EF216" s="66"/>
      <c r="EG216" s="66"/>
      <c r="EH216" s="66"/>
    </row>
    <row r="217" spans="1:138" ht="21" hidden="1" customHeight="1">
      <c r="B217" s="231"/>
      <c r="C217" s="232"/>
      <c r="D217" s="232"/>
      <c r="E217" s="232"/>
      <c r="F217" s="233"/>
      <c r="G217" s="526"/>
      <c r="H217" s="527"/>
      <c r="I217" s="527"/>
      <c r="J217" s="527"/>
      <c r="K217" s="528"/>
      <c r="L217" s="526"/>
      <c r="M217" s="527"/>
      <c r="N217" s="527"/>
      <c r="O217" s="527"/>
      <c r="P217" s="527"/>
      <c r="Q217" s="527"/>
      <c r="R217" s="527"/>
      <c r="S217" s="527"/>
      <c r="T217" s="527"/>
      <c r="U217" s="528"/>
      <c r="V217" s="545"/>
      <c r="W217" s="546"/>
      <c r="X217" s="449" t="s">
        <v>16</v>
      </c>
      <c r="Y217" s="538"/>
      <c r="Z217" s="542">
        <f>SUM(AC217:CP217)</f>
        <v>0</v>
      </c>
      <c r="AA217" s="540"/>
      <c r="AB217" s="543"/>
      <c r="AC217" s="540"/>
      <c r="AD217" s="540"/>
      <c r="AE217" s="541"/>
      <c r="AF217" s="539"/>
      <c r="AG217" s="540"/>
      <c r="AH217" s="541"/>
      <c r="AI217" s="539"/>
      <c r="AJ217" s="540"/>
      <c r="AK217" s="541"/>
      <c r="AL217" s="539"/>
      <c r="AM217" s="540"/>
      <c r="AN217" s="541"/>
      <c r="AO217" s="539"/>
      <c r="AP217" s="540"/>
      <c r="AQ217" s="541"/>
      <c r="AR217" s="539"/>
      <c r="AS217" s="540"/>
      <c r="AT217" s="541"/>
      <c r="AU217" s="539"/>
      <c r="AV217" s="540"/>
      <c r="AW217" s="541"/>
      <c r="AX217" s="539"/>
      <c r="AY217" s="540"/>
      <c r="AZ217" s="541"/>
      <c r="BA217" s="539"/>
      <c r="BB217" s="540"/>
      <c r="BC217" s="541"/>
      <c r="BD217" s="539"/>
      <c r="BE217" s="540"/>
      <c r="BF217" s="541"/>
      <c r="BG217" s="539"/>
      <c r="BH217" s="540"/>
      <c r="BI217" s="541"/>
      <c r="BJ217" s="539"/>
      <c r="BK217" s="540"/>
      <c r="BL217" s="541"/>
      <c r="BM217" s="539"/>
      <c r="BN217" s="540"/>
      <c r="BO217" s="541"/>
      <c r="BP217" s="539"/>
      <c r="BQ217" s="540"/>
      <c r="BR217" s="541"/>
      <c r="BS217" s="539"/>
      <c r="BT217" s="540"/>
      <c r="BU217" s="541"/>
      <c r="BV217" s="539"/>
      <c r="BW217" s="540"/>
      <c r="BX217" s="541"/>
      <c r="BY217" s="539"/>
      <c r="BZ217" s="540"/>
      <c r="CA217" s="541"/>
      <c r="CB217" s="539"/>
      <c r="CC217" s="540"/>
      <c r="CD217" s="541"/>
      <c r="CE217" s="539"/>
      <c r="CF217" s="540"/>
      <c r="CG217" s="541"/>
      <c r="CH217" s="539"/>
      <c r="CI217" s="540"/>
      <c r="CJ217" s="541"/>
      <c r="CK217" s="539"/>
      <c r="CL217" s="540"/>
      <c r="CM217" s="541"/>
      <c r="CN217" s="539"/>
      <c r="CO217" s="540"/>
      <c r="CP217" s="541"/>
      <c r="DG217" s="67"/>
      <c r="DH217" s="67"/>
      <c r="DI217" s="67"/>
      <c r="DJ217" s="67"/>
      <c r="DL217" s="66"/>
      <c r="DM217" s="66"/>
      <c r="DN217" s="66"/>
      <c r="DO217" s="66"/>
      <c r="EB217" s="157"/>
      <c r="EC217" s="157"/>
      <c r="ED217" s="157"/>
      <c r="EF217" s="66"/>
      <c r="EG217" s="66"/>
      <c r="EH217" s="66"/>
    </row>
    <row r="218" spans="1:138" ht="21" hidden="1" customHeight="1">
      <c r="B218" s="222"/>
      <c r="C218" s="223"/>
      <c r="D218" s="223"/>
      <c r="E218" s="223"/>
      <c r="F218" s="224"/>
      <c r="G218" s="520"/>
      <c r="H218" s="521"/>
      <c r="I218" s="521"/>
      <c r="J218" s="521"/>
      <c r="K218" s="522"/>
      <c r="L218" s="520"/>
      <c r="M218" s="521"/>
      <c r="N218" s="521"/>
      <c r="O218" s="521"/>
      <c r="P218" s="521"/>
      <c r="Q218" s="521"/>
      <c r="R218" s="521"/>
      <c r="S218" s="521"/>
      <c r="T218" s="521"/>
      <c r="U218" s="522"/>
      <c r="V218" s="529" t="s">
        <v>18</v>
      </c>
      <c r="W218" s="530"/>
      <c r="X218" s="473" t="s">
        <v>15</v>
      </c>
      <c r="Y218" s="474"/>
      <c r="Z218" s="475">
        <f>SUM(AC218:CP218)</f>
        <v>0</v>
      </c>
      <c r="AA218" s="487"/>
      <c r="AB218" s="485"/>
      <c r="AC218" s="487"/>
      <c r="AD218" s="487"/>
      <c r="AE218" s="476"/>
      <c r="AF218" s="484"/>
      <c r="AG218" s="487"/>
      <c r="AH218" s="476"/>
      <c r="AI218" s="484"/>
      <c r="AJ218" s="487"/>
      <c r="AK218" s="476"/>
      <c r="AL218" s="484"/>
      <c r="AM218" s="487"/>
      <c r="AN218" s="476"/>
      <c r="AO218" s="484"/>
      <c r="AP218" s="487"/>
      <c r="AQ218" s="476"/>
      <c r="AR218" s="484"/>
      <c r="AS218" s="487"/>
      <c r="AT218" s="476"/>
      <c r="AU218" s="484"/>
      <c r="AV218" s="487"/>
      <c r="AW218" s="476"/>
      <c r="AX218" s="484"/>
      <c r="AY218" s="487"/>
      <c r="AZ218" s="476"/>
      <c r="BA218" s="484"/>
      <c r="BB218" s="487"/>
      <c r="BC218" s="476"/>
      <c r="BD218" s="484"/>
      <c r="BE218" s="487"/>
      <c r="BF218" s="476"/>
      <c r="BG218" s="484"/>
      <c r="BH218" s="487"/>
      <c r="BI218" s="476"/>
      <c r="BJ218" s="484"/>
      <c r="BK218" s="487"/>
      <c r="BL218" s="476"/>
      <c r="BM218" s="484"/>
      <c r="BN218" s="487"/>
      <c r="BO218" s="476"/>
      <c r="BP218" s="484"/>
      <c r="BQ218" s="487"/>
      <c r="BR218" s="476"/>
      <c r="BS218" s="484"/>
      <c r="BT218" s="487"/>
      <c r="BU218" s="476"/>
      <c r="BV218" s="484"/>
      <c r="BW218" s="487"/>
      <c r="BX218" s="476"/>
      <c r="BY218" s="484"/>
      <c r="BZ218" s="487"/>
      <c r="CA218" s="476"/>
      <c r="CB218" s="484"/>
      <c r="CC218" s="487"/>
      <c r="CD218" s="476"/>
      <c r="CE218" s="484"/>
      <c r="CF218" s="487"/>
      <c r="CG218" s="476"/>
      <c r="CH218" s="484"/>
      <c r="CI218" s="487"/>
      <c r="CJ218" s="476"/>
      <c r="CK218" s="484"/>
      <c r="CL218" s="487"/>
      <c r="CM218" s="476"/>
      <c r="CN218" s="484"/>
      <c r="CO218" s="487"/>
      <c r="CP218" s="476"/>
      <c r="DG218" s="67"/>
      <c r="DH218" s="67"/>
      <c r="DI218" s="67"/>
      <c r="DJ218" s="67"/>
      <c r="DL218" s="66"/>
      <c r="DM218" s="66"/>
      <c r="DN218" s="66"/>
      <c r="DO218" s="66"/>
      <c r="EB218" s="157"/>
      <c r="EC218" s="157"/>
      <c r="ED218" s="157"/>
      <c r="EF218" s="66"/>
      <c r="EG218" s="66"/>
      <c r="EH218" s="66"/>
    </row>
    <row r="219" spans="1:138" ht="21" hidden="1" customHeight="1">
      <c r="B219" s="269"/>
      <c r="C219" s="270"/>
      <c r="D219" s="270"/>
      <c r="E219" s="270"/>
      <c r="F219" s="271"/>
      <c r="G219" s="523"/>
      <c r="H219" s="524"/>
      <c r="I219" s="524"/>
      <c r="J219" s="524"/>
      <c r="K219" s="525"/>
      <c r="L219" s="523"/>
      <c r="M219" s="524"/>
      <c r="N219" s="524"/>
      <c r="O219" s="524"/>
      <c r="P219" s="524"/>
      <c r="Q219" s="524"/>
      <c r="R219" s="524"/>
      <c r="S219" s="524"/>
      <c r="T219" s="524"/>
      <c r="U219" s="525"/>
      <c r="V219" s="531"/>
      <c r="W219" s="532"/>
      <c r="X219" s="534" t="s">
        <v>16</v>
      </c>
      <c r="Y219" s="474"/>
      <c r="Z219" s="535">
        <f>SUM(AC219:CP219)</f>
        <v>0</v>
      </c>
      <c r="AA219" s="518"/>
      <c r="AB219" s="536"/>
      <c r="AC219" s="518"/>
      <c r="AD219" s="518"/>
      <c r="AE219" s="519"/>
      <c r="AF219" s="517"/>
      <c r="AG219" s="518"/>
      <c r="AH219" s="519"/>
      <c r="AI219" s="517"/>
      <c r="AJ219" s="518"/>
      <c r="AK219" s="519"/>
      <c r="AL219" s="517"/>
      <c r="AM219" s="518"/>
      <c r="AN219" s="519"/>
      <c r="AO219" s="517"/>
      <c r="AP219" s="518"/>
      <c r="AQ219" s="519"/>
      <c r="AR219" s="517"/>
      <c r="AS219" s="518"/>
      <c r="AT219" s="519"/>
      <c r="AU219" s="517"/>
      <c r="AV219" s="518"/>
      <c r="AW219" s="519"/>
      <c r="AX219" s="517"/>
      <c r="AY219" s="518"/>
      <c r="AZ219" s="519"/>
      <c r="BA219" s="517"/>
      <c r="BB219" s="518"/>
      <c r="BC219" s="519"/>
      <c r="BD219" s="517"/>
      <c r="BE219" s="518"/>
      <c r="BF219" s="519"/>
      <c r="BG219" s="517"/>
      <c r="BH219" s="518"/>
      <c r="BI219" s="519"/>
      <c r="BJ219" s="517"/>
      <c r="BK219" s="518"/>
      <c r="BL219" s="519"/>
      <c r="BM219" s="517"/>
      <c r="BN219" s="518"/>
      <c r="BO219" s="519"/>
      <c r="BP219" s="517"/>
      <c r="BQ219" s="518"/>
      <c r="BR219" s="519"/>
      <c r="BS219" s="517"/>
      <c r="BT219" s="518"/>
      <c r="BU219" s="519"/>
      <c r="BV219" s="517"/>
      <c r="BW219" s="518"/>
      <c r="BX219" s="519"/>
      <c r="BY219" s="517"/>
      <c r="BZ219" s="518"/>
      <c r="CA219" s="519"/>
      <c r="CB219" s="517"/>
      <c r="CC219" s="518"/>
      <c r="CD219" s="519"/>
      <c r="CE219" s="517"/>
      <c r="CF219" s="518"/>
      <c r="CG219" s="519"/>
      <c r="CH219" s="517"/>
      <c r="CI219" s="518"/>
      <c r="CJ219" s="519"/>
      <c r="CK219" s="517"/>
      <c r="CL219" s="518"/>
      <c r="CM219" s="519"/>
      <c r="CN219" s="517"/>
      <c r="CO219" s="518"/>
      <c r="CP219" s="519"/>
      <c r="DG219" s="67"/>
      <c r="DH219" s="67"/>
      <c r="DI219" s="67"/>
      <c r="DJ219" s="67"/>
      <c r="DL219" s="66"/>
      <c r="DM219" s="66"/>
      <c r="DN219" s="66"/>
      <c r="DO219" s="66"/>
      <c r="EB219" s="157"/>
      <c r="EC219" s="157"/>
      <c r="ED219" s="157"/>
      <c r="EF219" s="66"/>
      <c r="EG219" s="66"/>
      <c r="EH219" s="66"/>
    </row>
    <row r="220" spans="1:138" ht="21" hidden="1" customHeight="1">
      <c r="B220" s="269"/>
      <c r="C220" s="270"/>
      <c r="D220" s="270"/>
      <c r="E220" s="270"/>
      <c r="F220" s="271"/>
      <c r="G220" s="523"/>
      <c r="H220" s="524"/>
      <c r="I220" s="524"/>
      <c r="J220" s="524"/>
      <c r="K220" s="525"/>
      <c r="L220" s="523"/>
      <c r="M220" s="524"/>
      <c r="N220" s="524"/>
      <c r="O220" s="524"/>
      <c r="P220" s="524"/>
      <c r="Q220" s="524"/>
      <c r="R220" s="524"/>
      <c r="S220" s="524"/>
      <c r="T220" s="524"/>
      <c r="U220" s="525"/>
      <c r="V220" s="479" t="s">
        <v>19</v>
      </c>
      <c r="W220" s="544"/>
      <c r="X220" s="537" t="s">
        <v>15</v>
      </c>
      <c r="Y220" s="538"/>
      <c r="Z220" s="451">
        <f>SUM(AC220:CP220)</f>
        <v>0</v>
      </c>
      <c r="AA220" s="455"/>
      <c r="AB220" s="454"/>
      <c r="AC220" s="455"/>
      <c r="AD220" s="455"/>
      <c r="AE220" s="452"/>
      <c r="AF220" s="453"/>
      <c r="AG220" s="455"/>
      <c r="AH220" s="452"/>
      <c r="AI220" s="453"/>
      <c r="AJ220" s="455"/>
      <c r="AK220" s="452"/>
      <c r="AL220" s="453"/>
      <c r="AM220" s="455"/>
      <c r="AN220" s="452"/>
      <c r="AO220" s="453"/>
      <c r="AP220" s="455"/>
      <c r="AQ220" s="452"/>
      <c r="AR220" s="453"/>
      <c r="AS220" s="455"/>
      <c r="AT220" s="452"/>
      <c r="AU220" s="453"/>
      <c r="AV220" s="455"/>
      <c r="AW220" s="452"/>
      <c r="AX220" s="453"/>
      <c r="AY220" s="455"/>
      <c r="AZ220" s="452"/>
      <c r="BA220" s="453"/>
      <c r="BB220" s="455"/>
      <c r="BC220" s="452"/>
      <c r="BD220" s="453"/>
      <c r="BE220" s="455"/>
      <c r="BF220" s="452"/>
      <c r="BG220" s="453"/>
      <c r="BH220" s="455"/>
      <c r="BI220" s="452"/>
      <c r="BJ220" s="453"/>
      <c r="BK220" s="455"/>
      <c r="BL220" s="452"/>
      <c r="BM220" s="453"/>
      <c r="BN220" s="455"/>
      <c r="BO220" s="452"/>
      <c r="BP220" s="453"/>
      <c r="BQ220" s="455"/>
      <c r="BR220" s="452"/>
      <c r="BS220" s="453"/>
      <c r="BT220" s="455"/>
      <c r="BU220" s="452"/>
      <c r="BV220" s="453"/>
      <c r="BW220" s="455"/>
      <c r="BX220" s="452"/>
      <c r="BY220" s="453"/>
      <c r="BZ220" s="455"/>
      <c r="CA220" s="452"/>
      <c r="CB220" s="453"/>
      <c r="CC220" s="455"/>
      <c r="CD220" s="452"/>
      <c r="CE220" s="453"/>
      <c r="CF220" s="455"/>
      <c r="CG220" s="452"/>
      <c r="CH220" s="453"/>
      <c r="CI220" s="455"/>
      <c r="CJ220" s="452"/>
      <c r="CK220" s="453"/>
      <c r="CL220" s="455"/>
      <c r="CM220" s="452"/>
      <c r="CN220" s="453"/>
      <c r="CO220" s="455"/>
      <c r="CP220" s="452"/>
      <c r="DG220" s="67"/>
      <c r="DH220" s="67"/>
      <c r="DI220" s="67"/>
      <c r="DJ220" s="67"/>
      <c r="DL220" s="66"/>
      <c r="DM220" s="66"/>
      <c r="DN220" s="66"/>
      <c r="DO220" s="66"/>
      <c r="EB220" s="157"/>
      <c r="EC220" s="157"/>
      <c r="ED220" s="157"/>
      <c r="EF220" s="66"/>
      <c r="EG220" s="66"/>
      <c r="EH220" s="66"/>
    </row>
    <row r="221" spans="1:138" ht="21" hidden="1" customHeight="1">
      <c r="B221" s="231"/>
      <c r="C221" s="232"/>
      <c r="D221" s="232"/>
      <c r="E221" s="232"/>
      <c r="F221" s="233"/>
      <c r="G221" s="526"/>
      <c r="H221" s="527"/>
      <c r="I221" s="527"/>
      <c r="J221" s="527"/>
      <c r="K221" s="528"/>
      <c r="L221" s="526"/>
      <c r="M221" s="527"/>
      <c r="N221" s="527"/>
      <c r="O221" s="527"/>
      <c r="P221" s="527"/>
      <c r="Q221" s="527"/>
      <c r="R221" s="527"/>
      <c r="S221" s="527"/>
      <c r="T221" s="527"/>
      <c r="U221" s="528"/>
      <c r="V221" s="545"/>
      <c r="W221" s="546"/>
      <c r="X221" s="449" t="s">
        <v>16</v>
      </c>
      <c r="Y221" s="538"/>
      <c r="Z221" s="542">
        <f>SUM(AC221:CP221)</f>
        <v>0</v>
      </c>
      <c r="AA221" s="540"/>
      <c r="AB221" s="543"/>
      <c r="AC221" s="540"/>
      <c r="AD221" s="540"/>
      <c r="AE221" s="541"/>
      <c r="AF221" s="539"/>
      <c r="AG221" s="540"/>
      <c r="AH221" s="541"/>
      <c r="AI221" s="539"/>
      <c r="AJ221" s="540"/>
      <c r="AK221" s="541"/>
      <c r="AL221" s="539"/>
      <c r="AM221" s="540"/>
      <c r="AN221" s="541"/>
      <c r="AO221" s="539"/>
      <c r="AP221" s="540"/>
      <c r="AQ221" s="541"/>
      <c r="AR221" s="539"/>
      <c r="AS221" s="540"/>
      <c r="AT221" s="541"/>
      <c r="AU221" s="539"/>
      <c r="AV221" s="540"/>
      <c r="AW221" s="541"/>
      <c r="AX221" s="539"/>
      <c r="AY221" s="540"/>
      <c r="AZ221" s="541"/>
      <c r="BA221" s="539"/>
      <c r="BB221" s="540"/>
      <c r="BC221" s="541"/>
      <c r="BD221" s="539"/>
      <c r="BE221" s="540"/>
      <c r="BF221" s="541"/>
      <c r="BG221" s="539"/>
      <c r="BH221" s="540"/>
      <c r="BI221" s="541"/>
      <c r="BJ221" s="539"/>
      <c r="BK221" s="540"/>
      <c r="BL221" s="541"/>
      <c r="BM221" s="539"/>
      <c r="BN221" s="540"/>
      <c r="BO221" s="541"/>
      <c r="BP221" s="539"/>
      <c r="BQ221" s="540"/>
      <c r="BR221" s="541"/>
      <c r="BS221" s="539"/>
      <c r="BT221" s="540"/>
      <c r="BU221" s="541"/>
      <c r="BV221" s="539"/>
      <c r="BW221" s="540"/>
      <c r="BX221" s="541"/>
      <c r="BY221" s="539"/>
      <c r="BZ221" s="540"/>
      <c r="CA221" s="541"/>
      <c r="CB221" s="539"/>
      <c r="CC221" s="540"/>
      <c r="CD221" s="541"/>
      <c r="CE221" s="539"/>
      <c r="CF221" s="540"/>
      <c r="CG221" s="541"/>
      <c r="CH221" s="539"/>
      <c r="CI221" s="540"/>
      <c r="CJ221" s="541"/>
      <c r="CK221" s="539"/>
      <c r="CL221" s="540"/>
      <c r="CM221" s="541"/>
      <c r="CN221" s="539"/>
      <c r="CO221" s="540"/>
      <c r="CP221" s="541"/>
      <c r="DG221" s="67"/>
      <c r="DH221" s="67"/>
      <c r="DI221" s="67"/>
      <c r="DJ221" s="67"/>
      <c r="DL221" s="66"/>
      <c r="DM221" s="66"/>
      <c r="DN221" s="66"/>
      <c r="DO221" s="66"/>
      <c r="EB221" s="157"/>
      <c r="EC221" s="157"/>
      <c r="ED221" s="157"/>
      <c r="EF221" s="66"/>
      <c r="EG221" s="66"/>
      <c r="EH221" s="66"/>
    </row>
    <row r="222" spans="1:138" s="75" customFormat="1" ht="21" customHeight="1">
      <c r="A222" s="132"/>
      <c r="B222" s="210" t="s">
        <v>169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2"/>
      <c r="V222" s="529" t="s">
        <v>18</v>
      </c>
      <c r="W222" s="530"/>
      <c r="X222" s="473" t="s">
        <v>15</v>
      </c>
      <c r="Y222" s="474"/>
      <c r="Z222" s="555">
        <f>+Z166+Z170+Z174+Z178+Z182+Z186+Z190+Z218</f>
        <v>0</v>
      </c>
      <c r="AA222" s="556"/>
      <c r="AB222" s="557"/>
      <c r="AC222" s="556">
        <f>+AC166+AC170+AC174+AC178+AC182+AC186+AC190+AC218</f>
        <v>0</v>
      </c>
      <c r="AD222" s="556"/>
      <c r="AE222" s="558"/>
      <c r="AF222" s="559">
        <f>+AF166+AF170+AF174+AF178+AF182+AF186+AF190+AF218</f>
        <v>0</v>
      </c>
      <c r="AG222" s="556"/>
      <c r="AH222" s="558"/>
      <c r="AI222" s="559">
        <f>+AI166+AI170+AI174+AI178+AI182+AI186+AI190+AI218</f>
        <v>0</v>
      </c>
      <c r="AJ222" s="556"/>
      <c r="AK222" s="558"/>
      <c r="AL222" s="559">
        <f>+AL166+AL170+AL174+AL178+AL182+AL186+AL190+AL218</f>
        <v>0</v>
      </c>
      <c r="AM222" s="556"/>
      <c r="AN222" s="558"/>
      <c r="AO222" s="559">
        <f>+AO166+AO170+AO174+AO178+AO182+AO186+AO190+AO218</f>
        <v>0</v>
      </c>
      <c r="AP222" s="556"/>
      <c r="AQ222" s="558"/>
      <c r="AR222" s="559">
        <f>+AR166+AR170+AR174+AR178+AR182+AR186+AR190+AR218</f>
        <v>0</v>
      </c>
      <c r="AS222" s="556"/>
      <c r="AT222" s="558"/>
      <c r="AU222" s="559">
        <f>+AU166+AU170+AU174+AU178+AU182+AU186+AU190+AU218</f>
        <v>0</v>
      </c>
      <c r="AV222" s="556"/>
      <c r="AW222" s="558"/>
      <c r="AX222" s="559">
        <f>+AX166+AX170+AX174+AX178+AX182+AX186+AX190+AX218</f>
        <v>0</v>
      </c>
      <c r="AY222" s="556"/>
      <c r="AZ222" s="558"/>
      <c r="BA222" s="559">
        <f>+BA166+BA170+BA174+BA178+BA182+BA186+BA190+BA218</f>
        <v>0</v>
      </c>
      <c r="BB222" s="556"/>
      <c r="BC222" s="558"/>
      <c r="BD222" s="559">
        <f>+BD166+BD170+BD174+BD178+BD182+BD186+BD190+BD218</f>
        <v>0</v>
      </c>
      <c r="BE222" s="556"/>
      <c r="BF222" s="558"/>
      <c r="BG222" s="559">
        <f>+BG166+BG170+BG174+BG178+BG182+BG186+BG190+BG218</f>
        <v>0</v>
      </c>
      <c r="BH222" s="556"/>
      <c r="BI222" s="558"/>
      <c r="BJ222" s="559">
        <f>+BJ166+BJ170+BJ174+BJ178+BJ182+BJ186+BJ190+BJ218</f>
        <v>0</v>
      </c>
      <c r="BK222" s="556"/>
      <c r="BL222" s="558"/>
      <c r="BM222" s="559">
        <f>+BM166+BM170+BM174+BM178+BM182+BM186+BM190+BM218</f>
        <v>0</v>
      </c>
      <c r="BN222" s="556"/>
      <c r="BO222" s="558"/>
      <c r="BP222" s="559">
        <f>+BP166+BP170+BP174+BP178+BP182+BP186+BP190+BP218</f>
        <v>0</v>
      </c>
      <c r="BQ222" s="556"/>
      <c r="BR222" s="558"/>
      <c r="BS222" s="559">
        <f>+BS166+BS170+BS174+BS178+BS182+BS186+BS190+BS218</f>
        <v>0</v>
      </c>
      <c r="BT222" s="556"/>
      <c r="BU222" s="558"/>
      <c r="BV222" s="559">
        <f>+BV166+BV170+BV174+BV178+BV182+BV186+BV190+BV218</f>
        <v>0</v>
      </c>
      <c r="BW222" s="556"/>
      <c r="BX222" s="558"/>
      <c r="BY222" s="559">
        <f>+BY166+BY170+BY174+BY178+BY182+BY186+BY190+BY218</f>
        <v>0</v>
      </c>
      <c r="BZ222" s="556"/>
      <c r="CA222" s="558"/>
      <c r="CB222" s="559">
        <f>+CB166+CB170+CB174+CB178+CB182+CB186+CB190+CB218</f>
        <v>0</v>
      </c>
      <c r="CC222" s="556"/>
      <c r="CD222" s="558"/>
      <c r="CE222" s="559">
        <f>+CE166+CE170+CE174+CE178+CE182+CE186+CE190+CE218</f>
        <v>0</v>
      </c>
      <c r="CF222" s="556"/>
      <c r="CG222" s="558"/>
      <c r="CH222" s="559">
        <f>+CH166+CH170+CH174+CH178+CH182+CH186+CH190+CH218</f>
        <v>0</v>
      </c>
      <c r="CI222" s="556"/>
      <c r="CJ222" s="558"/>
      <c r="CK222" s="559">
        <f>+CK166+CK170+CK174+CK178+CK182+CK186+CK190+CK218</f>
        <v>0</v>
      </c>
      <c r="CL222" s="556"/>
      <c r="CM222" s="558"/>
      <c r="CN222" s="559">
        <f>+CN166+CN170+CN174+CN178+CN182+CN186+CN190+CN218</f>
        <v>0</v>
      </c>
      <c r="CO222" s="556"/>
      <c r="CP222" s="558"/>
      <c r="DG222" s="125"/>
      <c r="DH222" s="125"/>
      <c r="DI222" s="125"/>
      <c r="DJ222" s="125"/>
      <c r="DK222" s="125"/>
      <c r="EB222" s="159"/>
      <c r="EC222" s="159"/>
      <c r="ED222" s="159"/>
    </row>
    <row r="223" spans="1:138" s="75" customFormat="1" ht="21" customHeight="1">
      <c r="A223" s="132"/>
      <c r="B223" s="213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5"/>
      <c r="V223" s="531"/>
      <c r="W223" s="532"/>
      <c r="X223" s="534" t="s">
        <v>16</v>
      </c>
      <c r="Y223" s="474"/>
      <c r="Z223" s="560">
        <f>Z167+Z171+Z175+Z179+Z183+Z187+Z191+Z195+Z199+Z219+Z203+Z207+Z211+Z215</f>
        <v>0</v>
      </c>
      <c r="AA223" s="561"/>
      <c r="AB223" s="562"/>
      <c r="AC223" s="561">
        <f t="shared" ref="AC223:AC225" si="88">AC167+AC171+AC175+AC179+AC183+AC187+AC191+AC195+AC199+AC219+AC203+AC207+AC211+AC215</f>
        <v>0</v>
      </c>
      <c r="AD223" s="561"/>
      <c r="AE223" s="563"/>
      <c r="AF223" s="564">
        <f t="shared" ref="AF223:AF225" si="89">AF167+AF171+AF175+AF179+AF183+AF187+AF191+AF195+AF199+AF219+AF203+AF207+AF211+AF215</f>
        <v>0</v>
      </c>
      <c r="AG223" s="561"/>
      <c r="AH223" s="563"/>
      <c r="AI223" s="564">
        <f t="shared" ref="AI223:AI225" si="90">AI167+AI171+AI175+AI179+AI183+AI187+AI191+AI195+AI199+AI219+AI203+AI207+AI211+AI215</f>
        <v>0</v>
      </c>
      <c r="AJ223" s="561"/>
      <c r="AK223" s="563"/>
      <c r="AL223" s="564">
        <f t="shared" ref="AL223:AL225" si="91">AL167+AL171+AL175+AL179+AL183+AL187+AL191+AL195+AL199+AL219+AL203+AL207+AL211+AL215</f>
        <v>0</v>
      </c>
      <c r="AM223" s="561"/>
      <c r="AN223" s="563"/>
      <c r="AO223" s="564">
        <f t="shared" ref="AO223:AO225" si="92">AO167+AO171+AO175+AO179+AO183+AO187+AO191+AO195+AO199+AO219+AO203+AO207+AO211+AO215</f>
        <v>0</v>
      </c>
      <c r="AP223" s="561"/>
      <c r="AQ223" s="563"/>
      <c r="AR223" s="564">
        <f t="shared" ref="AR223:AR225" si="93">AR167+AR171+AR175+AR179+AR183+AR187+AR191+AR195+AR199+AR219+AR203+AR207+AR211+AR215</f>
        <v>0</v>
      </c>
      <c r="AS223" s="561"/>
      <c r="AT223" s="563"/>
      <c r="AU223" s="564">
        <f t="shared" ref="AU223:AU225" si="94">AU167+AU171+AU175+AU179+AU183+AU187+AU191+AU195+AU199+AU219+AU203+AU207+AU211+AU215</f>
        <v>0</v>
      </c>
      <c r="AV223" s="561"/>
      <c r="AW223" s="563"/>
      <c r="AX223" s="564">
        <f t="shared" ref="AX223:AX225" si="95">AX167+AX171+AX175+AX179+AX183+AX187+AX191+AX195+AX199+AX219+AX203+AX207+AX211+AX215</f>
        <v>0</v>
      </c>
      <c r="AY223" s="561"/>
      <c r="AZ223" s="563"/>
      <c r="BA223" s="564">
        <f t="shared" ref="BA223:BA225" si="96">BA167+BA171+BA175+BA179+BA183+BA187+BA191+BA195+BA199+BA219+BA203+BA207+BA211+BA215</f>
        <v>0</v>
      </c>
      <c r="BB223" s="561"/>
      <c r="BC223" s="563"/>
      <c r="BD223" s="564">
        <f t="shared" ref="BD223:BD225" si="97">BD167+BD171+BD175+BD179+BD183+BD187+BD191+BD195+BD199+BD219+BD203+BD207+BD211+BD215</f>
        <v>0</v>
      </c>
      <c r="BE223" s="561"/>
      <c r="BF223" s="563"/>
      <c r="BG223" s="564">
        <f t="shared" ref="BG223:BG225" si="98">BG167+BG171+BG175+BG179+BG183+BG187+BG191+BG195+BG199+BG219+BG203+BG207+BG211+BG215</f>
        <v>0</v>
      </c>
      <c r="BH223" s="561"/>
      <c r="BI223" s="563"/>
      <c r="BJ223" s="564">
        <f t="shared" ref="BJ223:BJ225" si="99">BJ167+BJ171+BJ175+BJ179+BJ183+BJ187+BJ191+BJ195+BJ199+BJ219+BJ203+BJ207+BJ211+BJ215</f>
        <v>0</v>
      </c>
      <c r="BK223" s="561"/>
      <c r="BL223" s="563"/>
      <c r="BM223" s="564">
        <f>+BM167+BM171+BM175+BM179+BM183+BM187+BM191+BM219</f>
        <v>0</v>
      </c>
      <c r="BN223" s="561"/>
      <c r="BO223" s="563"/>
      <c r="BP223" s="564">
        <f>+BP167+BP171+BP175+BP179+BP183+BP187+BP191+BP219</f>
        <v>0</v>
      </c>
      <c r="BQ223" s="561"/>
      <c r="BR223" s="563"/>
      <c r="BS223" s="564">
        <f>+BS167+BS171+BS175+BS179+BS183+BS187+BS191+BS219</f>
        <v>0</v>
      </c>
      <c r="BT223" s="561"/>
      <c r="BU223" s="563"/>
      <c r="BV223" s="564">
        <f>+BV167+BV171+BV175+BV179+BV183+BV187+BV191+BV219</f>
        <v>0</v>
      </c>
      <c r="BW223" s="561"/>
      <c r="BX223" s="563"/>
      <c r="BY223" s="564">
        <f>+BY167+BY171+BY175+BY179+BY183+BY187+BY191+BY219</f>
        <v>0</v>
      </c>
      <c r="BZ223" s="561"/>
      <c r="CA223" s="563"/>
      <c r="CB223" s="564">
        <f>+CB167+CB171+CB175+CB179+CB183+CB187+CB191+CB219</f>
        <v>0</v>
      </c>
      <c r="CC223" s="561"/>
      <c r="CD223" s="563"/>
      <c r="CE223" s="564">
        <f>+CE167+CE171+CE175+CE179+CE183+CE187+CE191+CE219</f>
        <v>0</v>
      </c>
      <c r="CF223" s="561"/>
      <c r="CG223" s="563"/>
      <c r="CH223" s="564">
        <f>+CH167+CH171+CH175+CH179+CH183+CH187+CH191+CH219</f>
        <v>0</v>
      </c>
      <c r="CI223" s="561"/>
      <c r="CJ223" s="563"/>
      <c r="CK223" s="564">
        <f>+CK167+CK171+CK175+CK179+CK183+CK187+CK191+CK219</f>
        <v>0</v>
      </c>
      <c r="CL223" s="561"/>
      <c r="CM223" s="563"/>
      <c r="CN223" s="564">
        <f>+CN167+CN171+CN175+CN179+CN183+CN187+CN191+CN219</f>
        <v>0</v>
      </c>
      <c r="CO223" s="561"/>
      <c r="CP223" s="563"/>
      <c r="DG223" s="125"/>
      <c r="DH223" s="125"/>
      <c r="DI223" s="125"/>
      <c r="DJ223" s="125"/>
      <c r="DK223" s="125"/>
      <c r="EB223" s="159"/>
      <c r="EC223" s="159"/>
      <c r="ED223" s="159"/>
    </row>
    <row r="224" spans="1:138" s="75" customFormat="1" ht="21" customHeight="1">
      <c r="A224" s="132"/>
      <c r="B224" s="213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5"/>
      <c r="V224" s="479" t="s">
        <v>19</v>
      </c>
      <c r="W224" s="544"/>
      <c r="X224" s="537" t="s">
        <v>15</v>
      </c>
      <c r="Y224" s="538"/>
      <c r="Z224" s="565">
        <f>Z168+Z172+Z176+Z180+Z184+Z188+Z192+Z196+Z200+Z220+Z204+Z208+Z212+Z216</f>
        <v>2</v>
      </c>
      <c r="AA224" s="566"/>
      <c r="AB224" s="567"/>
      <c r="AC224" s="566">
        <f t="shared" si="88"/>
        <v>0</v>
      </c>
      <c r="AD224" s="566"/>
      <c r="AE224" s="568"/>
      <c r="AF224" s="569">
        <f t="shared" si="89"/>
        <v>1</v>
      </c>
      <c r="AG224" s="566"/>
      <c r="AH224" s="568"/>
      <c r="AI224" s="569">
        <f t="shared" si="90"/>
        <v>1</v>
      </c>
      <c r="AJ224" s="566"/>
      <c r="AK224" s="568"/>
      <c r="AL224" s="569">
        <f t="shared" si="91"/>
        <v>0</v>
      </c>
      <c r="AM224" s="566"/>
      <c r="AN224" s="568"/>
      <c r="AO224" s="569">
        <f t="shared" si="92"/>
        <v>0</v>
      </c>
      <c r="AP224" s="566"/>
      <c r="AQ224" s="568"/>
      <c r="AR224" s="569">
        <f t="shared" si="93"/>
        <v>0</v>
      </c>
      <c r="AS224" s="566"/>
      <c r="AT224" s="568"/>
      <c r="AU224" s="569">
        <f t="shared" si="94"/>
        <v>0</v>
      </c>
      <c r="AV224" s="566"/>
      <c r="AW224" s="568"/>
      <c r="AX224" s="569">
        <f t="shared" si="95"/>
        <v>0</v>
      </c>
      <c r="AY224" s="566"/>
      <c r="AZ224" s="568"/>
      <c r="BA224" s="569">
        <f t="shared" si="96"/>
        <v>0</v>
      </c>
      <c r="BB224" s="566"/>
      <c r="BC224" s="568"/>
      <c r="BD224" s="569">
        <f t="shared" si="97"/>
        <v>0</v>
      </c>
      <c r="BE224" s="566"/>
      <c r="BF224" s="568"/>
      <c r="BG224" s="569">
        <f t="shared" si="98"/>
        <v>0</v>
      </c>
      <c r="BH224" s="566"/>
      <c r="BI224" s="568"/>
      <c r="BJ224" s="569">
        <f t="shared" si="99"/>
        <v>0</v>
      </c>
      <c r="BK224" s="566"/>
      <c r="BL224" s="568"/>
      <c r="BM224" s="569">
        <f>+BM168+BM172+BM176+BM180+BM184+BM188+BM192+BM220</f>
        <v>0</v>
      </c>
      <c r="BN224" s="566"/>
      <c r="BO224" s="568"/>
      <c r="BP224" s="569">
        <f>+BP168+BP172+BP176+BP180+BP184+BP188+BP192+BP220</f>
        <v>0</v>
      </c>
      <c r="BQ224" s="566"/>
      <c r="BR224" s="568"/>
      <c r="BS224" s="569">
        <f>+BS168+BS172+BS176+BS180+BS184+BS188+BS192+BS220</f>
        <v>0</v>
      </c>
      <c r="BT224" s="566"/>
      <c r="BU224" s="568"/>
      <c r="BV224" s="569">
        <f>+BV168+BV172+BV176+BV180+BV184+BV188+BV192+BV220</f>
        <v>0</v>
      </c>
      <c r="BW224" s="566"/>
      <c r="BX224" s="568"/>
      <c r="BY224" s="569">
        <f>+BY168+BY172+BY176+BY180+BY184+BY188+BY192+BY220</f>
        <v>0</v>
      </c>
      <c r="BZ224" s="566"/>
      <c r="CA224" s="568"/>
      <c r="CB224" s="569">
        <f>+CB168+CB172+CB176+CB180+CB184+CB188+CB192+CB220</f>
        <v>0</v>
      </c>
      <c r="CC224" s="566"/>
      <c r="CD224" s="568"/>
      <c r="CE224" s="569">
        <f>+CE168+CE172+CE176+CE180+CE184+CE188+CE192+CE220</f>
        <v>0</v>
      </c>
      <c r="CF224" s="566"/>
      <c r="CG224" s="568"/>
      <c r="CH224" s="569">
        <f>+CH168+CH172+CH176+CH180+CH184+CH188+CH192+CH220</f>
        <v>0</v>
      </c>
      <c r="CI224" s="566"/>
      <c r="CJ224" s="568"/>
      <c r="CK224" s="569">
        <f>+CK168+CK172+CK176+CK180+CK184+CK188+CK192+CK220</f>
        <v>0</v>
      </c>
      <c r="CL224" s="566"/>
      <c r="CM224" s="568"/>
      <c r="CN224" s="569">
        <f>+CN168+CN172+CN176+CN180+CN184+CN188+CN192+CN220</f>
        <v>0</v>
      </c>
      <c r="CO224" s="566"/>
      <c r="CP224" s="568"/>
      <c r="DG224" s="125"/>
      <c r="DH224" s="125"/>
      <c r="DI224" s="125"/>
      <c r="DJ224" s="125"/>
      <c r="DK224" s="125"/>
      <c r="EB224" s="159"/>
      <c r="EC224" s="159"/>
      <c r="ED224" s="159"/>
    </row>
    <row r="225" spans="1:138" s="75" customFormat="1" ht="21" customHeight="1" thickBot="1">
      <c r="A225" s="132"/>
      <c r="B225" s="554"/>
      <c r="C225" s="471"/>
      <c r="D225" s="471"/>
      <c r="E225" s="471"/>
      <c r="F225" s="471"/>
      <c r="G225" s="471"/>
      <c r="H225" s="471"/>
      <c r="I225" s="471"/>
      <c r="J225" s="471"/>
      <c r="K225" s="471"/>
      <c r="L225" s="471"/>
      <c r="M225" s="471"/>
      <c r="N225" s="471"/>
      <c r="O225" s="471"/>
      <c r="P225" s="471"/>
      <c r="Q225" s="471"/>
      <c r="R225" s="471"/>
      <c r="S225" s="471"/>
      <c r="T225" s="471"/>
      <c r="U225" s="472"/>
      <c r="V225" s="545"/>
      <c r="W225" s="546"/>
      <c r="X225" s="449" t="s">
        <v>16</v>
      </c>
      <c r="Y225" s="538"/>
      <c r="Z225" s="570">
        <f>Z169+Z173+Z177+Z181+Z185+Z189+Z193+Z197+Z201+Z221+Z205+Z209+Z213+Z217</f>
        <v>53089354</v>
      </c>
      <c r="AA225" s="571"/>
      <c r="AB225" s="572"/>
      <c r="AC225" s="573">
        <f t="shared" si="88"/>
        <v>0</v>
      </c>
      <c r="AD225" s="573"/>
      <c r="AE225" s="574"/>
      <c r="AF225" s="575">
        <f t="shared" si="89"/>
        <v>51018709</v>
      </c>
      <c r="AG225" s="573"/>
      <c r="AH225" s="574"/>
      <c r="AI225" s="575">
        <f t="shared" si="90"/>
        <v>2070645</v>
      </c>
      <c r="AJ225" s="573"/>
      <c r="AK225" s="574"/>
      <c r="AL225" s="575">
        <f t="shared" si="91"/>
        <v>0</v>
      </c>
      <c r="AM225" s="573"/>
      <c r="AN225" s="574"/>
      <c r="AO225" s="575">
        <f t="shared" si="92"/>
        <v>0</v>
      </c>
      <c r="AP225" s="573"/>
      <c r="AQ225" s="574"/>
      <c r="AR225" s="575">
        <f t="shared" si="93"/>
        <v>0</v>
      </c>
      <c r="AS225" s="573"/>
      <c r="AT225" s="574"/>
      <c r="AU225" s="575">
        <f t="shared" si="94"/>
        <v>0</v>
      </c>
      <c r="AV225" s="573"/>
      <c r="AW225" s="574"/>
      <c r="AX225" s="575">
        <f t="shared" si="95"/>
        <v>0</v>
      </c>
      <c r="AY225" s="573"/>
      <c r="AZ225" s="574"/>
      <c r="BA225" s="575">
        <f t="shared" si="96"/>
        <v>0</v>
      </c>
      <c r="BB225" s="573"/>
      <c r="BC225" s="574"/>
      <c r="BD225" s="575">
        <f t="shared" si="97"/>
        <v>0</v>
      </c>
      <c r="BE225" s="573"/>
      <c r="BF225" s="574"/>
      <c r="BG225" s="575">
        <f t="shared" si="98"/>
        <v>0</v>
      </c>
      <c r="BH225" s="573"/>
      <c r="BI225" s="574"/>
      <c r="BJ225" s="575">
        <f t="shared" si="99"/>
        <v>0</v>
      </c>
      <c r="BK225" s="573"/>
      <c r="BL225" s="574"/>
      <c r="BM225" s="575">
        <f>+BM169+BM173+BM177+BM181+BM185+BM189+BM193+BM221</f>
        <v>0</v>
      </c>
      <c r="BN225" s="573"/>
      <c r="BO225" s="574"/>
      <c r="BP225" s="575">
        <f>+BP169+BP173+BP177+BP181+BP185+BP189+BP193+BP221</f>
        <v>0</v>
      </c>
      <c r="BQ225" s="573"/>
      <c r="BR225" s="574"/>
      <c r="BS225" s="575">
        <f>+BS169+BS173+BS177+BS181+BS185+BS189+BS193+BS221</f>
        <v>0</v>
      </c>
      <c r="BT225" s="573"/>
      <c r="BU225" s="574"/>
      <c r="BV225" s="575">
        <f>+BV169+BV173+BV177+BV181+BV185+BV189+BV193+BV221</f>
        <v>0</v>
      </c>
      <c r="BW225" s="573"/>
      <c r="BX225" s="574"/>
      <c r="BY225" s="575">
        <f>+BY169+BY173+BY177+BY181+BY185+BY189+BY193+BY221</f>
        <v>0</v>
      </c>
      <c r="BZ225" s="573"/>
      <c r="CA225" s="574"/>
      <c r="CB225" s="575">
        <f>+CB169+CB173+CB177+CB181+CB185+CB189+CB193+CB221</f>
        <v>0</v>
      </c>
      <c r="CC225" s="573"/>
      <c r="CD225" s="574"/>
      <c r="CE225" s="575">
        <f>+CE169+CE173+CE177+CE181+CE185+CE189+CE193+CE221</f>
        <v>0</v>
      </c>
      <c r="CF225" s="573"/>
      <c r="CG225" s="574"/>
      <c r="CH225" s="575">
        <f>+CH169+CH173+CH177+CH181+CH185+CH189+CH193+CH221</f>
        <v>0</v>
      </c>
      <c r="CI225" s="573"/>
      <c r="CJ225" s="574"/>
      <c r="CK225" s="575">
        <f>+CK169+CK173+CK177+CK181+CK185+CK189+CK193+CK221</f>
        <v>0</v>
      </c>
      <c r="CL225" s="573"/>
      <c r="CM225" s="574"/>
      <c r="CN225" s="575">
        <f>+CN169+CN173+CN177+CN181+CN185+CN189+CN193+CN221</f>
        <v>0</v>
      </c>
      <c r="CO225" s="573"/>
      <c r="CP225" s="574"/>
      <c r="DG225" s="125"/>
      <c r="DH225" s="125"/>
      <c r="DI225" s="125"/>
      <c r="DJ225" s="125"/>
      <c r="DK225" s="125"/>
      <c r="EB225" s="159"/>
      <c r="EC225" s="159"/>
      <c r="ED225" s="159"/>
    </row>
    <row r="226" spans="1:138" ht="21" customHeight="1" thickTop="1"/>
    <row r="227" spans="1:138" s="69" customFormat="1" ht="21" customHeight="1">
      <c r="A227" s="117"/>
      <c r="B227" s="68" t="s">
        <v>170</v>
      </c>
      <c r="CG227" s="76" t="s">
        <v>49</v>
      </c>
      <c r="DK227" s="70"/>
      <c r="DL227" s="70"/>
      <c r="DM227" s="70"/>
      <c r="DN227" s="70"/>
      <c r="DO227" s="70"/>
      <c r="EF227" s="157"/>
      <c r="EG227" s="157"/>
      <c r="EH227" s="157"/>
    </row>
    <row r="228" spans="1:138" ht="8.25" customHeight="1" thickBot="1"/>
    <row r="229" spans="1:138" ht="21" customHeight="1" thickTop="1">
      <c r="B229" s="197" t="s">
        <v>9</v>
      </c>
      <c r="C229" s="198"/>
      <c r="D229" s="199"/>
      <c r="E229" s="197" t="s">
        <v>171</v>
      </c>
      <c r="F229" s="198"/>
      <c r="G229" s="198"/>
      <c r="H229" s="198"/>
      <c r="I229" s="198"/>
      <c r="J229" s="576" t="s">
        <v>246</v>
      </c>
      <c r="K229" s="577"/>
      <c r="L229" s="577"/>
      <c r="M229" s="620" t="s">
        <v>245</v>
      </c>
      <c r="N229" s="577"/>
      <c r="O229" s="621"/>
      <c r="P229" s="319" t="s">
        <v>172</v>
      </c>
      <c r="Q229" s="320"/>
      <c r="R229" s="321"/>
      <c r="S229" s="198"/>
      <c r="T229" s="198"/>
      <c r="U229" s="199"/>
      <c r="V229" s="203" t="s">
        <v>256</v>
      </c>
      <c r="W229" s="311"/>
      <c r="X229" s="312"/>
      <c r="Y229" s="197" t="s">
        <v>257</v>
      </c>
      <c r="Z229" s="198"/>
      <c r="AA229" s="199"/>
      <c r="AB229" s="203"/>
      <c r="AC229" s="311"/>
      <c r="AD229" s="312"/>
      <c r="AE229" s="138"/>
      <c r="AF229" s="138"/>
      <c r="AG229" s="138"/>
      <c r="AH229" s="138"/>
      <c r="AI229" s="138"/>
      <c r="AJ229" s="138"/>
      <c r="AK229" s="138"/>
      <c r="AL229" s="138"/>
      <c r="AM229" s="138"/>
      <c r="AN229" s="138"/>
      <c r="AO229" s="138"/>
      <c r="AP229" s="138"/>
      <c r="AQ229" s="581"/>
      <c r="AR229" s="581"/>
      <c r="AS229" s="581"/>
      <c r="AT229" s="581"/>
      <c r="AU229" s="581"/>
      <c r="AV229" s="581"/>
      <c r="AW229" s="581"/>
      <c r="AX229" s="581"/>
      <c r="AY229" s="581"/>
      <c r="AZ229" s="581"/>
      <c r="BA229" s="581"/>
      <c r="BB229" s="581"/>
      <c r="BC229" s="581"/>
      <c r="BD229" s="581"/>
      <c r="BE229" s="581"/>
      <c r="BF229" s="581"/>
      <c r="BG229" s="581"/>
      <c r="BH229" s="581"/>
      <c r="BI229" s="581"/>
      <c r="BJ229" s="581"/>
      <c r="BK229" s="581"/>
      <c r="BL229" s="581"/>
      <c r="BM229" s="581"/>
      <c r="BN229" s="581"/>
      <c r="BO229" s="581"/>
      <c r="BP229" s="581"/>
      <c r="BQ229" s="581"/>
      <c r="BR229" s="581"/>
      <c r="BS229" s="581"/>
      <c r="BT229" s="581"/>
      <c r="BU229" s="581"/>
      <c r="BV229" s="515"/>
      <c r="BW229" s="515"/>
      <c r="BX229" s="516"/>
      <c r="BY229" s="514"/>
      <c r="BZ229" s="515"/>
      <c r="CA229" s="516"/>
      <c r="CB229" s="514"/>
      <c r="CC229" s="515"/>
      <c r="CD229" s="516"/>
      <c r="CE229" s="514"/>
      <c r="CF229" s="515"/>
      <c r="CG229" s="516"/>
      <c r="CH229" s="514"/>
      <c r="CI229" s="515"/>
      <c r="CJ229" s="516"/>
      <c r="DE229" s="67"/>
      <c r="DF229" s="67"/>
      <c r="DG229" s="67"/>
      <c r="DH229" s="67"/>
      <c r="DI229" s="67"/>
      <c r="DK229" s="66"/>
      <c r="DL229" s="66"/>
      <c r="DM229" s="66"/>
      <c r="DN229" s="66"/>
      <c r="DO229" s="66"/>
    </row>
    <row r="230" spans="1:138" ht="21" customHeight="1">
      <c r="B230" s="336"/>
      <c r="C230" s="337"/>
      <c r="D230" s="338"/>
      <c r="E230" s="336"/>
      <c r="F230" s="337"/>
      <c r="G230" s="337"/>
      <c r="H230" s="337"/>
      <c r="I230" s="337"/>
      <c r="J230" s="578"/>
      <c r="K230" s="579"/>
      <c r="L230" s="579"/>
      <c r="M230" s="579"/>
      <c r="N230" s="579"/>
      <c r="O230" s="622"/>
      <c r="P230" s="506"/>
      <c r="Q230" s="337"/>
      <c r="R230" s="507"/>
      <c r="S230" s="139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4"/>
      <c r="AE230" s="138"/>
      <c r="AF230" s="138"/>
      <c r="AG230" s="138"/>
      <c r="AH230" s="138"/>
      <c r="AI230" s="138"/>
      <c r="AJ230" s="138"/>
      <c r="AK230" s="138"/>
      <c r="AL230" s="138"/>
      <c r="AM230" s="138"/>
      <c r="AN230" s="138"/>
      <c r="AO230" s="138"/>
      <c r="AP230" s="138"/>
      <c r="AQ230" s="138"/>
      <c r="AR230" s="138"/>
      <c r="AS230" s="138"/>
      <c r="AT230" s="138"/>
      <c r="AU230" s="138"/>
      <c r="AV230" s="138"/>
      <c r="AW230" s="138"/>
      <c r="AX230" s="581"/>
      <c r="AY230" s="581"/>
      <c r="AZ230" s="581"/>
      <c r="BA230" s="581"/>
      <c r="BB230" s="581"/>
      <c r="BC230" s="581"/>
      <c r="BD230" s="581"/>
      <c r="BE230" s="581"/>
      <c r="BF230" s="581"/>
      <c r="BG230" s="581"/>
      <c r="BH230" s="581"/>
      <c r="BI230" s="581"/>
      <c r="BJ230" s="581"/>
      <c r="BK230" s="581"/>
      <c r="BL230" s="581"/>
      <c r="BM230" s="138"/>
      <c r="BN230" s="138"/>
      <c r="BO230" s="138"/>
      <c r="BP230" s="138"/>
      <c r="BQ230" s="138"/>
      <c r="BR230" s="138"/>
      <c r="BS230" s="138"/>
      <c r="BT230" s="138"/>
      <c r="BU230" s="138"/>
      <c r="BV230" s="126"/>
      <c r="BW230" s="126"/>
      <c r="BX230" s="126"/>
      <c r="BY230" s="126"/>
      <c r="BZ230" s="126"/>
      <c r="CA230" s="127"/>
      <c r="CB230" s="372"/>
      <c r="CC230" s="582"/>
      <c r="CD230" s="582"/>
      <c r="CE230" s="582"/>
      <c r="CF230" s="582"/>
      <c r="CG230" s="582"/>
      <c r="CH230" s="582"/>
      <c r="CI230" s="582"/>
      <c r="CJ230" s="373"/>
      <c r="DE230" s="67"/>
      <c r="DF230" s="67"/>
      <c r="DG230" s="67"/>
      <c r="DH230" s="67"/>
      <c r="DI230" s="67"/>
      <c r="DK230" s="66"/>
      <c r="DL230" s="66"/>
      <c r="DM230" s="66"/>
      <c r="DN230" s="66"/>
      <c r="DO230" s="66"/>
    </row>
    <row r="231" spans="1:138" ht="21" customHeight="1">
      <c r="B231" s="200"/>
      <c r="C231" s="201"/>
      <c r="D231" s="202"/>
      <c r="E231" s="200"/>
      <c r="F231" s="201"/>
      <c r="G231" s="201"/>
      <c r="H231" s="201"/>
      <c r="I231" s="201"/>
      <c r="J231" s="580"/>
      <c r="K231" s="190"/>
      <c r="L231" s="190"/>
      <c r="M231" s="190"/>
      <c r="N231" s="190"/>
      <c r="O231" s="623"/>
      <c r="P231" s="322"/>
      <c r="Q231" s="201"/>
      <c r="R231" s="323"/>
      <c r="S231" s="198"/>
      <c r="T231" s="198"/>
      <c r="U231" s="199"/>
      <c r="V231" s="197"/>
      <c r="W231" s="198"/>
      <c r="X231" s="199"/>
      <c r="Y231" s="197"/>
      <c r="Z231" s="198"/>
      <c r="AA231" s="199"/>
      <c r="AB231" s="197"/>
      <c r="AC231" s="198"/>
      <c r="AD231" s="199"/>
      <c r="AE231" s="138"/>
      <c r="AF231" s="138"/>
      <c r="AG231" s="138"/>
      <c r="AH231" s="138"/>
      <c r="AI231" s="138"/>
      <c r="AJ231" s="138"/>
      <c r="AK231" s="138"/>
      <c r="AL231" s="138"/>
      <c r="AM231" s="138"/>
      <c r="AN231" s="138"/>
      <c r="AO231" s="138"/>
      <c r="AP231" s="138"/>
      <c r="AQ231" s="581"/>
      <c r="AR231" s="581"/>
      <c r="AS231" s="581"/>
      <c r="AT231" s="581"/>
      <c r="AU231" s="581"/>
      <c r="AV231" s="581"/>
      <c r="AW231" s="581"/>
      <c r="AX231" s="581"/>
      <c r="AY231" s="581"/>
      <c r="AZ231" s="581"/>
      <c r="BA231" s="581"/>
      <c r="BB231" s="581"/>
      <c r="BC231" s="581"/>
      <c r="BD231" s="581"/>
      <c r="BE231" s="581"/>
      <c r="BF231" s="581"/>
      <c r="BG231" s="581"/>
      <c r="BH231" s="581"/>
      <c r="BI231" s="581"/>
      <c r="BJ231" s="581"/>
      <c r="BK231" s="581"/>
      <c r="BL231" s="581"/>
      <c r="BM231" s="581"/>
      <c r="BN231" s="581"/>
      <c r="BO231" s="581"/>
      <c r="BP231" s="581"/>
      <c r="BQ231" s="581"/>
      <c r="BR231" s="581"/>
      <c r="BS231" s="581"/>
      <c r="BT231" s="581"/>
      <c r="BU231" s="581"/>
      <c r="BV231" s="515"/>
      <c r="BW231" s="515"/>
      <c r="BX231" s="516"/>
      <c r="BY231" s="514"/>
      <c r="BZ231" s="515"/>
      <c r="CA231" s="516"/>
      <c r="CB231" s="514"/>
      <c r="CC231" s="515"/>
      <c r="CD231" s="516"/>
      <c r="CE231" s="514"/>
      <c r="CF231" s="515"/>
      <c r="CG231" s="516"/>
      <c r="CH231" s="514"/>
      <c r="CI231" s="515"/>
      <c r="CJ231" s="516"/>
      <c r="DE231" s="67"/>
      <c r="DF231" s="67"/>
      <c r="DG231" s="67"/>
      <c r="DH231" s="67"/>
      <c r="DI231" s="67"/>
      <c r="DK231" s="66"/>
      <c r="DL231" s="66"/>
      <c r="DM231" s="66"/>
      <c r="DN231" s="66"/>
      <c r="DO231" s="66"/>
    </row>
    <row r="232" spans="1:138" ht="21" customHeight="1">
      <c r="B232" s="583" t="s">
        <v>108</v>
      </c>
      <c r="C232" s="584"/>
      <c r="D232" s="585"/>
      <c r="E232" s="520"/>
      <c r="F232" s="521"/>
      <c r="G232" s="521"/>
      <c r="H232" s="521"/>
      <c r="I232" s="521"/>
      <c r="J232" s="589"/>
      <c r="K232" s="590"/>
      <c r="L232" s="590"/>
      <c r="M232" s="590"/>
      <c r="N232" s="590"/>
      <c r="O232" s="591"/>
      <c r="P232" s="592">
        <f t="shared" ref="P232:P254" si="100">SUM(V232:AA232)</f>
        <v>0</v>
      </c>
      <c r="Q232" s="593"/>
      <c r="R232" s="594"/>
      <c r="S232" s="593"/>
      <c r="T232" s="593"/>
      <c r="U232" s="596"/>
      <c r="V232" s="595"/>
      <c r="W232" s="593"/>
      <c r="X232" s="596"/>
      <c r="Y232" s="595"/>
      <c r="Z232" s="593"/>
      <c r="AA232" s="596"/>
      <c r="AB232" s="595"/>
      <c r="AC232" s="593"/>
      <c r="AD232" s="596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140"/>
      <c r="AQ232" s="597"/>
      <c r="AR232" s="597"/>
      <c r="AS232" s="597"/>
      <c r="AT232" s="597"/>
      <c r="AU232" s="597"/>
      <c r="AV232" s="597"/>
      <c r="AW232" s="597"/>
      <c r="AX232" s="597"/>
      <c r="AY232" s="597"/>
      <c r="AZ232" s="597"/>
      <c r="BA232" s="597"/>
      <c r="BB232" s="597"/>
      <c r="BC232" s="597"/>
      <c r="BD232" s="597"/>
      <c r="BE232" s="597"/>
      <c r="BF232" s="597"/>
      <c r="BG232" s="597"/>
      <c r="BH232" s="597"/>
      <c r="BI232" s="597"/>
      <c r="BJ232" s="597"/>
      <c r="BK232" s="597"/>
      <c r="BL232" s="597"/>
      <c r="BM232" s="597"/>
      <c r="BN232" s="597"/>
      <c r="BO232" s="597"/>
      <c r="BP232" s="597"/>
      <c r="BQ232" s="597"/>
      <c r="BR232" s="597"/>
      <c r="BS232" s="597"/>
      <c r="BT232" s="597"/>
      <c r="BU232" s="597"/>
      <c r="BV232" s="593"/>
      <c r="BW232" s="593"/>
      <c r="BX232" s="596"/>
      <c r="BY232" s="595"/>
      <c r="BZ232" s="593"/>
      <c r="CA232" s="596"/>
      <c r="CB232" s="595"/>
      <c r="CC232" s="593"/>
      <c r="CD232" s="596"/>
      <c r="CE232" s="595"/>
      <c r="CF232" s="593"/>
      <c r="CG232" s="596"/>
      <c r="CH232" s="595"/>
      <c r="CI232" s="593"/>
      <c r="CJ232" s="596"/>
      <c r="DE232" s="67"/>
      <c r="DF232" s="67"/>
      <c r="DG232" s="67"/>
      <c r="DH232" s="67"/>
      <c r="DI232" s="67"/>
      <c r="DK232" s="66"/>
      <c r="DL232" s="66"/>
      <c r="DM232" s="66"/>
      <c r="DN232" s="66"/>
      <c r="DO232" s="66"/>
    </row>
    <row r="233" spans="1:138" ht="21" customHeight="1">
      <c r="B233" s="586"/>
      <c r="C233" s="587"/>
      <c r="D233" s="588"/>
      <c r="E233" s="520" t="s">
        <v>176</v>
      </c>
      <c r="F233" s="521"/>
      <c r="G233" s="521"/>
      <c r="H233" s="521"/>
      <c r="I233" s="521"/>
      <c r="J233" s="589"/>
      <c r="K233" s="590"/>
      <c r="L233" s="590"/>
      <c r="M233" s="590"/>
      <c r="N233" s="590"/>
      <c r="O233" s="591"/>
      <c r="P233" s="592">
        <f t="shared" si="100"/>
        <v>163573</v>
      </c>
      <c r="Q233" s="593"/>
      <c r="R233" s="594"/>
      <c r="S233" s="593"/>
      <c r="T233" s="593"/>
      <c r="U233" s="596"/>
      <c r="V233" s="595"/>
      <c r="W233" s="593"/>
      <c r="X233" s="596"/>
      <c r="Y233" s="598">
        <v>163573</v>
      </c>
      <c r="Z233" s="599"/>
      <c r="AA233" s="600"/>
      <c r="AB233" s="595"/>
      <c r="AC233" s="593"/>
      <c r="AD233" s="596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  <c r="AQ233" s="597"/>
      <c r="AR233" s="597"/>
      <c r="AS233" s="597"/>
      <c r="AT233" s="597"/>
      <c r="AU233" s="597"/>
      <c r="AV233" s="597"/>
      <c r="AW233" s="597"/>
      <c r="AX233" s="597"/>
      <c r="AY233" s="597"/>
      <c r="AZ233" s="597"/>
      <c r="BA233" s="597"/>
      <c r="BB233" s="597"/>
      <c r="BC233" s="597"/>
      <c r="BD233" s="597"/>
      <c r="BE233" s="597"/>
      <c r="BF233" s="597"/>
      <c r="BG233" s="597"/>
      <c r="BH233" s="597"/>
      <c r="BI233" s="597"/>
      <c r="BJ233" s="597"/>
      <c r="BK233" s="597"/>
      <c r="BL233" s="597"/>
      <c r="BM233" s="597"/>
      <c r="BN233" s="597"/>
      <c r="BO233" s="597"/>
      <c r="BP233" s="597"/>
      <c r="BQ233" s="597"/>
      <c r="BR233" s="597"/>
      <c r="BS233" s="597"/>
      <c r="BT233" s="597"/>
      <c r="BU233" s="597"/>
      <c r="BV233" s="593"/>
      <c r="BW233" s="593"/>
      <c r="BX233" s="596"/>
      <c r="BY233" s="595"/>
      <c r="BZ233" s="593"/>
      <c r="CA233" s="596"/>
      <c r="CB233" s="595"/>
      <c r="CC233" s="593"/>
      <c r="CD233" s="596"/>
      <c r="CE233" s="595"/>
      <c r="CF233" s="593"/>
      <c r="CG233" s="596"/>
      <c r="CH233" s="595"/>
      <c r="CI233" s="593"/>
      <c r="CJ233" s="596"/>
      <c r="DE233" s="67"/>
      <c r="DF233" s="67"/>
      <c r="DG233" s="67"/>
      <c r="DH233" s="67"/>
      <c r="DI233" s="67"/>
      <c r="DK233" s="66"/>
      <c r="DL233" s="66"/>
      <c r="DM233" s="66"/>
      <c r="DN233" s="66"/>
      <c r="DO233" s="66"/>
    </row>
    <row r="234" spans="1:138" ht="21" customHeight="1">
      <c r="B234" s="586"/>
      <c r="C234" s="587"/>
      <c r="D234" s="588"/>
      <c r="E234" s="520" t="s">
        <v>231</v>
      </c>
      <c r="F234" s="521"/>
      <c r="G234" s="521"/>
      <c r="H234" s="521"/>
      <c r="I234" s="521"/>
      <c r="J234" s="589"/>
      <c r="K234" s="590"/>
      <c r="L234" s="590"/>
      <c r="M234" s="590"/>
      <c r="N234" s="590"/>
      <c r="O234" s="591"/>
      <c r="P234" s="592">
        <f t="shared" si="100"/>
        <v>1267520</v>
      </c>
      <c r="Q234" s="593"/>
      <c r="R234" s="594"/>
      <c r="S234" s="593"/>
      <c r="T234" s="593"/>
      <c r="U234" s="596"/>
      <c r="V234" s="595"/>
      <c r="W234" s="593"/>
      <c r="X234" s="596"/>
      <c r="Y234" s="598">
        <v>1267520</v>
      </c>
      <c r="Z234" s="599"/>
      <c r="AA234" s="600"/>
      <c r="AB234" s="595"/>
      <c r="AC234" s="593"/>
      <c r="AD234" s="596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140"/>
      <c r="AQ234" s="597"/>
      <c r="AR234" s="597"/>
      <c r="AS234" s="597"/>
      <c r="AT234" s="597"/>
      <c r="AU234" s="597"/>
      <c r="AV234" s="597"/>
      <c r="AW234" s="597"/>
      <c r="AX234" s="597"/>
      <c r="AY234" s="597"/>
      <c r="AZ234" s="597"/>
      <c r="BA234" s="597"/>
      <c r="BB234" s="597"/>
      <c r="BC234" s="597"/>
      <c r="BD234" s="597"/>
      <c r="BE234" s="597"/>
      <c r="BF234" s="597"/>
      <c r="BG234" s="597"/>
      <c r="BH234" s="597"/>
      <c r="BI234" s="597"/>
      <c r="BJ234" s="597"/>
      <c r="BK234" s="597"/>
      <c r="BL234" s="597"/>
      <c r="BM234" s="597"/>
      <c r="BN234" s="597"/>
      <c r="BO234" s="597"/>
      <c r="BP234" s="597"/>
      <c r="BQ234" s="597"/>
      <c r="BR234" s="597"/>
      <c r="BS234" s="597"/>
      <c r="BT234" s="597"/>
      <c r="BU234" s="597"/>
      <c r="BV234" s="593"/>
      <c r="BW234" s="593"/>
      <c r="BX234" s="596"/>
      <c r="BY234" s="595"/>
      <c r="BZ234" s="593"/>
      <c r="CA234" s="596"/>
      <c r="CB234" s="595"/>
      <c r="CC234" s="593"/>
      <c r="CD234" s="596"/>
      <c r="CE234" s="595"/>
      <c r="CF234" s="593"/>
      <c r="CG234" s="596"/>
      <c r="CH234" s="595"/>
      <c r="CI234" s="593"/>
      <c r="CJ234" s="596"/>
      <c r="DE234" s="67"/>
      <c r="DF234" s="67"/>
      <c r="DG234" s="67"/>
      <c r="DH234" s="67"/>
      <c r="DI234" s="67"/>
      <c r="DK234" s="66"/>
      <c r="DL234" s="66"/>
      <c r="DM234" s="66"/>
      <c r="DN234" s="66"/>
      <c r="DO234" s="66"/>
    </row>
    <row r="235" spans="1:138" ht="21" customHeight="1">
      <c r="B235" s="586"/>
      <c r="C235" s="587"/>
      <c r="D235" s="588"/>
      <c r="E235" s="520" t="s">
        <v>178</v>
      </c>
      <c r="F235" s="521"/>
      <c r="G235" s="521"/>
      <c r="H235" s="521"/>
      <c r="I235" s="521"/>
      <c r="J235" s="589"/>
      <c r="K235" s="590"/>
      <c r="L235" s="590"/>
      <c r="M235" s="590"/>
      <c r="N235" s="590"/>
      <c r="O235" s="591"/>
      <c r="P235" s="592">
        <f t="shared" si="100"/>
        <v>0</v>
      </c>
      <c r="Q235" s="593"/>
      <c r="R235" s="594"/>
      <c r="S235" s="593"/>
      <c r="T235" s="593"/>
      <c r="U235" s="596"/>
      <c r="V235" s="595"/>
      <c r="W235" s="593"/>
      <c r="X235" s="596"/>
      <c r="Y235" s="595"/>
      <c r="Z235" s="593"/>
      <c r="AA235" s="596"/>
      <c r="AB235" s="595"/>
      <c r="AC235" s="593"/>
      <c r="AD235" s="596"/>
      <c r="AE235" s="140"/>
      <c r="AF235" s="140"/>
      <c r="AG235" s="140"/>
      <c r="AH235" s="140"/>
      <c r="AI235" s="140"/>
      <c r="AJ235" s="140"/>
      <c r="AK235" s="140"/>
      <c r="AL235" s="140"/>
      <c r="AM235" s="140"/>
      <c r="AN235" s="140"/>
      <c r="AO235" s="140"/>
      <c r="AP235" s="140"/>
      <c r="AQ235" s="597"/>
      <c r="AR235" s="597"/>
      <c r="AS235" s="597"/>
      <c r="AT235" s="597"/>
      <c r="AU235" s="597"/>
      <c r="AV235" s="597"/>
      <c r="AW235" s="597"/>
      <c r="AX235" s="597"/>
      <c r="AY235" s="597"/>
      <c r="AZ235" s="597"/>
      <c r="BA235" s="597"/>
      <c r="BB235" s="597"/>
      <c r="BC235" s="597"/>
      <c r="BD235" s="597"/>
      <c r="BE235" s="597"/>
      <c r="BF235" s="597"/>
      <c r="BG235" s="597"/>
      <c r="BH235" s="597"/>
      <c r="BI235" s="597"/>
      <c r="BJ235" s="597"/>
      <c r="BK235" s="597"/>
      <c r="BL235" s="597"/>
      <c r="BM235" s="597"/>
      <c r="BN235" s="597"/>
      <c r="BO235" s="597"/>
      <c r="BP235" s="597"/>
      <c r="BQ235" s="597"/>
      <c r="BR235" s="597"/>
      <c r="BS235" s="597"/>
      <c r="BT235" s="597"/>
      <c r="BU235" s="597"/>
      <c r="BV235" s="593"/>
      <c r="BW235" s="593"/>
      <c r="BX235" s="596"/>
      <c r="BY235" s="595"/>
      <c r="BZ235" s="593"/>
      <c r="CA235" s="596"/>
      <c r="CB235" s="595"/>
      <c r="CC235" s="593"/>
      <c r="CD235" s="596"/>
      <c r="CE235" s="595"/>
      <c r="CF235" s="593"/>
      <c r="CG235" s="596"/>
      <c r="CH235" s="595"/>
      <c r="CI235" s="593"/>
      <c r="CJ235" s="596"/>
      <c r="DE235" s="67"/>
      <c r="DF235" s="67"/>
      <c r="DG235" s="67"/>
      <c r="DH235" s="67"/>
      <c r="DI235" s="67"/>
      <c r="DK235" s="66"/>
      <c r="DL235" s="66"/>
      <c r="DM235" s="66"/>
      <c r="DN235" s="66"/>
      <c r="DO235" s="66"/>
    </row>
    <row r="236" spans="1:138" ht="21" customHeight="1">
      <c r="B236" s="586"/>
      <c r="C236" s="587"/>
      <c r="D236" s="588"/>
      <c r="E236" s="520" t="s">
        <v>183</v>
      </c>
      <c r="F236" s="521"/>
      <c r="G236" s="521"/>
      <c r="H236" s="521"/>
      <c r="I236" s="521"/>
      <c r="J236" s="589"/>
      <c r="K236" s="590"/>
      <c r="L236" s="590"/>
      <c r="M236" s="590"/>
      <c r="N236" s="590"/>
      <c r="O236" s="591"/>
      <c r="P236" s="592">
        <f t="shared" ref="P236" si="101">SUM(V236:AA236)</f>
        <v>64393</v>
      </c>
      <c r="Q236" s="593"/>
      <c r="R236" s="594"/>
      <c r="S236" s="593"/>
      <c r="T236" s="593"/>
      <c r="U236" s="596"/>
      <c r="V236" s="595">
        <f>25393+39000</f>
        <v>64393</v>
      </c>
      <c r="W236" s="593"/>
      <c r="X236" s="596"/>
      <c r="Y236" s="595"/>
      <c r="Z236" s="593"/>
      <c r="AA236" s="596"/>
      <c r="AB236" s="595"/>
      <c r="AC236" s="593"/>
      <c r="AD236" s="596"/>
      <c r="AE236" s="140"/>
      <c r="AF236" s="140"/>
      <c r="AG236" s="140"/>
      <c r="AH236" s="140"/>
      <c r="AI236" s="140"/>
      <c r="AJ236" s="140"/>
      <c r="AK236" s="140"/>
      <c r="AL236" s="140"/>
      <c r="AM236" s="140"/>
      <c r="AN236" s="140"/>
      <c r="AO236" s="140"/>
      <c r="AP236" s="140"/>
      <c r="AQ236" s="597"/>
      <c r="AR236" s="597"/>
      <c r="AS236" s="597"/>
      <c r="AT236" s="597"/>
      <c r="AU236" s="597"/>
      <c r="AV236" s="597"/>
      <c r="AW236" s="597"/>
      <c r="AX236" s="597"/>
      <c r="AY236" s="597"/>
      <c r="AZ236" s="597"/>
      <c r="BA236" s="597"/>
      <c r="BB236" s="597"/>
      <c r="BC236" s="597"/>
      <c r="BD236" s="597"/>
      <c r="BE236" s="597"/>
      <c r="BF236" s="597"/>
      <c r="BG236" s="597"/>
      <c r="BH236" s="597"/>
      <c r="BI236" s="597"/>
      <c r="BJ236" s="597"/>
      <c r="BK236" s="597"/>
      <c r="BL236" s="597"/>
      <c r="BM236" s="597"/>
      <c r="BN236" s="597"/>
      <c r="BO236" s="597"/>
      <c r="BP236" s="597"/>
      <c r="BQ236" s="597"/>
      <c r="BR236" s="597"/>
      <c r="BS236" s="597"/>
      <c r="BT236" s="597"/>
      <c r="BU236" s="597"/>
      <c r="BV236" s="593"/>
      <c r="BW236" s="593"/>
      <c r="BX236" s="596"/>
      <c r="BY236" s="595"/>
      <c r="BZ236" s="593"/>
      <c r="CA236" s="596"/>
      <c r="CB236" s="595"/>
      <c r="CC236" s="593"/>
      <c r="CD236" s="596"/>
      <c r="CE236" s="595"/>
      <c r="CF236" s="593"/>
      <c r="CG236" s="596"/>
      <c r="CH236" s="595"/>
      <c r="CI236" s="593"/>
      <c r="CJ236" s="596"/>
      <c r="DE236" s="67"/>
      <c r="DF236" s="67"/>
      <c r="DG236" s="67"/>
      <c r="DH236" s="67"/>
      <c r="DI236" s="67"/>
      <c r="DK236" s="66"/>
      <c r="DL236" s="66"/>
      <c r="DM236" s="66"/>
      <c r="DN236" s="66"/>
      <c r="DO236" s="66"/>
    </row>
    <row r="237" spans="1:138" ht="21" customHeight="1">
      <c r="B237" s="586"/>
      <c r="C237" s="587"/>
      <c r="D237" s="588"/>
      <c r="E237" s="520" t="s">
        <v>259</v>
      </c>
      <c r="F237" s="521"/>
      <c r="G237" s="521"/>
      <c r="H237" s="521"/>
      <c r="I237" s="521"/>
      <c r="J237" s="589"/>
      <c r="K237" s="590"/>
      <c r="L237" s="590"/>
      <c r="M237" s="590"/>
      <c r="N237" s="590"/>
      <c r="O237" s="591"/>
      <c r="P237" s="592">
        <f t="shared" si="100"/>
        <v>11569285</v>
      </c>
      <c r="Q237" s="593"/>
      <c r="R237" s="594"/>
      <c r="S237" s="593"/>
      <c r="T237" s="593"/>
      <c r="U237" s="596"/>
      <c r="V237" s="595">
        <f>1109400+123095</f>
        <v>1232495</v>
      </c>
      <c r="W237" s="593"/>
      <c r="X237" s="596"/>
      <c r="Y237" s="595">
        <v>10336790</v>
      </c>
      <c r="Z237" s="593"/>
      <c r="AA237" s="596"/>
      <c r="AB237" s="595"/>
      <c r="AC237" s="593"/>
      <c r="AD237" s="596"/>
      <c r="AE237" s="140"/>
      <c r="AF237" s="140"/>
      <c r="AG237" s="140"/>
      <c r="AH237" s="140"/>
      <c r="AI237" s="140"/>
      <c r="AJ237" s="140"/>
      <c r="AK237" s="140"/>
      <c r="AL237" s="140"/>
      <c r="AM237" s="140"/>
      <c r="AN237" s="140"/>
      <c r="AO237" s="140"/>
      <c r="AP237" s="140"/>
      <c r="AQ237" s="597"/>
      <c r="AR237" s="597"/>
      <c r="AS237" s="597"/>
      <c r="AT237" s="597"/>
      <c r="AU237" s="597"/>
      <c r="AV237" s="597"/>
      <c r="AW237" s="597"/>
      <c r="AX237" s="597"/>
      <c r="AY237" s="597"/>
      <c r="AZ237" s="597"/>
      <c r="BA237" s="597"/>
      <c r="BB237" s="597"/>
      <c r="BC237" s="597"/>
      <c r="BD237" s="597"/>
      <c r="BE237" s="597"/>
      <c r="BF237" s="597"/>
      <c r="BG237" s="597"/>
      <c r="BH237" s="597"/>
      <c r="BI237" s="597"/>
      <c r="BJ237" s="597"/>
      <c r="BK237" s="597"/>
      <c r="BL237" s="597"/>
      <c r="BM237" s="597"/>
      <c r="BN237" s="597"/>
      <c r="BO237" s="597"/>
      <c r="BP237" s="597"/>
      <c r="BQ237" s="597"/>
      <c r="BR237" s="597"/>
      <c r="BS237" s="597"/>
      <c r="BT237" s="597"/>
      <c r="BU237" s="597"/>
      <c r="BV237" s="593"/>
      <c r="BW237" s="593"/>
      <c r="BX237" s="596"/>
      <c r="BY237" s="595"/>
      <c r="BZ237" s="593"/>
      <c r="CA237" s="596"/>
      <c r="CB237" s="595"/>
      <c r="CC237" s="593"/>
      <c r="CD237" s="596"/>
      <c r="CE237" s="595"/>
      <c r="CF237" s="593"/>
      <c r="CG237" s="596"/>
      <c r="CH237" s="595"/>
      <c r="CI237" s="593"/>
      <c r="CJ237" s="596"/>
      <c r="DE237" s="67"/>
      <c r="DF237" s="67"/>
      <c r="DG237" s="67"/>
      <c r="DH237" s="67"/>
      <c r="DI237" s="67"/>
      <c r="DK237" s="66"/>
      <c r="DL237" s="66"/>
      <c r="DM237" s="66"/>
      <c r="DN237" s="66"/>
      <c r="DO237" s="66"/>
    </row>
    <row r="238" spans="1:138" ht="21" customHeight="1">
      <c r="B238" s="586"/>
      <c r="C238" s="587"/>
      <c r="D238" s="588"/>
      <c r="E238" s="520" t="s">
        <v>260</v>
      </c>
      <c r="F238" s="521"/>
      <c r="G238" s="521"/>
      <c r="H238" s="521"/>
      <c r="I238" s="521"/>
      <c r="J238" s="589"/>
      <c r="K238" s="590"/>
      <c r="L238" s="590"/>
      <c r="M238" s="590"/>
      <c r="N238" s="590"/>
      <c r="O238" s="591"/>
      <c r="P238" s="592">
        <f t="shared" si="100"/>
        <v>26255</v>
      </c>
      <c r="Q238" s="593"/>
      <c r="R238" s="594"/>
      <c r="S238" s="593"/>
      <c r="T238" s="593"/>
      <c r="U238" s="596"/>
      <c r="V238" s="595"/>
      <c r="W238" s="593"/>
      <c r="X238" s="596"/>
      <c r="Y238" s="595">
        <v>26255</v>
      </c>
      <c r="Z238" s="593"/>
      <c r="AA238" s="596"/>
      <c r="AB238" s="595"/>
      <c r="AC238" s="593"/>
      <c r="AD238" s="596"/>
      <c r="AE238" s="140"/>
      <c r="AF238" s="140"/>
      <c r="AG238" s="140"/>
      <c r="AH238" s="140"/>
      <c r="AI238" s="140"/>
      <c r="AJ238" s="140"/>
      <c r="AK238" s="140"/>
      <c r="AL238" s="140"/>
      <c r="AM238" s="140"/>
      <c r="AN238" s="140"/>
      <c r="AO238" s="140"/>
      <c r="AP238" s="140"/>
      <c r="AQ238" s="597"/>
      <c r="AR238" s="597"/>
      <c r="AS238" s="597"/>
      <c r="AT238" s="597"/>
      <c r="AU238" s="597"/>
      <c r="AV238" s="597"/>
      <c r="AW238" s="597"/>
      <c r="AX238" s="597"/>
      <c r="AY238" s="597"/>
      <c r="AZ238" s="597"/>
      <c r="BA238" s="597"/>
      <c r="BB238" s="597"/>
      <c r="BC238" s="597"/>
      <c r="BD238" s="597"/>
      <c r="BE238" s="597"/>
      <c r="BF238" s="597"/>
      <c r="BG238" s="597"/>
      <c r="BH238" s="597"/>
      <c r="BI238" s="597"/>
      <c r="BJ238" s="597"/>
      <c r="BK238" s="597"/>
      <c r="BL238" s="597"/>
      <c r="BM238" s="597"/>
      <c r="BN238" s="597"/>
      <c r="BO238" s="597"/>
      <c r="BP238" s="597"/>
      <c r="BQ238" s="597"/>
      <c r="BR238" s="597"/>
      <c r="BS238" s="597"/>
      <c r="BT238" s="597"/>
      <c r="BU238" s="597"/>
      <c r="BV238" s="593"/>
      <c r="BW238" s="593"/>
      <c r="BX238" s="596"/>
      <c r="BY238" s="595"/>
      <c r="BZ238" s="593"/>
      <c r="CA238" s="596"/>
      <c r="CB238" s="595"/>
      <c r="CC238" s="593"/>
      <c r="CD238" s="596"/>
      <c r="CE238" s="595"/>
      <c r="CF238" s="593"/>
      <c r="CG238" s="596"/>
      <c r="CH238" s="595"/>
      <c r="CI238" s="593"/>
      <c r="CJ238" s="596"/>
      <c r="DE238" s="67"/>
      <c r="DF238" s="67"/>
      <c r="DG238" s="67"/>
      <c r="DH238" s="67"/>
      <c r="DI238" s="67"/>
      <c r="DK238" s="66"/>
      <c r="DL238" s="66"/>
      <c r="DM238" s="66"/>
      <c r="DN238" s="66"/>
      <c r="DO238" s="66"/>
    </row>
    <row r="239" spans="1:138" ht="21" customHeight="1">
      <c r="B239" s="586"/>
      <c r="C239" s="587"/>
      <c r="D239" s="588"/>
      <c r="E239" s="520" t="s">
        <v>261</v>
      </c>
      <c r="F239" s="521"/>
      <c r="G239" s="521"/>
      <c r="H239" s="521"/>
      <c r="I239" s="521"/>
      <c r="J239" s="589"/>
      <c r="K239" s="590"/>
      <c r="L239" s="590"/>
      <c r="M239" s="590"/>
      <c r="N239" s="590"/>
      <c r="O239" s="591"/>
      <c r="P239" s="592">
        <f t="shared" si="100"/>
        <v>825531</v>
      </c>
      <c r="Q239" s="593"/>
      <c r="R239" s="594"/>
      <c r="S239" s="593"/>
      <c r="T239" s="593"/>
      <c r="U239" s="596"/>
      <c r="V239" s="595">
        <v>161740</v>
      </c>
      <c r="W239" s="593"/>
      <c r="X239" s="596"/>
      <c r="Y239" s="595">
        <v>663791</v>
      </c>
      <c r="Z239" s="593"/>
      <c r="AA239" s="596"/>
      <c r="AB239" s="595"/>
      <c r="AC239" s="593"/>
      <c r="AD239" s="596"/>
      <c r="AE239" s="140"/>
      <c r="AF239" s="140"/>
      <c r="AG239" s="140"/>
      <c r="AH239" s="140"/>
      <c r="AI239" s="140"/>
      <c r="AJ239" s="140"/>
      <c r="AK239" s="140"/>
      <c r="AL239" s="140"/>
      <c r="AM239" s="140"/>
      <c r="AN239" s="140"/>
      <c r="AO239" s="140"/>
      <c r="AP239" s="140"/>
      <c r="AQ239" s="597"/>
      <c r="AR239" s="597"/>
      <c r="AS239" s="597"/>
      <c r="AT239" s="597"/>
      <c r="AU239" s="597"/>
      <c r="AV239" s="597"/>
      <c r="AW239" s="597"/>
      <c r="AX239" s="597"/>
      <c r="AY239" s="597"/>
      <c r="AZ239" s="597"/>
      <c r="BA239" s="597"/>
      <c r="BB239" s="597"/>
      <c r="BC239" s="597"/>
      <c r="BD239" s="597"/>
      <c r="BE239" s="597"/>
      <c r="BF239" s="597"/>
      <c r="BG239" s="597"/>
      <c r="BH239" s="597"/>
      <c r="BI239" s="597"/>
      <c r="BJ239" s="597"/>
      <c r="BK239" s="597"/>
      <c r="BL239" s="597"/>
      <c r="BM239" s="597"/>
      <c r="BN239" s="597"/>
      <c r="BO239" s="597"/>
      <c r="BP239" s="597"/>
      <c r="BQ239" s="597"/>
      <c r="BR239" s="597"/>
      <c r="BS239" s="597"/>
      <c r="BT239" s="597"/>
      <c r="BU239" s="597"/>
      <c r="BV239" s="593"/>
      <c r="BW239" s="593"/>
      <c r="BX239" s="596"/>
      <c r="BY239" s="595"/>
      <c r="BZ239" s="593"/>
      <c r="CA239" s="596"/>
      <c r="CB239" s="595"/>
      <c r="CC239" s="593"/>
      <c r="CD239" s="596"/>
      <c r="CE239" s="595"/>
      <c r="CF239" s="593"/>
      <c r="CG239" s="596"/>
      <c r="CH239" s="595"/>
      <c r="CI239" s="593"/>
      <c r="CJ239" s="596"/>
      <c r="DE239" s="67"/>
      <c r="DF239" s="67"/>
      <c r="DG239" s="67"/>
      <c r="DH239" s="67"/>
      <c r="DI239" s="67"/>
      <c r="DK239" s="66"/>
      <c r="DL239" s="66"/>
      <c r="DM239" s="66"/>
      <c r="DN239" s="66"/>
      <c r="DO239" s="66"/>
    </row>
    <row r="240" spans="1:138" ht="21" customHeight="1">
      <c r="B240" s="586"/>
      <c r="C240" s="587"/>
      <c r="D240" s="588"/>
      <c r="E240" s="520" t="s">
        <v>182</v>
      </c>
      <c r="F240" s="521"/>
      <c r="G240" s="521"/>
      <c r="H240" s="521"/>
      <c r="I240" s="521"/>
      <c r="J240" s="589"/>
      <c r="K240" s="590"/>
      <c r="L240" s="590"/>
      <c r="M240" s="590"/>
      <c r="N240" s="590"/>
      <c r="O240" s="591"/>
      <c r="P240" s="592">
        <f t="shared" si="100"/>
        <v>345000</v>
      </c>
      <c r="Q240" s="593"/>
      <c r="R240" s="594"/>
      <c r="S240" s="593"/>
      <c r="T240" s="593"/>
      <c r="U240" s="596"/>
      <c r="V240" s="595">
        <v>125000</v>
      </c>
      <c r="W240" s="593"/>
      <c r="X240" s="596"/>
      <c r="Y240" s="595">
        <v>220000</v>
      </c>
      <c r="Z240" s="593"/>
      <c r="AA240" s="596"/>
      <c r="AB240" s="595"/>
      <c r="AC240" s="593"/>
      <c r="AD240" s="596"/>
      <c r="AE240" s="140"/>
      <c r="AF240" s="140"/>
      <c r="AG240" s="140"/>
      <c r="AH240" s="140"/>
      <c r="AI240" s="140"/>
      <c r="AJ240" s="140"/>
      <c r="AK240" s="140"/>
      <c r="AL240" s="140"/>
      <c r="AM240" s="140"/>
      <c r="AN240" s="140"/>
      <c r="AO240" s="140"/>
      <c r="AP240" s="140"/>
      <c r="AQ240" s="597"/>
      <c r="AR240" s="597"/>
      <c r="AS240" s="597"/>
      <c r="AT240" s="597"/>
      <c r="AU240" s="597"/>
      <c r="AV240" s="597"/>
      <c r="AW240" s="597"/>
      <c r="AX240" s="597"/>
      <c r="AY240" s="597"/>
      <c r="AZ240" s="597"/>
      <c r="BA240" s="597"/>
      <c r="BB240" s="597"/>
      <c r="BC240" s="597"/>
      <c r="BD240" s="597"/>
      <c r="BE240" s="597"/>
      <c r="BF240" s="597"/>
      <c r="BG240" s="597"/>
      <c r="BH240" s="597"/>
      <c r="BI240" s="597"/>
      <c r="BJ240" s="597"/>
      <c r="BK240" s="597"/>
      <c r="BL240" s="597"/>
      <c r="BM240" s="597"/>
      <c r="BN240" s="597"/>
      <c r="BO240" s="597"/>
      <c r="BP240" s="597"/>
      <c r="BQ240" s="597"/>
      <c r="BR240" s="597"/>
      <c r="BS240" s="597"/>
      <c r="BT240" s="597"/>
      <c r="BU240" s="597"/>
      <c r="BV240" s="593"/>
      <c r="BW240" s="593"/>
      <c r="BX240" s="596"/>
      <c r="BY240" s="595"/>
      <c r="BZ240" s="593"/>
      <c r="CA240" s="596"/>
      <c r="CB240" s="595"/>
      <c r="CC240" s="593"/>
      <c r="CD240" s="596"/>
      <c r="CE240" s="595"/>
      <c r="CF240" s="593"/>
      <c r="CG240" s="596"/>
      <c r="CH240" s="595"/>
      <c r="CI240" s="593"/>
      <c r="CJ240" s="596"/>
      <c r="DE240" s="67"/>
      <c r="DF240" s="67"/>
      <c r="DG240" s="67"/>
      <c r="DH240" s="67"/>
      <c r="DI240" s="67"/>
      <c r="DK240" s="66"/>
      <c r="DL240" s="66"/>
      <c r="DM240" s="66"/>
      <c r="DN240" s="66"/>
      <c r="DO240" s="66"/>
    </row>
    <row r="241" spans="2:119" ht="21" customHeight="1">
      <c r="B241" s="586"/>
      <c r="C241" s="587"/>
      <c r="D241" s="588"/>
      <c r="E241" s="520" t="s">
        <v>262</v>
      </c>
      <c r="F241" s="521"/>
      <c r="G241" s="521"/>
      <c r="H241" s="521"/>
      <c r="I241" s="521"/>
      <c r="J241" s="589"/>
      <c r="K241" s="590"/>
      <c r="L241" s="590"/>
      <c r="M241" s="590"/>
      <c r="N241" s="590"/>
      <c r="O241" s="591"/>
      <c r="P241" s="592">
        <f t="shared" si="100"/>
        <v>2582000</v>
      </c>
      <c r="Q241" s="593"/>
      <c r="R241" s="594"/>
      <c r="S241" s="593"/>
      <c r="T241" s="593"/>
      <c r="U241" s="596"/>
      <c r="V241" s="595">
        <v>2167200</v>
      </c>
      <c r="W241" s="593"/>
      <c r="X241" s="596"/>
      <c r="Y241" s="595">
        <v>414800</v>
      </c>
      <c r="Z241" s="593"/>
      <c r="AA241" s="596"/>
      <c r="AB241" s="595"/>
      <c r="AC241" s="593"/>
      <c r="AD241" s="596"/>
      <c r="AE241" s="140"/>
      <c r="AF241" s="140"/>
      <c r="AG241" s="140"/>
      <c r="AH241" s="140"/>
      <c r="AI241" s="140"/>
      <c r="AJ241" s="140"/>
      <c r="AK241" s="140"/>
      <c r="AL241" s="140"/>
      <c r="AM241" s="140"/>
      <c r="AN241" s="140"/>
      <c r="AO241" s="140"/>
      <c r="AP241" s="140"/>
      <c r="AQ241" s="597"/>
      <c r="AR241" s="597"/>
      <c r="AS241" s="597"/>
      <c r="AT241" s="597"/>
      <c r="AU241" s="597"/>
      <c r="AV241" s="597"/>
      <c r="AW241" s="597"/>
      <c r="AX241" s="597"/>
      <c r="AY241" s="597"/>
      <c r="AZ241" s="597"/>
      <c r="BA241" s="597"/>
      <c r="BB241" s="597"/>
      <c r="BC241" s="597"/>
      <c r="BD241" s="597"/>
      <c r="BE241" s="597"/>
      <c r="BF241" s="597"/>
      <c r="BG241" s="597"/>
      <c r="BH241" s="597"/>
      <c r="BI241" s="597"/>
      <c r="BJ241" s="597"/>
      <c r="BK241" s="597"/>
      <c r="BL241" s="597"/>
      <c r="BM241" s="597"/>
      <c r="BN241" s="597"/>
      <c r="BO241" s="597"/>
      <c r="BP241" s="597"/>
      <c r="BQ241" s="597"/>
      <c r="BR241" s="597"/>
      <c r="BS241" s="597"/>
      <c r="BT241" s="597"/>
      <c r="BU241" s="597"/>
      <c r="BV241" s="593"/>
      <c r="BW241" s="593"/>
      <c r="BX241" s="596"/>
      <c r="BY241" s="595"/>
      <c r="BZ241" s="593"/>
      <c r="CA241" s="596"/>
      <c r="CB241" s="595"/>
      <c r="CC241" s="593"/>
      <c r="CD241" s="596"/>
      <c r="CE241" s="595"/>
      <c r="CF241" s="593"/>
      <c r="CG241" s="596"/>
      <c r="CH241" s="595"/>
      <c r="CI241" s="593"/>
      <c r="CJ241" s="596"/>
      <c r="DE241" s="67"/>
      <c r="DF241" s="67"/>
      <c r="DG241" s="67"/>
      <c r="DH241" s="67"/>
      <c r="DI241" s="67"/>
      <c r="DK241" s="66"/>
      <c r="DL241" s="66"/>
      <c r="DM241" s="66"/>
      <c r="DN241" s="66"/>
      <c r="DO241" s="66"/>
    </row>
    <row r="242" spans="2:119" ht="21" customHeight="1">
      <c r="B242" s="586"/>
      <c r="C242" s="587"/>
      <c r="D242" s="588"/>
      <c r="E242" s="520" t="s">
        <v>288</v>
      </c>
      <c r="F242" s="521"/>
      <c r="G242" s="521"/>
      <c r="H242" s="521"/>
      <c r="I242" s="521"/>
      <c r="J242" s="589"/>
      <c r="K242" s="590"/>
      <c r="L242" s="590"/>
      <c r="M242" s="590"/>
      <c r="N242" s="590"/>
      <c r="O242" s="591"/>
      <c r="P242" s="592">
        <f t="shared" si="100"/>
        <v>0</v>
      </c>
      <c r="Q242" s="593"/>
      <c r="R242" s="594"/>
      <c r="S242" s="593"/>
      <c r="T242" s="593"/>
      <c r="U242" s="596"/>
      <c r="V242" s="595"/>
      <c r="W242" s="593"/>
      <c r="X242" s="596"/>
      <c r="Y242" s="595"/>
      <c r="Z242" s="593"/>
      <c r="AA242" s="596"/>
      <c r="AB242" s="595"/>
      <c r="AC242" s="593"/>
      <c r="AD242" s="596"/>
      <c r="AE242" s="140"/>
      <c r="AF242" s="140"/>
      <c r="AG242" s="140"/>
      <c r="AH242" s="140"/>
      <c r="AI242" s="140"/>
      <c r="AJ242" s="140"/>
      <c r="AK242" s="140"/>
      <c r="AL242" s="140"/>
      <c r="AM242" s="140"/>
      <c r="AN242" s="140"/>
      <c r="AO242" s="140"/>
      <c r="AP242" s="140"/>
      <c r="AQ242" s="597"/>
      <c r="AR242" s="597"/>
      <c r="AS242" s="597"/>
      <c r="AT242" s="597"/>
      <c r="AU242" s="597"/>
      <c r="AV242" s="597"/>
      <c r="AW242" s="597"/>
      <c r="AX242" s="597"/>
      <c r="AY242" s="597"/>
      <c r="AZ242" s="597"/>
      <c r="BA242" s="597"/>
      <c r="BB242" s="597"/>
      <c r="BC242" s="597"/>
      <c r="BD242" s="597"/>
      <c r="BE242" s="597"/>
      <c r="BF242" s="597"/>
      <c r="BG242" s="597"/>
      <c r="BH242" s="597"/>
      <c r="BI242" s="597"/>
      <c r="BJ242" s="597"/>
      <c r="BK242" s="597"/>
      <c r="BL242" s="597"/>
      <c r="BM242" s="597"/>
      <c r="BN242" s="597"/>
      <c r="BO242" s="597"/>
      <c r="BP242" s="597"/>
      <c r="BQ242" s="597"/>
      <c r="BR242" s="597"/>
      <c r="BS242" s="597"/>
      <c r="BT242" s="597"/>
      <c r="BU242" s="597"/>
      <c r="BV242" s="593"/>
      <c r="BW242" s="593"/>
      <c r="BX242" s="596"/>
      <c r="BY242" s="595"/>
      <c r="BZ242" s="593"/>
      <c r="CA242" s="596"/>
      <c r="CB242" s="595"/>
      <c r="CC242" s="593"/>
      <c r="CD242" s="596"/>
      <c r="CE242" s="595"/>
      <c r="CF242" s="593"/>
      <c r="CG242" s="596"/>
      <c r="CH242" s="595"/>
      <c r="CI242" s="593"/>
      <c r="CJ242" s="596"/>
      <c r="DE242" s="67"/>
      <c r="DF242" s="67"/>
      <c r="DG242" s="67"/>
      <c r="DH242" s="67"/>
      <c r="DI242" s="67"/>
      <c r="DK242" s="66"/>
      <c r="DL242" s="66"/>
      <c r="DM242" s="66"/>
      <c r="DN242" s="66"/>
      <c r="DO242" s="66"/>
    </row>
    <row r="243" spans="2:119" ht="21" customHeight="1">
      <c r="B243" s="586"/>
      <c r="C243" s="587"/>
      <c r="D243" s="588"/>
      <c r="E243" s="520" t="s">
        <v>186</v>
      </c>
      <c r="F243" s="521"/>
      <c r="G243" s="521"/>
      <c r="H243" s="521"/>
      <c r="I243" s="521"/>
      <c r="J243" s="589"/>
      <c r="K243" s="590"/>
      <c r="L243" s="590"/>
      <c r="M243" s="590"/>
      <c r="N243" s="590"/>
      <c r="O243" s="591"/>
      <c r="P243" s="592">
        <f t="shared" si="100"/>
        <v>8020</v>
      </c>
      <c r="Q243" s="593"/>
      <c r="R243" s="594"/>
      <c r="S243" s="593"/>
      <c r="T243" s="593"/>
      <c r="U243" s="596"/>
      <c r="V243" s="595"/>
      <c r="W243" s="593"/>
      <c r="X243" s="596"/>
      <c r="Y243" s="595">
        <v>8020</v>
      </c>
      <c r="Z243" s="593"/>
      <c r="AA243" s="596"/>
      <c r="AB243" s="595"/>
      <c r="AC243" s="593"/>
      <c r="AD243" s="596"/>
      <c r="AE243" s="140"/>
      <c r="AF243" s="140"/>
      <c r="AG243" s="140"/>
      <c r="AH243" s="140"/>
      <c r="AI243" s="140"/>
      <c r="AJ243" s="140"/>
      <c r="AK243" s="140"/>
      <c r="AL243" s="140"/>
      <c r="AM243" s="140"/>
      <c r="AN243" s="140"/>
      <c r="AO243" s="140"/>
      <c r="AP243" s="140"/>
      <c r="AQ243" s="597"/>
      <c r="AR243" s="597"/>
      <c r="AS243" s="597"/>
      <c r="AT243" s="597"/>
      <c r="AU243" s="597"/>
      <c r="AV243" s="597"/>
      <c r="AW243" s="597"/>
      <c r="AX243" s="597"/>
      <c r="AY243" s="597"/>
      <c r="AZ243" s="597"/>
      <c r="BA243" s="597"/>
      <c r="BB243" s="597"/>
      <c r="BC243" s="597"/>
      <c r="BD243" s="597"/>
      <c r="BE243" s="597"/>
      <c r="BF243" s="597"/>
      <c r="BG243" s="597"/>
      <c r="BH243" s="597"/>
      <c r="BI243" s="597"/>
      <c r="BJ243" s="597"/>
      <c r="BK243" s="597"/>
      <c r="BL243" s="597"/>
      <c r="BM243" s="597"/>
      <c r="BN243" s="597"/>
      <c r="BO243" s="597"/>
      <c r="BP243" s="597"/>
      <c r="BQ243" s="597"/>
      <c r="BR243" s="597"/>
      <c r="BS243" s="597"/>
      <c r="BT243" s="597"/>
      <c r="BU243" s="597"/>
      <c r="BV243" s="593"/>
      <c r="BW243" s="593"/>
      <c r="BX243" s="596"/>
      <c r="BY243" s="595"/>
      <c r="BZ243" s="593"/>
      <c r="CA243" s="596"/>
      <c r="CB243" s="595"/>
      <c r="CC243" s="593"/>
      <c r="CD243" s="596"/>
      <c r="CE243" s="595"/>
      <c r="CF243" s="593"/>
      <c r="CG243" s="596"/>
      <c r="CH243" s="595"/>
      <c r="CI243" s="593"/>
      <c r="CJ243" s="596"/>
      <c r="DE243" s="67"/>
      <c r="DF243" s="67"/>
      <c r="DG243" s="67"/>
      <c r="DH243" s="67"/>
      <c r="DI243" s="67"/>
      <c r="DK243" s="66"/>
      <c r="DL243" s="66"/>
      <c r="DM243" s="66"/>
      <c r="DN243" s="66"/>
      <c r="DO243" s="66"/>
    </row>
    <row r="244" spans="2:119" ht="21" customHeight="1">
      <c r="B244" s="586"/>
      <c r="C244" s="587"/>
      <c r="D244" s="588"/>
      <c r="E244" s="520" t="s">
        <v>228</v>
      </c>
      <c r="F244" s="521"/>
      <c r="G244" s="521"/>
      <c r="H244" s="521"/>
      <c r="I244" s="521"/>
      <c r="J244" s="589"/>
      <c r="K244" s="590"/>
      <c r="L244" s="590"/>
      <c r="M244" s="590"/>
      <c r="N244" s="590"/>
      <c r="O244" s="591"/>
      <c r="P244" s="592">
        <f t="shared" si="100"/>
        <v>0</v>
      </c>
      <c r="Q244" s="593"/>
      <c r="R244" s="594"/>
      <c r="S244" s="593"/>
      <c r="T244" s="593"/>
      <c r="U244" s="596"/>
      <c r="V244" s="595"/>
      <c r="W244" s="593"/>
      <c r="X244" s="596"/>
      <c r="Y244" s="595"/>
      <c r="Z244" s="593"/>
      <c r="AA244" s="596"/>
      <c r="AB244" s="595"/>
      <c r="AC244" s="593"/>
      <c r="AD244" s="596"/>
      <c r="AE244" s="140"/>
      <c r="AF244" s="140"/>
      <c r="AG244" s="140"/>
      <c r="AH244" s="140"/>
      <c r="AI244" s="140"/>
      <c r="AJ244" s="140"/>
      <c r="AK244" s="140"/>
      <c r="AL244" s="140"/>
      <c r="AM244" s="140"/>
      <c r="AN244" s="140"/>
      <c r="AO244" s="140"/>
      <c r="AP244" s="140"/>
      <c r="AQ244" s="597"/>
      <c r="AR244" s="597"/>
      <c r="AS244" s="597"/>
      <c r="AT244" s="597"/>
      <c r="AU244" s="597"/>
      <c r="AV244" s="597"/>
      <c r="AW244" s="597"/>
      <c r="AX244" s="597"/>
      <c r="AY244" s="597"/>
      <c r="AZ244" s="597"/>
      <c r="BA244" s="597"/>
      <c r="BB244" s="597"/>
      <c r="BC244" s="597"/>
      <c r="BD244" s="597"/>
      <c r="BE244" s="597"/>
      <c r="BF244" s="597"/>
      <c r="BG244" s="597"/>
      <c r="BH244" s="597"/>
      <c r="BI244" s="597"/>
      <c r="BJ244" s="597"/>
      <c r="BK244" s="597"/>
      <c r="BL244" s="597"/>
      <c r="BM244" s="597"/>
      <c r="BN244" s="597"/>
      <c r="BO244" s="597"/>
      <c r="BP244" s="597"/>
      <c r="BQ244" s="597"/>
      <c r="BR244" s="597"/>
      <c r="BS244" s="597"/>
      <c r="BT244" s="597"/>
      <c r="BU244" s="597"/>
      <c r="BV244" s="593"/>
      <c r="BW244" s="593"/>
      <c r="BX244" s="596"/>
      <c r="BY244" s="595"/>
      <c r="BZ244" s="593"/>
      <c r="CA244" s="596"/>
      <c r="CB244" s="595"/>
      <c r="CC244" s="593"/>
      <c r="CD244" s="596"/>
      <c r="CE244" s="595"/>
      <c r="CF244" s="593"/>
      <c r="CG244" s="596"/>
      <c r="CH244" s="595"/>
      <c r="CI244" s="593"/>
      <c r="CJ244" s="596"/>
      <c r="DE244" s="67"/>
      <c r="DF244" s="67"/>
      <c r="DG244" s="67"/>
      <c r="DH244" s="67"/>
      <c r="DI244" s="67"/>
      <c r="DK244" s="66"/>
      <c r="DL244" s="66"/>
      <c r="DM244" s="66"/>
      <c r="DN244" s="66"/>
      <c r="DO244" s="66"/>
    </row>
    <row r="245" spans="2:119" ht="21" customHeight="1">
      <c r="B245" s="586"/>
      <c r="C245" s="587"/>
      <c r="D245" s="588"/>
      <c r="E245" s="520" t="s">
        <v>187</v>
      </c>
      <c r="F245" s="521"/>
      <c r="G245" s="521"/>
      <c r="H245" s="521"/>
      <c r="I245" s="521"/>
      <c r="J245" s="589"/>
      <c r="K245" s="590"/>
      <c r="L245" s="590"/>
      <c r="M245" s="590"/>
      <c r="N245" s="590"/>
      <c r="O245" s="591"/>
      <c r="P245" s="592">
        <f t="shared" si="100"/>
        <v>11210800</v>
      </c>
      <c r="Q245" s="593"/>
      <c r="R245" s="594"/>
      <c r="S245" s="593"/>
      <c r="T245" s="593"/>
      <c r="U245" s="596"/>
      <c r="V245" s="595">
        <f>8026786+1001461</f>
        <v>9028247</v>
      </c>
      <c r="W245" s="593"/>
      <c r="X245" s="596"/>
      <c r="Y245" s="595">
        <f>999000+1183553</f>
        <v>2182553</v>
      </c>
      <c r="Z245" s="593"/>
      <c r="AA245" s="596"/>
      <c r="AB245" s="595"/>
      <c r="AC245" s="593"/>
      <c r="AD245" s="596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40"/>
      <c r="AP245" s="140"/>
      <c r="AQ245" s="597"/>
      <c r="AR245" s="597"/>
      <c r="AS245" s="597"/>
      <c r="AT245" s="597"/>
      <c r="AU245" s="597"/>
      <c r="AV245" s="597"/>
      <c r="AW245" s="597"/>
      <c r="AX245" s="597"/>
      <c r="AY245" s="597"/>
      <c r="AZ245" s="597"/>
      <c r="BA245" s="597"/>
      <c r="BB245" s="597"/>
      <c r="BC245" s="597"/>
      <c r="BD245" s="597"/>
      <c r="BE245" s="597"/>
      <c r="BF245" s="597"/>
      <c r="BG245" s="597"/>
      <c r="BH245" s="597"/>
      <c r="BI245" s="597"/>
      <c r="BJ245" s="597"/>
      <c r="BK245" s="597"/>
      <c r="BL245" s="597"/>
      <c r="BM245" s="597"/>
      <c r="BN245" s="597"/>
      <c r="BO245" s="597"/>
      <c r="BP245" s="597"/>
      <c r="BQ245" s="597"/>
      <c r="BR245" s="597"/>
      <c r="BS245" s="597"/>
      <c r="BT245" s="597"/>
      <c r="BU245" s="597"/>
      <c r="BV245" s="593"/>
      <c r="BW245" s="593"/>
      <c r="BX245" s="596"/>
      <c r="BY245" s="595"/>
      <c r="BZ245" s="593"/>
      <c r="CA245" s="596"/>
      <c r="CB245" s="595"/>
      <c r="CC245" s="593"/>
      <c r="CD245" s="596"/>
      <c r="CE245" s="595"/>
      <c r="CF245" s="593"/>
      <c r="CG245" s="596"/>
      <c r="CH245" s="595"/>
      <c r="CI245" s="593"/>
      <c r="CJ245" s="596"/>
      <c r="DE245" s="67"/>
      <c r="DF245" s="67"/>
      <c r="DG245" s="67"/>
      <c r="DH245" s="67"/>
      <c r="DI245" s="67"/>
      <c r="DK245" s="66"/>
      <c r="DL245" s="66"/>
      <c r="DM245" s="66"/>
      <c r="DN245" s="66"/>
      <c r="DO245" s="66"/>
    </row>
    <row r="246" spans="2:119" ht="21" customHeight="1">
      <c r="B246" s="586"/>
      <c r="C246" s="587"/>
      <c r="D246" s="588"/>
      <c r="E246" s="520" t="s">
        <v>189</v>
      </c>
      <c r="F246" s="521"/>
      <c r="G246" s="521"/>
      <c r="H246" s="521"/>
      <c r="I246" s="521"/>
      <c r="J246" s="589"/>
      <c r="K246" s="590"/>
      <c r="L246" s="590"/>
      <c r="M246" s="590"/>
      <c r="N246" s="590"/>
      <c r="O246" s="591"/>
      <c r="P246" s="592">
        <f t="shared" si="100"/>
        <v>0</v>
      </c>
      <c r="Q246" s="593"/>
      <c r="R246" s="594"/>
      <c r="S246" s="593"/>
      <c r="T246" s="593"/>
      <c r="U246" s="596"/>
      <c r="V246" s="595"/>
      <c r="W246" s="593"/>
      <c r="X246" s="596"/>
      <c r="Y246" s="595"/>
      <c r="Z246" s="593"/>
      <c r="AA246" s="596"/>
      <c r="AB246" s="595"/>
      <c r="AC246" s="593"/>
      <c r="AD246" s="596"/>
      <c r="AE246" s="140"/>
      <c r="AF246" s="140"/>
      <c r="AG246" s="140"/>
      <c r="AH246" s="140"/>
      <c r="AI246" s="140"/>
      <c r="AJ246" s="140"/>
      <c r="AK246" s="140"/>
      <c r="AL246" s="140"/>
      <c r="AM246" s="140"/>
      <c r="AN246" s="140"/>
      <c r="AO246" s="140"/>
      <c r="AP246" s="140"/>
      <c r="AQ246" s="597"/>
      <c r="AR246" s="597"/>
      <c r="AS246" s="597"/>
      <c r="AT246" s="597"/>
      <c r="AU246" s="597"/>
      <c r="AV246" s="597"/>
      <c r="AW246" s="597"/>
      <c r="AX246" s="597"/>
      <c r="AY246" s="597"/>
      <c r="AZ246" s="597"/>
      <c r="BA246" s="597"/>
      <c r="BB246" s="597"/>
      <c r="BC246" s="597"/>
      <c r="BD246" s="597"/>
      <c r="BE246" s="597"/>
      <c r="BF246" s="597"/>
      <c r="BG246" s="597"/>
      <c r="BH246" s="597"/>
      <c r="BI246" s="597"/>
      <c r="BJ246" s="597"/>
      <c r="BK246" s="597"/>
      <c r="BL246" s="597"/>
      <c r="BM246" s="597"/>
      <c r="BN246" s="597"/>
      <c r="BO246" s="597"/>
      <c r="BP246" s="597"/>
      <c r="BQ246" s="597"/>
      <c r="BR246" s="597"/>
      <c r="BS246" s="597"/>
      <c r="BT246" s="597"/>
      <c r="BU246" s="597"/>
      <c r="BV246" s="593"/>
      <c r="BW246" s="593"/>
      <c r="BX246" s="596"/>
      <c r="BY246" s="595"/>
      <c r="BZ246" s="593"/>
      <c r="CA246" s="596"/>
      <c r="CB246" s="595"/>
      <c r="CC246" s="593"/>
      <c r="CD246" s="596"/>
      <c r="CE246" s="595"/>
      <c r="CF246" s="593"/>
      <c r="CG246" s="596"/>
      <c r="CH246" s="595"/>
      <c r="CI246" s="593"/>
      <c r="CJ246" s="596"/>
      <c r="DE246" s="67"/>
      <c r="DF246" s="67"/>
      <c r="DG246" s="67"/>
      <c r="DH246" s="67"/>
      <c r="DI246" s="67"/>
      <c r="DK246" s="66"/>
      <c r="DL246" s="66"/>
      <c r="DM246" s="66"/>
      <c r="DN246" s="66"/>
      <c r="DO246" s="66"/>
    </row>
    <row r="247" spans="2:119" ht="21" customHeight="1">
      <c r="B247" s="586"/>
      <c r="C247" s="587"/>
      <c r="D247" s="588"/>
      <c r="E247" s="520" t="s">
        <v>190</v>
      </c>
      <c r="F247" s="521"/>
      <c r="G247" s="521"/>
      <c r="H247" s="521"/>
      <c r="I247" s="521"/>
      <c r="J247" s="589"/>
      <c r="K247" s="590"/>
      <c r="L247" s="590"/>
      <c r="M247" s="590"/>
      <c r="N247" s="590"/>
      <c r="O247" s="591"/>
      <c r="P247" s="592">
        <f t="shared" si="100"/>
        <v>0</v>
      </c>
      <c r="Q247" s="593"/>
      <c r="R247" s="594"/>
      <c r="S247" s="593"/>
      <c r="T247" s="593"/>
      <c r="U247" s="596"/>
      <c r="V247" s="595"/>
      <c r="W247" s="593"/>
      <c r="X247" s="596"/>
      <c r="Y247" s="595"/>
      <c r="Z247" s="593"/>
      <c r="AA247" s="596"/>
      <c r="AB247" s="595"/>
      <c r="AC247" s="593"/>
      <c r="AD247" s="596"/>
      <c r="AE247" s="140"/>
      <c r="AF247" s="140"/>
      <c r="AG247" s="140"/>
      <c r="AH247" s="140"/>
      <c r="AI247" s="140"/>
      <c r="AJ247" s="140"/>
      <c r="AK247" s="140"/>
      <c r="AL247" s="140"/>
      <c r="AM247" s="140"/>
      <c r="AN247" s="140"/>
      <c r="AO247" s="140"/>
      <c r="AP247" s="140"/>
      <c r="AQ247" s="597"/>
      <c r="AR247" s="597"/>
      <c r="AS247" s="597"/>
      <c r="AT247" s="597"/>
      <c r="AU247" s="597"/>
      <c r="AV247" s="597"/>
      <c r="AW247" s="597"/>
      <c r="AX247" s="597"/>
      <c r="AY247" s="597"/>
      <c r="AZ247" s="597"/>
      <c r="BA247" s="597"/>
      <c r="BB247" s="597"/>
      <c r="BC247" s="597"/>
      <c r="BD247" s="597"/>
      <c r="BE247" s="597"/>
      <c r="BF247" s="597"/>
      <c r="BG247" s="597"/>
      <c r="BH247" s="597"/>
      <c r="BI247" s="597"/>
      <c r="BJ247" s="597"/>
      <c r="BK247" s="597"/>
      <c r="BL247" s="597"/>
      <c r="BM247" s="597"/>
      <c r="BN247" s="597"/>
      <c r="BO247" s="597"/>
      <c r="BP247" s="597"/>
      <c r="BQ247" s="597"/>
      <c r="BR247" s="597"/>
      <c r="BS247" s="597"/>
      <c r="BT247" s="597"/>
      <c r="BU247" s="597"/>
      <c r="BV247" s="593"/>
      <c r="BW247" s="593"/>
      <c r="BX247" s="596"/>
      <c r="BY247" s="595"/>
      <c r="BZ247" s="593"/>
      <c r="CA247" s="596"/>
      <c r="CB247" s="595"/>
      <c r="CC247" s="593"/>
      <c r="CD247" s="596"/>
      <c r="CE247" s="595"/>
      <c r="CF247" s="593"/>
      <c r="CG247" s="596"/>
      <c r="CH247" s="595"/>
      <c r="CI247" s="593"/>
      <c r="CJ247" s="596"/>
      <c r="DE247" s="67"/>
      <c r="DF247" s="67"/>
      <c r="DG247" s="67"/>
      <c r="DH247" s="67"/>
      <c r="DI247" s="67"/>
      <c r="DK247" s="66"/>
      <c r="DL247" s="66"/>
      <c r="DM247" s="66"/>
      <c r="DN247" s="66"/>
      <c r="DO247" s="66"/>
    </row>
    <row r="248" spans="2:119" ht="21" customHeight="1">
      <c r="B248" s="586"/>
      <c r="C248" s="587"/>
      <c r="D248" s="588"/>
      <c r="E248" s="520" t="s">
        <v>192</v>
      </c>
      <c r="F248" s="521"/>
      <c r="G248" s="521"/>
      <c r="H248" s="521"/>
      <c r="I248" s="521"/>
      <c r="J248" s="589"/>
      <c r="K248" s="590"/>
      <c r="L248" s="590"/>
      <c r="M248" s="590"/>
      <c r="N248" s="590"/>
      <c r="O248" s="591"/>
      <c r="P248" s="592">
        <f t="shared" si="100"/>
        <v>128388</v>
      </c>
      <c r="Q248" s="593"/>
      <c r="R248" s="594"/>
      <c r="S248" s="593"/>
      <c r="T248" s="593"/>
      <c r="U248" s="596"/>
      <c r="V248" s="595"/>
      <c r="W248" s="593"/>
      <c r="X248" s="596"/>
      <c r="Y248" s="595">
        <v>128388</v>
      </c>
      <c r="Z248" s="593"/>
      <c r="AA248" s="596"/>
      <c r="AB248" s="595"/>
      <c r="AC248" s="593"/>
      <c r="AD248" s="596"/>
      <c r="AE248" s="140"/>
      <c r="AF248" s="140"/>
      <c r="AG248" s="140"/>
      <c r="AH248" s="140"/>
      <c r="AI248" s="140"/>
      <c r="AJ248" s="140"/>
      <c r="AK248" s="140"/>
      <c r="AL248" s="140"/>
      <c r="AM248" s="140"/>
      <c r="AN248" s="140"/>
      <c r="AO248" s="140"/>
      <c r="AP248" s="140"/>
      <c r="AQ248" s="597"/>
      <c r="AR248" s="597"/>
      <c r="AS248" s="597"/>
      <c r="AT248" s="597"/>
      <c r="AU248" s="597"/>
      <c r="AV248" s="597"/>
      <c r="AW248" s="597"/>
      <c r="AX248" s="597"/>
      <c r="AY248" s="597"/>
      <c r="AZ248" s="597"/>
      <c r="BA248" s="597"/>
      <c r="BB248" s="597"/>
      <c r="BC248" s="597"/>
      <c r="BD248" s="597"/>
      <c r="BE248" s="597"/>
      <c r="BF248" s="597"/>
      <c r="BG248" s="597"/>
      <c r="BH248" s="597"/>
      <c r="BI248" s="597"/>
      <c r="BJ248" s="597"/>
      <c r="BK248" s="597"/>
      <c r="BL248" s="597"/>
      <c r="BM248" s="597"/>
      <c r="BN248" s="597"/>
      <c r="BO248" s="597"/>
      <c r="BP248" s="597"/>
      <c r="BQ248" s="597"/>
      <c r="BR248" s="597"/>
      <c r="BS248" s="597"/>
      <c r="BT248" s="597"/>
      <c r="BU248" s="597"/>
      <c r="BV248" s="593"/>
      <c r="BW248" s="593"/>
      <c r="BX248" s="596"/>
      <c r="BY248" s="595"/>
      <c r="BZ248" s="593"/>
      <c r="CA248" s="596"/>
      <c r="CB248" s="595"/>
      <c r="CC248" s="593"/>
      <c r="CD248" s="596"/>
      <c r="CE248" s="595"/>
      <c r="CF248" s="593"/>
      <c r="CG248" s="596"/>
      <c r="CH248" s="595"/>
      <c r="CI248" s="593"/>
      <c r="CJ248" s="596"/>
      <c r="DE248" s="67"/>
      <c r="DF248" s="67"/>
      <c r="DG248" s="67"/>
      <c r="DH248" s="67"/>
      <c r="DI248" s="67"/>
      <c r="DK248" s="66"/>
      <c r="DL248" s="66"/>
      <c r="DM248" s="66"/>
      <c r="DN248" s="66"/>
      <c r="DO248" s="66"/>
    </row>
    <row r="249" spans="2:119" ht="21" customHeight="1">
      <c r="B249" s="586"/>
      <c r="C249" s="587"/>
      <c r="D249" s="588"/>
      <c r="E249" s="520" t="s">
        <v>191</v>
      </c>
      <c r="F249" s="521"/>
      <c r="G249" s="521"/>
      <c r="H249" s="521"/>
      <c r="I249" s="521"/>
      <c r="J249" s="589"/>
      <c r="K249" s="590"/>
      <c r="L249" s="590"/>
      <c r="M249" s="590"/>
      <c r="N249" s="590"/>
      <c r="O249" s="591"/>
      <c r="P249" s="592">
        <f t="shared" si="100"/>
        <v>5370000</v>
      </c>
      <c r="Q249" s="593"/>
      <c r="R249" s="594"/>
      <c r="S249" s="593"/>
      <c r="T249" s="593"/>
      <c r="U249" s="596"/>
      <c r="V249" s="595"/>
      <c r="W249" s="593"/>
      <c r="X249" s="596"/>
      <c r="Y249" s="595">
        <v>5370000</v>
      </c>
      <c r="Z249" s="593"/>
      <c r="AA249" s="596"/>
      <c r="AB249" s="595"/>
      <c r="AC249" s="593"/>
      <c r="AD249" s="596"/>
      <c r="AE249" s="140"/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40"/>
      <c r="AP249" s="140"/>
      <c r="AQ249" s="597"/>
      <c r="AR249" s="597"/>
      <c r="AS249" s="597"/>
      <c r="AT249" s="597"/>
      <c r="AU249" s="597"/>
      <c r="AV249" s="597"/>
      <c r="AW249" s="597"/>
      <c r="AX249" s="597"/>
      <c r="AY249" s="597"/>
      <c r="AZ249" s="597"/>
      <c r="BA249" s="597"/>
      <c r="BB249" s="597"/>
      <c r="BC249" s="597"/>
      <c r="BD249" s="597"/>
      <c r="BE249" s="597"/>
      <c r="BF249" s="597"/>
      <c r="BG249" s="597"/>
      <c r="BH249" s="597"/>
      <c r="BI249" s="597"/>
      <c r="BJ249" s="597"/>
      <c r="BK249" s="597"/>
      <c r="BL249" s="597"/>
      <c r="BM249" s="597"/>
      <c r="BN249" s="597"/>
      <c r="BO249" s="597"/>
      <c r="BP249" s="597"/>
      <c r="BQ249" s="597"/>
      <c r="BR249" s="597"/>
      <c r="BS249" s="597"/>
      <c r="BT249" s="597"/>
      <c r="BU249" s="597"/>
      <c r="BV249" s="593"/>
      <c r="BW249" s="593"/>
      <c r="BX249" s="596"/>
      <c r="BY249" s="595"/>
      <c r="BZ249" s="593"/>
      <c r="CA249" s="596"/>
      <c r="CB249" s="595"/>
      <c r="CC249" s="593"/>
      <c r="CD249" s="596"/>
      <c r="CE249" s="595"/>
      <c r="CF249" s="593"/>
      <c r="CG249" s="596"/>
      <c r="CH249" s="595"/>
      <c r="CI249" s="593"/>
      <c r="CJ249" s="596"/>
      <c r="DE249" s="67"/>
      <c r="DF249" s="67"/>
      <c r="DG249" s="67"/>
      <c r="DH249" s="67"/>
      <c r="DI249" s="67"/>
      <c r="DK249" s="66"/>
      <c r="DL249" s="66"/>
      <c r="DM249" s="66"/>
      <c r="DN249" s="66"/>
      <c r="DO249" s="66"/>
    </row>
    <row r="250" spans="2:119" ht="21" customHeight="1">
      <c r="B250" s="586"/>
      <c r="C250" s="587"/>
      <c r="D250" s="588"/>
      <c r="E250" s="520" t="s">
        <v>194</v>
      </c>
      <c r="F250" s="521"/>
      <c r="G250" s="521"/>
      <c r="H250" s="521"/>
      <c r="I250" s="521"/>
      <c r="J250" s="589"/>
      <c r="K250" s="590"/>
      <c r="L250" s="590"/>
      <c r="M250" s="590"/>
      <c r="N250" s="590"/>
      <c r="O250" s="591"/>
      <c r="P250" s="592">
        <f t="shared" si="100"/>
        <v>39710</v>
      </c>
      <c r="Q250" s="593"/>
      <c r="R250" s="594"/>
      <c r="S250" s="593"/>
      <c r="T250" s="593"/>
      <c r="U250" s="596"/>
      <c r="V250" s="595"/>
      <c r="W250" s="593"/>
      <c r="X250" s="596"/>
      <c r="Y250" s="595">
        <f>6850+32860</f>
        <v>39710</v>
      </c>
      <c r="Z250" s="593"/>
      <c r="AA250" s="596"/>
      <c r="AB250" s="595"/>
      <c r="AC250" s="593"/>
      <c r="AD250" s="596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597"/>
      <c r="AR250" s="597"/>
      <c r="AS250" s="597"/>
      <c r="AT250" s="597"/>
      <c r="AU250" s="597"/>
      <c r="AV250" s="597"/>
      <c r="AW250" s="597"/>
      <c r="AX250" s="597"/>
      <c r="AY250" s="597"/>
      <c r="AZ250" s="597"/>
      <c r="BA250" s="597"/>
      <c r="BB250" s="597"/>
      <c r="BC250" s="597"/>
      <c r="BD250" s="597"/>
      <c r="BE250" s="597"/>
      <c r="BF250" s="597"/>
      <c r="BG250" s="597"/>
      <c r="BH250" s="597"/>
      <c r="BI250" s="597"/>
      <c r="BJ250" s="597"/>
      <c r="BK250" s="597"/>
      <c r="BL250" s="597"/>
      <c r="BM250" s="597"/>
      <c r="BN250" s="597"/>
      <c r="BO250" s="597"/>
      <c r="BP250" s="597"/>
      <c r="BQ250" s="597"/>
      <c r="BR250" s="597"/>
      <c r="BS250" s="597"/>
      <c r="BT250" s="597"/>
      <c r="BU250" s="597"/>
      <c r="BV250" s="593"/>
      <c r="BW250" s="593"/>
      <c r="BX250" s="596"/>
      <c r="BY250" s="595"/>
      <c r="BZ250" s="593"/>
      <c r="CA250" s="596"/>
      <c r="CB250" s="595"/>
      <c r="CC250" s="593"/>
      <c r="CD250" s="596"/>
      <c r="CE250" s="595"/>
      <c r="CF250" s="593"/>
      <c r="CG250" s="596"/>
      <c r="CH250" s="595"/>
      <c r="CI250" s="593"/>
      <c r="CJ250" s="596"/>
      <c r="DE250" s="67"/>
      <c r="DF250" s="67"/>
      <c r="DG250" s="67"/>
      <c r="DH250" s="67"/>
      <c r="DI250" s="67"/>
      <c r="DK250" s="66"/>
      <c r="DL250" s="66"/>
      <c r="DM250" s="66"/>
      <c r="DN250" s="66"/>
      <c r="DO250" s="66"/>
    </row>
    <row r="251" spans="2:119" ht="21" customHeight="1">
      <c r="B251" s="586"/>
      <c r="C251" s="587"/>
      <c r="D251" s="588"/>
      <c r="E251" s="520" t="s">
        <v>193</v>
      </c>
      <c r="F251" s="521"/>
      <c r="G251" s="521"/>
      <c r="H251" s="521"/>
      <c r="I251" s="521"/>
      <c r="J251" s="589"/>
      <c r="K251" s="590"/>
      <c r="L251" s="590"/>
      <c r="M251" s="590"/>
      <c r="N251" s="590"/>
      <c r="O251" s="591"/>
      <c r="P251" s="592">
        <f t="shared" si="100"/>
        <v>0</v>
      </c>
      <c r="Q251" s="593"/>
      <c r="R251" s="594"/>
      <c r="S251" s="593"/>
      <c r="T251" s="593"/>
      <c r="U251" s="596"/>
      <c r="V251" s="595"/>
      <c r="W251" s="593"/>
      <c r="X251" s="596"/>
      <c r="Y251" s="595"/>
      <c r="Z251" s="593"/>
      <c r="AA251" s="596"/>
      <c r="AB251" s="595"/>
      <c r="AC251" s="593"/>
      <c r="AD251" s="596"/>
      <c r="AE251" s="140"/>
      <c r="AF251" s="140"/>
      <c r="AG251" s="140"/>
      <c r="AH251" s="140"/>
      <c r="AI251" s="140"/>
      <c r="AJ251" s="140"/>
      <c r="AK251" s="140"/>
      <c r="AL251" s="140"/>
      <c r="AM251" s="140"/>
      <c r="AN251" s="140"/>
      <c r="AO251" s="140"/>
      <c r="AP251" s="140"/>
      <c r="AQ251" s="597"/>
      <c r="AR251" s="597"/>
      <c r="AS251" s="597"/>
      <c r="AT251" s="597"/>
      <c r="AU251" s="597"/>
      <c r="AV251" s="597"/>
      <c r="AW251" s="597"/>
      <c r="AX251" s="597"/>
      <c r="AY251" s="597"/>
      <c r="AZ251" s="597"/>
      <c r="BA251" s="597"/>
      <c r="BB251" s="597"/>
      <c r="BC251" s="597"/>
      <c r="BD251" s="597"/>
      <c r="BE251" s="597"/>
      <c r="BF251" s="597"/>
      <c r="BG251" s="597"/>
      <c r="BH251" s="597"/>
      <c r="BI251" s="597"/>
      <c r="BJ251" s="597"/>
      <c r="BK251" s="597"/>
      <c r="BL251" s="597"/>
      <c r="BM251" s="597"/>
      <c r="BN251" s="597"/>
      <c r="BO251" s="597"/>
      <c r="BP251" s="597"/>
      <c r="BQ251" s="597"/>
      <c r="BR251" s="597"/>
      <c r="BS251" s="597"/>
      <c r="BT251" s="597"/>
      <c r="BU251" s="597"/>
      <c r="BV251" s="593"/>
      <c r="BW251" s="593"/>
      <c r="BX251" s="596"/>
      <c r="BY251" s="595"/>
      <c r="BZ251" s="593"/>
      <c r="CA251" s="596"/>
      <c r="CB251" s="595"/>
      <c r="CC251" s="593"/>
      <c r="CD251" s="596"/>
      <c r="CE251" s="595"/>
      <c r="CF251" s="593"/>
      <c r="CG251" s="596"/>
      <c r="CH251" s="595"/>
      <c r="CI251" s="593"/>
      <c r="CJ251" s="596"/>
      <c r="DE251" s="67"/>
      <c r="DF251" s="67"/>
      <c r="DG251" s="67"/>
      <c r="DH251" s="67"/>
      <c r="DI251" s="67"/>
      <c r="DK251" s="66"/>
      <c r="DL251" s="66"/>
      <c r="DM251" s="66"/>
      <c r="DN251" s="66"/>
      <c r="DO251" s="66"/>
    </row>
    <row r="252" spans="2:119" ht="21" customHeight="1">
      <c r="B252" s="586"/>
      <c r="C252" s="587"/>
      <c r="D252" s="588"/>
      <c r="E252" s="520" t="s">
        <v>201</v>
      </c>
      <c r="F252" s="521"/>
      <c r="G252" s="521"/>
      <c r="H252" s="521"/>
      <c r="I252" s="521"/>
      <c r="J252" s="589"/>
      <c r="K252" s="590"/>
      <c r="L252" s="590"/>
      <c r="M252" s="590"/>
      <c r="N252" s="590"/>
      <c r="O252" s="591"/>
      <c r="P252" s="592">
        <f t="shared" si="100"/>
        <v>22300</v>
      </c>
      <c r="Q252" s="593"/>
      <c r="R252" s="594"/>
      <c r="S252" s="593"/>
      <c r="T252" s="593"/>
      <c r="U252" s="596"/>
      <c r="V252" s="595"/>
      <c r="W252" s="593"/>
      <c r="X252" s="596"/>
      <c r="Y252" s="595">
        <v>22300</v>
      </c>
      <c r="Z252" s="593"/>
      <c r="AA252" s="596"/>
      <c r="AB252" s="595"/>
      <c r="AC252" s="593"/>
      <c r="AD252" s="596"/>
      <c r="AE252" s="140"/>
      <c r="AF252" s="140"/>
      <c r="AG252" s="140"/>
      <c r="AH252" s="140"/>
      <c r="AI252" s="140"/>
      <c r="AJ252" s="140"/>
      <c r="AK252" s="140"/>
      <c r="AL252" s="140"/>
      <c r="AM252" s="140"/>
      <c r="AN252" s="140"/>
      <c r="AO252" s="140"/>
      <c r="AP252" s="140"/>
      <c r="AQ252" s="597"/>
      <c r="AR252" s="597"/>
      <c r="AS252" s="597"/>
      <c r="AT252" s="597"/>
      <c r="AU252" s="597"/>
      <c r="AV252" s="597"/>
      <c r="AW252" s="597"/>
      <c r="AX252" s="597"/>
      <c r="AY252" s="597"/>
      <c r="AZ252" s="597"/>
      <c r="BA252" s="597"/>
      <c r="BB252" s="597"/>
      <c r="BC252" s="597"/>
      <c r="BD252" s="597"/>
      <c r="BE252" s="597"/>
      <c r="BF252" s="597"/>
      <c r="BG252" s="597"/>
      <c r="BH252" s="597"/>
      <c r="BI252" s="597"/>
      <c r="BJ252" s="597"/>
      <c r="BK252" s="597"/>
      <c r="BL252" s="597"/>
      <c r="BM252" s="597"/>
      <c r="BN252" s="597"/>
      <c r="BO252" s="597"/>
      <c r="BP252" s="597"/>
      <c r="BQ252" s="597"/>
      <c r="BR252" s="597"/>
      <c r="BS252" s="597"/>
      <c r="BT252" s="597"/>
      <c r="BU252" s="597"/>
      <c r="BV252" s="593"/>
      <c r="BW252" s="593"/>
      <c r="BX252" s="596"/>
      <c r="BY252" s="595"/>
      <c r="BZ252" s="593"/>
      <c r="CA252" s="596"/>
      <c r="CB252" s="595"/>
      <c r="CC252" s="593"/>
      <c r="CD252" s="596"/>
      <c r="CE252" s="595"/>
      <c r="CF252" s="593"/>
      <c r="CG252" s="596"/>
      <c r="CH252" s="595"/>
      <c r="CI252" s="593"/>
      <c r="CJ252" s="596"/>
      <c r="DE252" s="67"/>
      <c r="DF252" s="67"/>
      <c r="DG252" s="67"/>
      <c r="DH252" s="67"/>
      <c r="DI252" s="67"/>
      <c r="DK252" s="66"/>
      <c r="DL252" s="66"/>
      <c r="DM252" s="66"/>
      <c r="DN252" s="66"/>
      <c r="DO252" s="66"/>
    </row>
    <row r="253" spans="2:119" ht="21" customHeight="1">
      <c r="B253" s="586"/>
      <c r="C253" s="587"/>
      <c r="D253" s="588"/>
      <c r="E253" s="520" t="s">
        <v>211</v>
      </c>
      <c r="F253" s="521"/>
      <c r="G253" s="521"/>
      <c r="H253" s="521"/>
      <c r="I253" s="521"/>
      <c r="J253" s="589"/>
      <c r="K253" s="590"/>
      <c r="L253" s="590"/>
      <c r="M253" s="590"/>
      <c r="N253" s="590"/>
      <c r="O253" s="591"/>
      <c r="P253" s="592">
        <f t="shared" si="100"/>
        <v>0</v>
      </c>
      <c r="Q253" s="593"/>
      <c r="R253" s="594"/>
      <c r="S253" s="593"/>
      <c r="T253" s="593"/>
      <c r="U253" s="596"/>
      <c r="V253" s="595"/>
      <c r="W253" s="593"/>
      <c r="X253" s="596"/>
      <c r="Y253" s="595"/>
      <c r="Z253" s="593"/>
      <c r="AA253" s="596"/>
      <c r="AB253" s="595"/>
      <c r="AC253" s="593"/>
      <c r="AD253" s="596"/>
      <c r="AE253" s="140"/>
      <c r="AF253" s="140"/>
      <c r="AG253" s="140"/>
      <c r="AH253" s="140"/>
      <c r="AI253" s="140"/>
      <c r="AJ253" s="140"/>
      <c r="AK253" s="140"/>
      <c r="AL253" s="140"/>
      <c r="AM253" s="140"/>
      <c r="AN253" s="140"/>
      <c r="AO253" s="140"/>
      <c r="AP253" s="140"/>
      <c r="AQ253" s="597"/>
      <c r="AR253" s="597"/>
      <c r="AS253" s="597"/>
      <c r="AT253" s="597"/>
      <c r="AU253" s="597"/>
      <c r="AV253" s="597"/>
      <c r="AW253" s="597"/>
      <c r="AX253" s="597"/>
      <c r="AY253" s="597"/>
      <c r="AZ253" s="597"/>
      <c r="BA253" s="597"/>
      <c r="BB253" s="597"/>
      <c r="BC253" s="597"/>
      <c r="BD253" s="597"/>
      <c r="BE253" s="597"/>
      <c r="BF253" s="597"/>
      <c r="BG253" s="597"/>
      <c r="BH253" s="597"/>
      <c r="BI253" s="597"/>
      <c r="BJ253" s="597"/>
      <c r="BK253" s="597"/>
      <c r="BL253" s="597"/>
      <c r="BM253" s="597"/>
      <c r="BN253" s="597"/>
      <c r="BO253" s="597"/>
      <c r="BP253" s="597"/>
      <c r="BQ253" s="597"/>
      <c r="BR253" s="597"/>
      <c r="BS253" s="597"/>
      <c r="BT253" s="597"/>
      <c r="BU253" s="597"/>
      <c r="BV253" s="593"/>
      <c r="BW253" s="593"/>
      <c r="BX253" s="596"/>
      <c r="BY253" s="595"/>
      <c r="BZ253" s="593"/>
      <c r="CA253" s="596"/>
      <c r="CB253" s="595"/>
      <c r="CC253" s="593"/>
      <c r="CD253" s="596"/>
      <c r="CE253" s="595"/>
      <c r="CF253" s="593"/>
      <c r="CG253" s="596"/>
      <c r="CH253" s="595"/>
      <c r="CI253" s="593"/>
      <c r="CJ253" s="596"/>
      <c r="DE253" s="67"/>
      <c r="DF253" s="67"/>
      <c r="DG253" s="67"/>
      <c r="DH253" s="67"/>
      <c r="DI253" s="67"/>
      <c r="DK253" s="66"/>
      <c r="DL253" s="66"/>
      <c r="DM253" s="66"/>
      <c r="DN253" s="66"/>
      <c r="DO253" s="66"/>
    </row>
    <row r="254" spans="2:119" ht="21" customHeight="1">
      <c r="B254" s="586"/>
      <c r="C254" s="587"/>
      <c r="D254" s="588"/>
      <c r="E254" s="520"/>
      <c r="F254" s="521"/>
      <c r="G254" s="521"/>
      <c r="H254" s="521"/>
      <c r="I254" s="521"/>
      <c r="J254" s="589"/>
      <c r="K254" s="590"/>
      <c r="L254" s="590"/>
      <c r="M254" s="590"/>
      <c r="N254" s="590"/>
      <c r="O254" s="591"/>
      <c r="P254" s="592">
        <f t="shared" si="100"/>
        <v>0</v>
      </c>
      <c r="Q254" s="593"/>
      <c r="R254" s="594"/>
      <c r="S254" s="593"/>
      <c r="T254" s="593"/>
      <c r="U254" s="596"/>
      <c r="V254" s="595"/>
      <c r="W254" s="593"/>
      <c r="X254" s="596"/>
      <c r="Y254" s="595"/>
      <c r="Z254" s="593"/>
      <c r="AA254" s="596"/>
      <c r="AB254" s="595"/>
      <c r="AC254" s="593"/>
      <c r="AD254" s="596"/>
      <c r="AE254" s="140"/>
      <c r="AF254" s="140"/>
      <c r="AG254" s="140"/>
      <c r="AH254" s="140"/>
      <c r="AI254" s="140"/>
      <c r="AJ254" s="140"/>
      <c r="AK254" s="140"/>
      <c r="AL254" s="140"/>
      <c r="AM254" s="140"/>
      <c r="AN254" s="140"/>
      <c r="AO254" s="140"/>
      <c r="AP254" s="140"/>
      <c r="AQ254" s="597"/>
      <c r="AR254" s="597"/>
      <c r="AS254" s="597"/>
      <c r="AT254" s="597"/>
      <c r="AU254" s="597"/>
      <c r="AV254" s="597"/>
      <c r="AW254" s="597"/>
      <c r="AX254" s="597"/>
      <c r="AY254" s="597"/>
      <c r="AZ254" s="597"/>
      <c r="BA254" s="597"/>
      <c r="BB254" s="597"/>
      <c r="BC254" s="597"/>
      <c r="BD254" s="597"/>
      <c r="BE254" s="597"/>
      <c r="BF254" s="597"/>
      <c r="BG254" s="597"/>
      <c r="BH254" s="597"/>
      <c r="BI254" s="597"/>
      <c r="BJ254" s="597"/>
      <c r="BK254" s="597"/>
      <c r="BL254" s="597"/>
      <c r="BM254" s="597"/>
      <c r="BN254" s="597"/>
      <c r="BO254" s="597"/>
      <c r="BP254" s="597"/>
      <c r="BQ254" s="597"/>
      <c r="BR254" s="597"/>
      <c r="BS254" s="597"/>
      <c r="BT254" s="597"/>
      <c r="BU254" s="597"/>
      <c r="BV254" s="593"/>
      <c r="BW254" s="593"/>
      <c r="BX254" s="596"/>
      <c r="BY254" s="595"/>
      <c r="BZ254" s="593"/>
      <c r="CA254" s="596"/>
      <c r="CB254" s="595"/>
      <c r="CC254" s="593"/>
      <c r="CD254" s="596"/>
      <c r="CE254" s="595"/>
      <c r="CF254" s="593"/>
      <c r="CG254" s="596"/>
      <c r="CH254" s="595"/>
      <c r="CI254" s="593"/>
      <c r="CJ254" s="596"/>
      <c r="DE254" s="67"/>
      <c r="DF254" s="67"/>
      <c r="DG254" s="67"/>
      <c r="DH254" s="67"/>
      <c r="DI254" s="67"/>
      <c r="DK254" s="66"/>
      <c r="DL254" s="66"/>
      <c r="DM254" s="66"/>
      <c r="DN254" s="66"/>
      <c r="DO254" s="66"/>
    </row>
    <row r="255" spans="2:119" ht="21" customHeight="1" thickBot="1">
      <c r="B255" s="128"/>
      <c r="C255" s="129"/>
      <c r="D255" s="129"/>
      <c r="E255" s="246" t="s">
        <v>188</v>
      </c>
      <c r="F255" s="246"/>
      <c r="G255" s="246"/>
      <c r="H255" s="246"/>
      <c r="I255" s="246"/>
      <c r="J255" s="605">
        <f>+P66</f>
        <v>41381250</v>
      </c>
      <c r="K255" s="606"/>
      <c r="L255" s="606"/>
      <c r="M255" s="606">
        <f>T66</f>
        <v>0</v>
      </c>
      <c r="N255" s="606"/>
      <c r="O255" s="607"/>
      <c r="P255" s="608">
        <f t="shared" ref="P255" si="102">SUM(P232:R254)</f>
        <v>33622775</v>
      </c>
      <c r="Q255" s="608"/>
      <c r="R255" s="609"/>
      <c r="S255" s="602">
        <f t="shared" ref="S255" si="103">SUM(S232:U254)</f>
        <v>0</v>
      </c>
      <c r="T255" s="602"/>
      <c r="U255" s="603"/>
      <c r="V255" s="601">
        <f t="shared" ref="V255" si="104">SUM(V232:X254)</f>
        <v>12779075</v>
      </c>
      <c r="W255" s="602"/>
      <c r="X255" s="603"/>
      <c r="Y255" s="601">
        <f t="shared" ref="Y255" si="105">SUM(Y232:AA254)</f>
        <v>20843700</v>
      </c>
      <c r="Z255" s="602"/>
      <c r="AA255" s="603"/>
      <c r="AB255" s="601">
        <f t="shared" ref="AB255" si="106">SUM(AB232:AD254)</f>
        <v>0</v>
      </c>
      <c r="AC255" s="602"/>
      <c r="AD255" s="603"/>
      <c r="AE255" s="141"/>
      <c r="AF255" s="141"/>
      <c r="AG255" s="141">
        <f t="shared" ref="AG255" si="107">SUM(AG232:AI254)</f>
        <v>0</v>
      </c>
      <c r="AH255" s="141">
        <f t="shared" ref="AH255" si="108">SUM(AH232:AJ254)</f>
        <v>0</v>
      </c>
      <c r="AI255" s="141"/>
      <c r="AJ255" s="141"/>
      <c r="AK255" s="141">
        <f t="shared" ref="AK255" si="109">SUM(AK232:AM254)</f>
        <v>0</v>
      </c>
      <c r="AL255" s="141"/>
      <c r="AM255" s="141"/>
      <c r="AN255" s="141">
        <f t="shared" ref="AN255" si="110">SUM(AN232:AP254)</f>
        <v>0</v>
      </c>
      <c r="AO255" s="141"/>
      <c r="AP255" s="141"/>
      <c r="AQ255" s="604">
        <f t="shared" ref="AQ255" si="111">SUM(AQ232:AW254)</f>
        <v>0</v>
      </c>
      <c r="AR255" s="604"/>
      <c r="AS255" s="604"/>
      <c r="AT255" s="604"/>
      <c r="AU255" s="604"/>
      <c r="AV255" s="604"/>
      <c r="AW255" s="604"/>
      <c r="AX255" s="604">
        <f t="shared" ref="AX255" si="112">SUM(AX232:AZ254)</f>
        <v>0</v>
      </c>
      <c r="AY255" s="604"/>
      <c r="AZ255" s="604"/>
      <c r="BA255" s="604">
        <f t="shared" ref="BA255" si="113">SUM(BA232:BC254)</f>
        <v>0</v>
      </c>
      <c r="BB255" s="604"/>
      <c r="BC255" s="604"/>
      <c r="BD255" s="604">
        <f t="shared" ref="BD255" si="114">SUM(BD232:BF254)</f>
        <v>0</v>
      </c>
      <c r="BE255" s="604"/>
      <c r="BF255" s="604"/>
      <c r="BG255" s="604">
        <f t="shared" ref="BG255" si="115">SUM(BG232:BI254)</f>
        <v>0</v>
      </c>
      <c r="BH255" s="604"/>
      <c r="BI255" s="604"/>
      <c r="BJ255" s="604">
        <f t="shared" ref="BJ255" si="116">SUM(BJ232:BL254)</f>
        <v>0</v>
      </c>
      <c r="BK255" s="604"/>
      <c r="BL255" s="604"/>
      <c r="BM255" s="604">
        <f t="shared" ref="BM255" si="117">SUM(BM232:BO254)</f>
        <v>0</v>
      </c>
      <c r="BN255" s="604"/>
      <c r="BO255" s="604"/>
      <c r="BP255" s="604">
        <f t="shared" ref="BP255" si="118">SUM(BP232:BR254)</f>
        <v>0</v>
      </c>
      <c r="BQ255" s="604"/>
      <c r="BR255" s="604"/>
      <c r="BS255" s="604">
        <f t="shared" ref="BS255" si="119">SUM(BS232:BU254)</f>
        <v>0</v>
      </c>
      <c r="BT255" s="604"/>
      <c r="BU255" s="604"/>
      <c r="BV255" s="602">
        <f t="shared" ref="BV255" si="120">SUM(BV232:BX254)</f>
        <v>0</v>
      </c>
      <c r="BW255" s="602"/>
      <c r="BX255" s="603"/>
      <c r="BY255" s="601">
        <f t="shared" ref="BY255" si="121">SUM(BY232:CA254)</f>
        <v>0</v>
      </c>
      <c r="BZ255" s="602"/>
      <c r="CA255" s="603"/>
      <c r="CB255" s="601">
        <f t="shared" ref="CB255" si="122">SUM(CB232:CD254)</f>
        <v>0</v>
      </c>
      <c r="CC255" s="602"/>
      <c r="CD255" s="603"/>
      <c r="CE255" s="601">
        <f t="shared" ref="CE255" si="123">SUM(CE232:CG254)</f>
        <v>0</v>
      </c>
      <c r="CF255" s="602"/>
      <c r="CG255" s="603"/>
      <c r="CH255" s="601">
        <f t="shared" ref="CH255" si="124">SUM(CH232:CJ254)</f>
        <v>0</v>
      </c>
      <c r="CI255" s="602"/>
      <c r="CJ255" s="603"/>
      <c r="DE255" s="67"/>
      <c r="DF255" s="67"/>
      <c r="DG255" s="67"/>
      <c r="DH255" s="67"/>
      <c r="DI255" s="67"/>
      <c r="DK255" s="66"/>
      <c r="DL255" s="66"/>
      <c r="DM255" s="66"/>
      <c r="DN255" s="66"/>
      <c r="DO255" s="66"/>
    </row>
    <row r="256" spans="2:119" ht="8.25" hidden="1" customHeight="1" outlineLevel="1" thickTop="1"/>
    <row r="257" spans="2:94" ht="21" hidden="1" customHeight="1" outlineLevel="1">
      <c r="CG257" s="76" t="s">
        <v>49</v>
      </c>
    </row>
    <row r="258" spans="2:94" ht="8.25" hidden="1" customHeight="1" outlineLevel="1" thickBot="1"/>
    <row r="259" spans="2:94" ht="21" hidden="1" customHeight="1" outlineLevel="1" thickTop="1">
      <c r="B259" s="197" t="s">
        <v>9</v>
      </c>
      <c r="C259" s="198"/>
      <c r="D259" s="199"/>
      <c r="E259" s="197" t="s">
        <v>171</v>
      </c>
      <c r="F259" s="198"/>
      <c r="G259" s="198"/>
      <c r="H259" s="198"/>
      <c r="I259" s="199"/>
      <c r="J259" s="197" t="s">
        <v>173</v>
      </c>
      <c r="K259" s="198"/>
      <c r="L259" s="199"/>
      <c r="M259" s="319" t="s">
        <v>172</v>
      </c>
      <c r="N259" s="320"/>
      <c r="O259" s="320"/>
      <c r="P259" s="320"/>
      <c r="Q259" s="320"/>
      <c r="R259" s="320"/>
      <c r="S259" s="320"/>
      <c r="T259" s="320"/>
      <c r="U259" s="320"/>
      <c r="V259" s="320"/>
      <c r="W259" s="320"/>
      <c r="X259" s="321"/>
      <c r="Y259" s="197" t="s">
        <v>93</v>
      </c>
      <c r="Z259" s="198"/>
      <c r="AA259" s="199"/>
      <c r="AB259" s="197" t="s">
        <v>94</v>
      </c>
      <c r="AC259" s="198"/>
      <c r="AD259" s="199"/>
      <c r="AE259" s="197" t="s">
        <v>95</v>
      </c>
      <c r="AF259" s="198"/>
      <c r="AG259" s="199"/>
      <c r="AH259" s="197" t="s">
        <v>96</v>
      </c>
      <c r="AI259" s="198"/>
      <c r="AJ259" s="199"/>
      <c r="AK259" s="197" t="s">
        <v>97</v>
      </c>
      <c r="AL259" s="198"/>
      <c r="AM259" s="199"/>
      <c r="AN259" s="612" t="s">
        <v>98</v>
      </c>
      <c r="AO259" s="613"/>
      <c r="AP259" s="614"/>
      <c r="AQ259" s="612" t="s">
        <v>63</v>
      </c>
      <c r="AR259" s="613"/>
      <c r="AS259" s="613"/>
      <c r="AT259" s="613"/>
      <c r="AU259" s="613"/>
      <c r="AV259" s="613"/>
      <c r="AW259" s="614"/>
      <c r="AX259" s="612" t="s">
        <v>64</v>
      </c>
      <c r="AY259" s="613"/>
      <c r="AZ259" s="614"/>
      <c r="BA259" s="612" t="s">
        <v>65</v>
      </c>
      <c r="BB259" s="613"/>
      <c r="BC259" s="614"/>
      <c r="BD259" s="612" t="s">
        <v>66</v>
      </c>
      <c r="BE259" s="613"/>
      <c r="BF259" s="614"/>
      <c r="BG259" s="612" t="s">
        <v>67</v>
      </c>
      <c r="BH259" s="613"/>
      <c r="BI259" s="614"/>
      <c r="BJ259" s="612" t="s">
        <v>68</v>
      </c>
      <c r="BK259" s="613"/>
      <c r="BL259" s="614"/>
      <c r="BM259" s="612" t="s">
        <v>69</v>
      </c>
      <c r="BN259" s="613"/>
      <c r="BO259" s="614"/>
      <c r="BP259" s="612" t="s">
        <v>70</v>
      </c>
      <c r="BQ259" s="613"/>
      <c r="BR259" s="614"/>
      <c r="BS259" s="612" t="s">
        <v>71</v>
      </c>
      <c r="BT259" s="613"/>
      <c r="BU259" s="614"/>
      <c r="BV259" s="612" t="s">
        <v>72</v>
      </c>
      <c r="BW259" s="613"/>
      <c r="BX259" s="614"/>
      <c r="BY259" s="612" t="s">
        <v>73</v>
      </c>
      <c r="BZ259" s="613"/>
      <c r="CA259" s="614"/>
      <c r="CB259" s="612" t="s">
        <v>74</v>
      </c>
      <c r="CC259" s="613"/>
      <c r="CD259" s="614"/>
      <c r="CE259" s="612" t="s">
        <v>75</v>
      </c>
      <c r="CF259" s="613"/>
      <c r="CG259" s="614"/>
      <c r="CH259" s="197" t="s">
        <v>99</v>
      </c>
      <c r="CI259" s="198"/>
      <c r="CJ259" s="199"/>
      <c r="CK259" s="197" t="s">
        <v>89</v>
      </c>
      <c r="CL259" s="198"/>
      <c r="CM259" s="199"/>
      <c r="CN259" s="197" t="s">
        <v>100</v>
      </c>
      <c r="CO259" s="198"/>
      <c r="CP259" s="199"/>
    </row>
    <row r="260" spans="2:94" ht="21" hidden="1" customHeight="1" outlineLevel="1">
      <c r="B260" s="336"/>
      <c r="C260" s="337"/>
      <c r="D260" s="338"/>
      <c r="E260" s="336"/>
      <c r="F260" s="337"/>
      <c r="G260" s="337"/>
      <c r="H260" s="337"/>
      <c r="I260" s="338"/>
      <c r="J260" s="336"/>
      <c r="K260" s="337"/>
      <c r="L260" s="338"/>
      <c r="M260" s="506"/>
      <c r="N260" s="337"/>
      <c r="O260" s="337"/>
      <c r="P260" s="337"/>
      <c r="Q260" s="337"/>
      <c r="R260" s="337"/>
      <c r="S260" s="337"/>
      <c r="T260" s="337"/>
      <c r="U260" s="337"/>
      <c r="V260" s="337"/>
      <c r="W260" s="337"/>
      <c r="X260" s="507"/>
      <c r="Y260" s="203" t="s">
        <v>101</v>
      </c>
      <c r="Z260" s="311"/>
      <c r="AA260" s="311"/>
      <c r="AB260" s="311"/>
      <c r="AC260" s="311"/>
      <c r="AD260" s="311"/>
      <c r="AE260" s="311"/>
      <c r="AF260" s="311"/>
      <c r="AG260" s="311"/>
      <c r="AH260" s="311"/>
      <c r="AI260" s="311"/>
      <c r="AJ260" s="311"/>
      <c r="AK260" s="311"/>
      <c r="AL260" s="311"/>
      <c r="AM260" s="311"/>
      <c r="AN260" s="311"/>
      <c r="AO260" s="311"/>
      <c r="AP260" s="311"/>
      <c r="AQ260" s="311"/>
      <c r="AR260" s="311"/>
      <c r="AS260" s="311"/>
      <c r="AT260" s="311"/>
      <c r="AU260" s="311"/>
      <c r="AV260" s="311"/>
      <c r="AW260" s="312"/>
      <c r="AX260" s="203" t="s">
        <v>83</v>
      </c>
      <c r="AY260" s="311"/>
      <c r="AZ260" s="311"/>
      <c r="BA260" s="311"/>
      <c r="BB260" s="311"/>
      <c r="BC260" s="311"/>
      <c r="BD260" s="311"/>
      <c r="BE260" s="311"/>
      <c r="BF260" s="311"/>
      <c r="BG260" s="311"/>
      <c r="BH260" s="311"/>
      <c r="BI260" s="311"/>
      <c r="BJ260" s="311"/>
      <c r="BK260" s="311"/>
      <c r="BL260" s="311"/>
      <c r="BM260" s="311"/>
      <c r="BN260" s="311"/>
      <c r="BO260" s="311"/>
      <c r="BP260" s="311"/>
      <c r="BQ260" s="311"/>
      <c r="BR260" s="311"/>
      <c r="BS260" s="311"/>
      <c r="BT260" s="311"/>
      <c r="BU260" s="311"/>
      <c r="BV260" s="311"/>
      <c r="BW260" s="311"/>
      <c r="BX260" s="311"/>
      <c r="BY260" s="311"/>
      <c r="BZ260" s="311"/>
      <c r="CA260" s="311"/>
      <c r="CB260" s="311"/>
      <c r="CC260" s="311"/>
      <c r="CD260" s="311"/>
      <c r="CE260" s="311"/>
      <c r="CF260" s="311"/>
      <c r="CG260" s="312"/>
      <c r="CH260" s="203" t="s">
        <v>102</v>
      </c>
      <c r="CI260" s="311"/>
      <c r="CJ260" s="311"/>
      <c r="CK260" s="311"/>
      <c r="CL260" s="311"/>
      <c r="CM260" s="311"/>
      <c r="CN260" s="311"/>
      <c r="CO260" s="311"/>
      <c r="CP260" s="312"/>
    </row>
    <row r="261" spans="2:94" ht="21" hidden="1" customHeight="1" outlineLevel="1">
      <c r="B261" s="200"/>
      <c r="C261" s="201"/>
      <c r="D261" s="202"/>
      <c r="E261" s="200"/>
      <c r="F261" s="201"/>
      <c r="G261" s="201"/>
      <c r="H261" s="201"/>
      <c r="I261" s="202"/>
      <c r="J261" s="200"/>
      <c r="K261" s="201"/>
      <c r="L261" s="202"/>
      <c r="M261" s="610" t="s">
        <v>20</v>
      </c>
      <c r="N261" s="311"/>
      <c r="O261" s="311"/>
      <c r="P261" s="194" t="s">
        <v>45</v>
      </c>
      <c r="Q261" s="194"/>
      <c r="R261" s="194"/>
      <c r="S261" s="194" t="s">
        <v>21</v>
      </c>
      <c r="T261" s="194"/>
      <c r="U261" s="194"/>
      <c r="V261" s="203" t="s">
        <v>8</v>
      </c>
      <c r="W261" s="311"/>
      <c r="X261" s="611"/>
      <c r="Y261" s="197" t="s">
        <v>164</v>
      </c>
      <c r="Z261" s="198"/>
      <c r="AA261" s="199"/>
      <c r="AB261" s="197" t="s">
        <v>165</v>
      </c>
      <c r="AC261" s="198"/>
      <c r="AD261" s="199"/>
      <c r="AE261" s="197" t="s">
        <v>166</v>
      </c>
      <c r="AF261" s="198"/>
      <c r="AG261" s="199"/>
      <c r="AH261" s="197" t="s">
        <v>167</v>
      </c>
      <c r="AI261" s="198"/>
      <c r="AJ261" s="199"/>
      <c r="AK261" s="197" t="s">
        <v>168</v>
      </c>
      <c r="AL261" s="198"/>
      <c r="AM261" s="199"/>
      <c r="AN261" s="612" t="s">
        <v>103</v>
      </c>
      <c r="AO261" s="613"/>
      <c r="AP261" s="614"/>
      <c r="AQ261" s="612" t="s">
        <v>104</v>
      </c>
      <c r="AR261" s="613"/>
      <c r="AS261" s="613"/>
      <c r="AT261" s="613"/>
      <c r="AU261" s="613"/>
      <c r="AV261" s="613"/>
      <c r="AW261" s="614"/>
      <c r="AX261" s="612" t="s">
        <v>84</v>
      </c>
      <c r="AY261" s="613"/>
      <c r="AZ261" s="614"/>
      <c r="BA261" s="612" t="s">
        <v>85</v>
      </c>
      <c r="BB261" s="613"/>
      <c r="BC261" s="614"/>
      <c r="BD261" s="612" t="s">
        <v>86</v>
      </c>
      <c r="BE261" s="613"/>
      <c r="BF261" s="614"/>
      <c r="BG261" s="612" t="s">
        <v>87</v>
      </c>
      <c r="BH261" s="613"/>
      <c r="BI261" s="614"/>
      <c r="BJ261" s="612" t="s">
        <v>88</v>
      </c>
      <c r="BK261" s="613"/>
      <c r="BL261" s="614"/>
      <c r="BM261" s="612" t="s">
        <v>78</v>
      </c>
      <c r="BN261" s="613"/>
      <c r="BO261" s="614"/>
      <c r="BP261" s="612" t="s">
        <v>79</v>
      </c>
      <c r="BQ261" s="613"/>
      <c r="BR261" s="614"/>
      <c r="BS261" s="612" t="s">
        <v>80</v>
      </c>
      <c r="BT261" s="613"/>
      <c r="BU261" s="614"/>
      <c r="BV261" s="612" t="s">
        <v>81</v>
      </c>
      <c r="BW261" s="613"/>
      <c r="BX261" s="614"/>
      <c r="BY261" s="612" t="s">
        <v>82</v>
      </c>
      <c r="BZ261" s="613"/>
      <c r="CA261" s="614"/>
      <c r="CB261" s="612" t="s">
        <v>76</v>
      </c>
      <c r="CC261" s="613"/>
      <c r="CD261" s="614"/>
      <c r="CE261" s="612" t="s">
        <v>77</v>
      </c>
      <c r="CF261" s="613"/>
      <c r="CG261" s="614"/>
      <c r="CH261" s="197" t="s">
        <v>84</v>
      </c>
      <c r="CI261" s="198"/>
      <c r="CJ261" s="199"/>
      <c r="CK261" s="197" t="s">
        <v>85</v>
      </c>
      <c r="CL261" s="198"/>
      <c r="CM261" s="199"/>
      <c r="CN261" s="197" t="s">
        <v>86</v>
      </c>
      <c r="CO261" s="198"/>
      <c r="CP261" s="199"/>
    </row>
    <row r="262" spans="2:94" ht="21" hidden="1" customHeight="1" outlineLevel="1">
      <c r="B262" s="583" t="s">
        <v>195</v>
      </c>
      <c r="C262" s="584"/>
      <c r="D262" s="585"/>
      <c r="E262" s="520" t="s">
        <v>175</v>
      </c>
      <c r="F262" s="521"/>
      <c r="G262" s="521"/>
      <c r="H262" s="521"/>
      <c r="I262" s="522"/>
      <c r="J262" s="615"/>
      <c r="K262" s="616"/>
      <c r="L262" s="617"/>
      <c r="M262" s="592">
        <f t="shared" ref="M262:M283" si="125">SUM(AN262:CG262)</f>
        <v>0</v>
      </c>
      <c r="N262" s="593"/>
      <c r="O262" s="593"/>
      <c r="P262" s="618">
        <f t="shared" ref="P262:P283" si="126">SUM(Y262:AM262)</f>
        <v>0</v>
      </c>
      <c r="Q262" s="618"/>
      <c r="R262" s="618"/>
      <c r="S262" s="618">
        <f t="shared" ref="S262:S283" si="127">SUM(CH262:CP262)</f>
        <v>0</v>
      </c>
      <c r="T262" s="618"/>
      <c r="U262" s="618"/>
      <c r="V262" s="593">
        <f t="shared" ref="V262:V283" si="128">+S262+P262+M262</f>
        <v>0</v>
      </c>
      <c r="W262" s="593"/>
      <c r="X262" s="594"/>
      <c r="Y262" s="595"/>
      <c r="Z262" s="593"/>
      <c r="AA262" s="596"/>
      <c r="AB262" s="595"/>
      <c r="AC262" s="593"/>
      <c r="AD262" s="596"/>
      <c r="AE262" s="595"/>
      <c r="AF262" s="593"/>
      <c r="AG262" s="596"/>
      <c r="AH262" s="595"/>
      <c r="AI262" s="593"/>
      <c r="AJ262" s="596"/>
      <c r="AK262" s="595"/>
      <c r="AL262" s="593"/>
      <c r="AM262" s="596"/>
      <c r="AN262" s="595"/>
      <c r="AO262" s="593"/>
      <c r="AP262" s="596"/>
      <c r="AQ262" s="595"/>
      <c r="AR262" s="593"/>
      <c r="AS262" s="593"/>
      <c r="AT262" s="593"/>
      <c r="AU262" s="593"/>
      <c r="AV262" s="593"/>
      <c r="AW262" s="596"/>
      <c r="AX262" s="595"/>
      <c r="AY262" s="593"/>
      <c r="AZ262" s="596"/>
      <c r="BA262" s="595"/>
      <c r="BB262" s="593"/>
      <c r="BC262" s="596"/>
      <c r="BD262" s="595"/>
      <c r="BE262" s="593"/>
      <c r="BF262" s="596"/>
      <c r="BG262" s="595"/>
      <c r="BH262" s="593"/>
      <c r="BI262" s="596"/>
      <c r="BJ262" s="595"/>
      <c r="BK262" s="593"/>
      <c r="BL262" s="596"/>
      <c r="BM262" s="595"/>
      <c r="BN262" s="593"/>
      <c r="BO262" s="596"/>
      <c r="BP262" s="595"/>
      <c r="BQ262" s="593"/>
      <c r="BR262" s="596"/>
      <c r="BS262" s="595"/>
      <c r="BT262" s="593"/>
      <c r="BU262" s="596"/>
      <c r="BV262" s="595"/>
      <c r="BW262" s="593"/>
      <c r="BX262" s="596"/>
      <c r="BY262" s="595"/>
      <c r="BZ262" s="593"/>
      <c r="CA262" s="596"/>
      <c r="CB262" s="595"/>
      <c r="CC262" s="593"/>
      <c r="CD262" s="596"/>
      <c r="CE262" s="595"/>
      <c r="CF262" s="593"/>
      <c r="CG262" s="596"/>
      <c r="CH262" s="595"/>
      <c r="CI262" s="593"/>
      <c r="CJ262" s="596"/>
      <c r="CK262" s="595"/>
      <c r="CL262" s="593"/>
      <c r="CM262" s="596"/>
      <c r="CN262" s="595"/>
      <c r="CO262" s="593"/>
      <c r="CP262" s="596"/>
    </row>
    <row r="263" spans="2:94" ht="21" hidden="1" customHeight="1" outlineLevel="1">
      <c r="B263" s="586"/>
      <c r="C263" s="587"/>
      <c r="D263" s="588"/>
      <c r="E263" s="520" t="s">
        <v>176</v>
      </c>
      <c r="F263" s="521"/>
      <c r="G263" s="521"/>
      <c r="H263" s="521"/>
      <c r="I263" s="522"/>
      <c r="J263" s="615"/>
      <c r="K263" s="616"/>
      <c r="L263" s="617"/>
      <c r="M263" s="592">
        <f t="shared" si="125"/>
        <v>0</v>
      </c>
      <c r="N263" s="593"/>
      <c r="O263" s="593"/>
      <c r="P263" s="618">
        <f t="shared" si="126"/>
        <v>0</v>
      </c>
      <c r="Q263" s="618"/>
      <c r="R263" s="618"/>
      <c r="S263" s="618">
        <f t="shared" si="127"/>
        <v>0</v>
      </c>
      <c r="T263" s="618"/>
      <c r="U263" s="618"/>
      <c r="V263" s="593">
        <f t="shared" si="128"/>
        <v>0</v>
      </c>
      <c r="W263" s="593"/>
      <c r="X263" s="594"/>
      <c r="Y263" s="595"/>
      <c r="Z263" s="593"/>
      <c r="AA263" s="596"/>
      <c r="AB263" s="595"/>
      <c r="AC263" s="593"/>
      <c r="AD263" s="596"/>
      <c r="AE263" s="595"/>
      <c r="AF263" s="593"/>
      <c r="AG263" s="596"/>
      <c r="AH263" s="595"/>
      <c r="AI263" s="593"/>
      <c r="AJ263" s="596"/>
      <c r="AK263" s="595"/>
      <c r="AL263" s="593"/>
      <c r="AM263" s="596"/>
      <c r="AN263" s="595"/>
      <c r="AO263" s="593"/>
      <c r="AP263" s="596"/>
      <c r="AQ263" s="595"/>
      <c r="AR263" s="593"/>
      <c r="AS263" s="593"/>
      <c r="AT263" s="593"/>
      <c r="AU263" s="593"/>
      <c r="AV263" s="593"/>
      <c r="AW263" s="596"/>
      <c r="AX263" s="595"/>
      <c r="AY263" s="593"/>
      <c r="AZ263" s="596"/>
      <c r="BA263" s="595"/>
      <c r="BB263" s="593"/>
      <c r="BC263" s="596"/>
      <c r="BD263" s="595"/>
      <c r="BE263" s="593"/>
      <c r="BF263" s="596"/>
      <c r="BG263" s="595"/>
      <c r="BH263" s="593"/>
      <c r="BI263" s="596"/>
      <c r="BJ263" s="595"/>
      <c r="BK263" s="593"/>
      <c r="BL263" s="596"/>
      <c r="BM263" s="595"/>
      <c r="BN263" s="593"/>
      <c r="BO263" s="596"/>
      <c r="BP263" s="595"/>
      <c r="BQ263" s="593"/>
      <c r="BR263" s="596"/>
      <c r="BS263" s="595"/>
      <c r="BT263" s="593"/>
      <c r="BU263" s="596"/>
      <c r="BV263" s="595"/>
      <c r="BW263" s="593"/>
      <c r="BX263" s="596"/>
      <c r="BY263" s="595"/>
      <c r="BZ263" s="593"/>
      <c r="CA263" s="596"/>
      <c r="CB263" s="595"/>
      <c r="CC263" s="593"/>
      <c r="CD263" s="596"/>
      <c r="CE263" s="595"/>
      <c r="CF263" s="593"/>
      <c r="CG263" s="596"/>
      <c r="CH263" s="595"/>
      <c r="CI263" s="593"/>
      <c r="CJ263" s="596"/>
      <c r="CK263" s="595"/>
      <c r="CL263" s="593"/>
      <c r="CM263" s="596"/>
      <c r="CN263" s="595"/>
      <c r="CO263" s="593"/>
      <c r="CP263" s="596"/>
    </row>
    <row r="264" spans="2:94" ht="21" hidden="1" customHeight="1" outlineLevel="1">
      <c r="B264" s="586"/>
      <c r="C264" s="587"/>
      <c r="D264" s="588"/>
      <c r="E264" s="520" t="s">
        <v>177</v>
      </c>
      <c r="F264" s="521"/>
      <c r="G264" s="521"/>
      <c r="H264" s="521"/>
      <c r="I264" s="522"/>
      <c r="J264" s="615"/>
      <c r="K264" s="616"/>
      <c r="L264" s="617"/>
      <c r="M264" s="592">
        <f t="shared" si="125"/>
        <v>0</v>
      </c>
      <c r="N264" s="593"/>
      <c r="O264" s="593"/>
      <c r="P264" s="618">
        <f t="shared" si="126"/>
        <v>0</v>
      </c>
      <c r="Q264" s="618"/>
      <c r="R264" s="618"/>
      <c r="S264" s="618">
        <f t="shared" si="127"/>
        <v>0</v>
      </c>
      <c r="T264" s="618"/>
      <c r="U264" s="618"/>
      <c r="V264" s="593">
        <f t="shared" si="128"/>
        <v>0</v>
      </c>
      <c r="W264" s="593"/>
      <c r="X264" s="594"/>
      <c r="Y264" s="595"/>
      <c r="Z264" s="593"/>
      <c r="AA264" s="596"/>
      <c r="AB264" s="595"/>
      <c r="AC264" s="593"/>
      <c r="AD264" s="596"/>
      <c r="AE264" s="595"/>
      <c r="AF264" s="593"/>
      <c r="AG264" s="596"/>
      <c r="AH264" s="595"/>
      <c r="AI264" s="593"/>
      <c r="AJ264" s="596"/>
      <c r="AK264" s="595"/>
      <c r="AL264" s="593"/>
      <c r="AM264" s="596"/>
      <c r="AN264" s="595"/>
      <c r="AO264" s="593"/>
      <c r="AP264" s="596"/>
      <c r="AQ264" s="595"/>
      <c r="AR264" s="593"/>
      <c r="AS264" s="593"/>
      <c r="AT264" s="593"/>
      <c r="AU264" s="593"/>
      <c r="AV264" s="593"/>
      <c r="AW264" s="596"/>
      <c r="AX264" s="595"/>
      <c r="AY264" s="593"/>
      <c r="AZ264" s="596"/>
      <c r="BA264" s="595"/>
      <c r="BB264" s="593"/>
      <c r="BC264" s="596"/>
      <c r="BD264" s="595"/>
      <c r="BE264" s="593"/>
      <c r="BF264" s="596"/>
      <c r="BG264" s="595"/>
      <c r="BH264" s="593"/>
      <c r="BI264" s="596"/>
      <c r="BJ264" s="595"/>
      <c r="BK264" s="593"/>
      <c r="BL264" s="596"/>
      <c r="BM264" s="595"/>
      <c r="BN264" s="593"/>
      <c r="BO264" s="596"/>
      <c r="BP264" s="595"/>
      <c r="BQ264" s="593"/>
      <c r="BR264" s="596"/>
      <c r="BS264" s="595"/>
      <c r="BT264" s="593"/>
      <c r="BU264" s="596"/>
      <c r="BV264" s="595"/>
      <c r="BW264" s="593"/>
      <c r="BX264" s="596"/>
      <c r="BY264" s="595"/>
      <c r="BZ264" s="593"/>
      <c r="CA264" s="596"/>
      <c r="CB264" s="595"/>
      <c r="CC264" s="593"/>
      <c r="CD264" s="596"/>
      <c r="CE264" s="595"/>
      <c r="CF264" s="593"/>
      <c r="CG264" s="596"/>
      <c r="CH264" s="595"/>
      <c r="CI264" s="593"/>
      <c r="CJ264" s="596"/>
      <c r="CK264" s="595"/>
      <c r="CL264" s="593"/>
      <c r="CM264" s="596"/>
      <c r="CN264" s="595"/>
      <c r="CO264" s="593"/>
      <c r="CP264" s="596"/>
    </row>
    <row r="265" spans="2:94" ht="21" hidden="1" customHeight="1" outlineLevel="1">
      <c r="B265" s="586"/>
      <c r="C265" s="587"/>
      <c r="D265" s="588"/>
      <c r="E265" s="520" t="s">
        <v>178</v>
      </c>
      <c r="F265" s="521"/>
      <c r="G265" s="521"/>
      <c r="H265" s="521"/>
      <c r="I265" s="522"/>
      <c r="J265" s="615"/>
      <c r="K265" s="616"/>
      <c r="L265" s="617"/>
      <c r="M265" s="592">
        <f t="shared" si="125"/>
        <v>0</v>
      </c>
      <c r="N265" s="593"/>
      <c r="O265" s="593"/>
      <c r="P265" s="618">
        <f t="shared" si="126"/>
        <v>0</v>
      </c>
      <c r="Q265" s="618"/>
      <c r="R265" s="618"/>
      <c r="S265" s="618">
        <f t="shared" si="127"/>
        <v>0</v>
      </c>
      <c r="T265" s="618"/>
      <c r="U265" s="618"/>
      <c r="V265" s="593">
        <f t="shared" si="128"/>
        <v>0</v>
      </c>
      <c r="W265" s="593"/>
      <c r="X265" s="594"/>
      <c r="Y265" s="595"/>
      <c r="Z265" s="593"/>
      <c r="AA265" s="596"/>
      <c r="AB265" s="595"/>
      <c r="AC265" s="593"/>
      <c r="AD265" s="596"/>
      <c r="AE265" s="595"/>
      <c r="AF265" s="593"/>
      <c r="AG265" s="596"/>
      <c r="AH265" s="595"/>
      <c r="AI265" s="593"/>
      <c r="AJ265" s="596"/>
      <c r="AK265" s="595"/>
      <c r="AL265" s="593"/>
      <c r="AM265" s="596"/>
      <c r="AN265" s="595"/>
      <c r="AO265" s="593"/>
      <c r="AP265" s="596"/>
      <c r="AQ265" s="595"/>
      <c r="AR265" s="593"/>
      <c r="AS265" s="593"/>
      <c r="AT265" s="593"/>
      <c r="AU265" s="593"/>
      <c r="AV265" s="593"/>
      <c r="AW265" s="596"/>
      <c r="AX265" s="595"/>
      <c r="AY265" s="593"/>
      <c r="AZ265" s="596"/>
      <c r="BA265" s="595"/>
      <c r="BB265" s="593"/>
      <c r="BC265" s="596"/>
      <c r="BD265" s="595"/>
      <c r="BE265" s="593"/>
      <c r="BF265" s="596"/>
      <c r="BG265" s="595"/>
      <c r="BH265" s="593"/>
      <c r="BI265" s="596"/>
      <c r="BJ265" s="595"/>
      <c r="BK265" s="593"/>
      <c r="BL265" s="596"/>
      <c r="BM265" s="595"/>
      <c r="BN265" s="593"/>
      <c r="BO265" s="596"/>
      <c r="BP265" s="595"/>
      <c r="BQ265" s="593"/>
      <c r="BR265" s="596"/>
      <c r="BS265" s="595"/>
      <c r="BT265" s="593"/>
      <c r="BU265" s="596"/>
      <c r="BV265" s="595"/>
      <c r="BW265" s="593"/>
      <c r="BX265" s="596"/>
      <c r="BY265" s="595"/>
      <c r="BZ265" s="593"/>
      <c r="CA265" s="596"/>
      <c r="CB265" s="595"/>
      <c r="CC265" s="593"/>
      <c r="CD265" s="596"/>
      <c r="CE265" s="595"/>
      <c r="CF265" s="593"/>
      <c r="CG265" s="596"/>
      <c r="CH265" s="595"/>
      <c r="CI265" s="593"/>
      <c r="CJ265" s="596"/>
      <c r="CK265" s="595"/>
      <c r="CL265" s="593"/>
      <c r="CM265" s="596"/>
      <c r="CN265" s="595"/>
      <c r="CO265" s="593"/>
      <c r="CP265" s="596"/>
    </row>
    <row r="266" spans="2:94" ht="21" hidden="1" customHeight="1" outlineLevel="1">
      <c r="B266" s="586"/>
      <c r="C266" s="587"/>
      <c r="D266" s="588"/>
      <c r="E266" s="520" t="s">
        <v>179</v>
      </c>
      <c r="F266" s="521"/>
      <c r="G266" s="521"/>
      <c r="H266" s="521"/>
      <c r="I266" s="522"/>
      <c r="J266" s="615"/>
      <c r="K266" s="616"/>
      <c r="L266" s="617"/>
      <c r="M266" s="592">
        <f t="shared" si="125"/>
        <v>0</v>
      </c>
      <c r="N266" s="593"/>
      <c r="O266" s="593"/>
      <c r="P266" s="618">
        <f t="shared" si="126"/>
        <v>0</v>
      </c>
      <c r="Q266" s="618"/>
      <c r="R266" s="618"/>
      <c r="S266" s="618">
        <f t="shared" si="127"/>
        <v>0</v>
      </c>
      <c r="T266" s="618"/>
      <c r="U266" s="618"/>
      <c r="V266" s="593">
        <f t="shared" si="128"/>
        <v>0</v>
      </c>
      <c r="W266" s="593"/>
      <c r="X266" s="594"/>
      <c r="Y266" s="595"/>
      <c r="Z266" s="593"/>
      <c r="AA266" s="596"/>
      <c r="AB266" s="595"/>
      <c r="AC266" s="593"/>
      <c r="AD266" s="596"/>
      <c r="AE266" s="595"/>
      <c r="AF266" s="593"/>
      <c r="AG266" s="596"/>
      <c r="AH266" s="595"/>
      <c r="AI266" s="593"/>
      <c r="AJ266" s="596"/>
      <c r="AK266" s="595"/>
      <c r="AL266" s="593"/>
      <c r="AM266" s="596"/>
      <c r="AN266" s="595"/>
      <c r="AO266" s="593"/>
      <c r="AP266" s="596"/>
      <c r="AQ266" s="595"/>
      <c r="AR266" s="593"/>
      <c r="AS266" s="593"/>
      <c r="AT266" s="593"/>
      <c r="AU266" s="593"/>
      <c r="AV266" s="593"/>
      <c r="AW266" s="596"/>
      <c r="AX266" s="595"/>
      <c r="AY266" s="593"/>
      <c r="AZ266" s="596"/>
      <c r="BA266" s="595"/>
      <c r="BB266" s="593"/>
      <c r="BC266" s="596"/>
      <c r="BD266" s="595"/>
      <c r="BE266" s="593"/>
      <c r="BF266" s="596"/>
      <c r="BG266" s="595"/>
      <c r="BH266" s="593"/>
      <c r="BI266" s="596"/>
      <c r="BJ266" s="595"/>
      <c r="BK266" s="593"/>
      <c r="BL266" s="596"/>
      <c r="BM266" s="595"/>
      <c r="BN266" s="593"/>
      <c r="BO266" s="596"/>
      <c r="BP266" s="595"/>
      <c r="BQ266" s="593"/>
      <c r="BR266" s="596"/>
      <c r="BS266" s="595"/>
      <c r="BT266" s="593"/>
      <c r="BU266" s="596"/>
      <c r="BV266" s="595"/>
      <c r="BW266" s="593"/>
      <c r="BX266" s="596"/>
      <c r="BY266" s="595"/>
      <c r="BZ266" s="593"/>
      <c r="CA266" s="596"/>
      <c r="CB266" s="595"/>
      <c r="CC266" s="593"/>
      <c r="CD266" s="596"/>
      <c r="CE266" s="595"/>
      <c r="CF266" s="593"/>
      <c r="CG266" s="596"/>
      <c r="CH266" s="595"/>
      <c r="CI266" s="593"/>
      <c r="CJ266" s="596"/>
      <c r="CK266" s="595"/>
      <c r="CL266" s="593"/>
      <c r="CM266" s="596"/>
      <c r="CN266" s="595"/>
      <c r="CO266" s="593"/>
      <c r="CP266" s="596"/>
    </row>
    <row r="267" spans="2:94" ht="21" hidden="1" customHeight="1" outlineLevel="1">
      <c r="B267" s="586"/>
      <c r="C267" s="587"/>
      <c r="D267" s="588"/>
      <c r="E267" s="520" t="s">
        <v>180</v>
      </c>
      <c r="F267" s="521"/>
      <c r="G267" s="521"/>
      <c r="H267" s="521"/>
      <c r="I267" s="522"/>
      <c r="J267" s="615"/>
      <c r="K267" s="616"/>
      <c r="L267" s="617"/>
      <c r="M267" s="592">
        <f t="shared" si="125"/>
        <v>0</v>
      </c>
      <c r="N267" s="593"/>
      <c r="O267" s="593"/>
      <c r="P267" s="618">
        <f t="shared" si="126"/>
        <v>0</v>
      </c>
      <c r="Q267" s="618"/>
      <c r="R267" s="618"/>
      <c r="S267" s="618">
        <f t="shared" si="127"/>
        <v>0</v>
      </c>
      <c r="T267" s="618"/>
      <c r="U267" s="618"/>
      <c r="V267" s="593">
        <f t="shared" si="128"/>
        <v>0</v>
      </c>
      <c r="W267" s="593"/>
      <c r="X267" s="594"/>
      <c r="Y267" s="595"/>
      <c r="Z267" s="593"/>
      <c r="AA267" s="596"/>
      <c r="AB267" s="595"/>
      <c r="AC267" s="593"/>
      <c r="AD267" s="596"/>
      <c r="AE267" s="595"/>
      <c r="AF267" s="593"/>
      <c r="AG267" s="596"/>
      <c r="AH267" s="595"/>
      <c r="AI267" s="593"/>
      <c r="AJ267" s="596"/>
      <c r="AK267" s="595"/>
      <c r="AL267" s="593"/>
      <c r="AM267" s="596"/>
      <c r="AN267" s="595"/>
      <c r="AO267" s="593"/>
      <c r="AP267" s="596"/>
      <c r="AQ267" s="595"/>
      <c r="AR267" s="593"/>
      <c r="AS267" s="593"/>
      <c r="AT267" s="593"/>
      <c r="AU267" s="593"/>
      <c r="AV267" s="593"/>
      <c r="AW267" s="596"/>
      <c r="AX267" s="595"/>
      <c r="AY267" s="593"/>
      <c r="AZ267" s="596"/>
      <c r="BA267" s="595"/>
      <c r="BB267" s="593"/>
      <c r="BC267" s="596"/>
      <c r="BD267" s="595"/>
      <c r="BE267" s="593"/>
      <c r="BF267" s="596"/>
      <c r="BG267" s="595"/>
      <c r="BH267" s="593"/>
      <c r="BI267" s="596"/>
      <c r="BJ267" s="595"/>
      <c r="BK267" s="593"/>
      <c r="BL267" s="596"/>
      <c r="BM267" s="595"/>
      <c r="BN267" s="593"/>
      <c r="BO267" s="596"/>
      <c r="BP267" s="595"/>
      <c r="BQ267" s="593"/>
      <c r="BR267" s="596"/>
      <c r="BS267" s="595"/>
      <c r="BT267" s="593"/>
      <c r="BU267" s="596"/>
      <c r="BV267" s="595"/>
      <c r="BW267" s="593"/>
      <c r="BX267" s="596"/>
      <c r="BY267" s="595"/>
      <c r="BZ267" s="593"/>
      <c r="CA267" s="596"/>
      <c r="CB267" s="595"/>
      <c r="CC267" s="593"/>
      <c r="CD267" s="596"/>
      <c r="CE267" s="595"/>
      <c r="CF267" s="593"/>
      <c r="CG267" s="596"/>
      <c r="CH267" s="595"/>
      <c r="CI267" s="593"/>
      <c r="CJ267" s="596"/>
      <c r="CK267" s="595"/>
      <c r="CL267" s="593"/>
      <c r="CM267" s="596"/>
      <c r="CN267" s="595"/>
      <c r="CO267" s="593"/>
      <c r="CP267" s="596"/>
    </row>
    <row r="268" spans="2:94" ht="21" hidden="1" customHeight="1" outlineLevel="1">
      <c r="B268" s="586"/>
      <c r="C268" s="587"/>
      <c r="D268" s="588"/>
      <c r="E268" s="520" t="s">
        <v>181</v>
      </c>
      <c r="F268" s="521"/>
      <c r="G268" s="521"/>
      <c r="H268" s="521"/>
      <c r="I268" s="522"/>
      <c r="J268" s="615"/>
      <c r="K268" s="616"/>
      <c r="L268" s="617"/>
      <c r="M268" s="592">
        <f t="shared" si="125"/>
        <v>0</v>
      </c>
      <c r="N268" s="593"/>
      <c r="O268" s="593"/>
      <c r="P268" s="618">
        <f t="shared" si="126"/>
        <v>0</v>
      </c>
      <c r="Q268" s="618"/>
      <c r="R268" s="618"/>
      <c r="S268" s="618">
        <f t="shared" si="127"/>
        <v>0</v>
      </c>
      <c r="T268" s="618"/>
      <c r="U268" s="618"/>
      <c r="V268" s="593">
        <f t="shared" si="128"/>
        <v>0</v>
      </c>
      <c r="W268" s="593"/>
      <c r="X268" s="594"/>
      <c r="Y268" s="595"/>
      <c r="Z268" s="593"/>
      <c r="AA268" s="596"/>
      <c r="AB268" s="595"/>
      <c r="AC268" s="593"/>
      <c r="AD268" s="596"/>
      <c r="AE268" s="595"/>
      <c r="AF268" s="593"/>
      <c r="AG268" s="596"/>
      <c r="AH268" s="595"/>
      <c r="AI268" s="593"/>
      <c r="AJ268" s="596"/>
      <c r="AK268" s="595"/>
      <c r="AL268" s="593"/>
      <c r="AM268" s="596"/>
      <c r="AN268" s="595"/>
      <c r="AO268" s="593"/>
      <c r="AP268" s="596"/>
      <c r="AQ268" s="595"/>
      <c r="AR268" s="593"/>
      <c r="AS268" s="593"/>
      <c r="AT268" s="593"/>
      <c r="AU268" s="593"/>
      <c r="AV268" s="593"/>
      <c r="AW268" s="596"/>
      <c r="AX268" s="595"/>
      <c r="AY268" s="593"/>
      <c r="AZ268" s="596"/>
      <c r="BA268" s="595"/>
      <c r="BB268" s="593"/>
      <c r="BC268" s="596"/>
      <c r="BD268" s="595"/>
      <c r="BE268" s="593"/>
      <c r="BF268" s="596"/>
      <c r="BG268" s="595"/>
      <c r="BH268" s="593"/>
      <c r="BI268" s="596"/>
      <c r="BJ268" s="595"/>
      <c r="BK268" s="593"/>
      <c r="BL268" s="596"/>
      <c r="BM268" s="595"/>
      <c r="BN268" s="593"/>
      <c r="BO268" s="596"/>
      <c r="BP268" s="595"/>
      <c r="BQ268" s="593"/>
      <c r="BR268" s="596"/>
      <c r="BS268" s="595"/>
      <c r="BT268" s="593"/>
      <c r="BU268" s="596"/>
      <c r="BV268" s="595"/>
      <c r="BW268" s="593"/>
      <c r="BX268" s="596"/>
      <c r="BY268" s="595"/>
      <c r="BZ268" s="593"/>
      <c r="CA268" s="596"/>
      <c r="CB268" s="595"/>
      <c r="CC268" s="593"/>
      <c r="CD268" s="596"/>
      <c r="CE268" s="595"/>
      <c r="CF268" s="593"/>
      <c r="CG268" s="596"/>
      <c r="CH268" s="595"/>
      <c r="CI268" s="593"/>
      <c r="CJ268" s="596"/>
      <c r="CK268" s="595"/>
      <c r="CL268" s="593"/>
      <c r="CM268" s="596"/>
      <c r="CN268" s="595"/>
      <c r="CO268" s="593"/>
      <c r="CP268" s="596"/>
    </row>
    <row r="269" spans="2:94" ht="21" hidden="1" customHeight="1" outlineLevel="1">
      <c r="B269" s="586"/>
      <c r="C269" s="587"/>
      <c r="D269" s="588"/>
      <c r="E269" s="520" t="s">
        <v>182</v>
      </c>
      <c r="F269" s="521"/>
      <c r="G269" s="521"/>
      <c r="H269" s="521"/>
      <c r="I269" s="522"/>
      <c r="J269" s="615"/>
      <c r="K269" s="616"/>
      <c r="L269" s="617"/>
      <c r="M269" s="592">
        <f t="shared" si="125"/>
        <v>0</v>
      </c>
      <c r="N269" s="593"/>
      <c r="O269" s="593"/>
      <c r="P269" s="618">
        <f t="shared" si="126"/>
        <v>0</v>
      </c>
      <c r="Q269" s="618"/>
      <c r="R269" s="618"/>
      <c r="S269" s="618">
        <f t="shared" si="127"/>
        <v>0</v>
      </c>
      <c r="T269" s="618"/>
      <c r="U269" s="618"/>
      <c r="V269" s="593">
        <f t="shared" si="128"/>
        <v>0</v>
      </c>
      <c r="W269" s="593"/>
      <c r="X269" s="594"/>
      <c r="Y269" s="595"/>
      <c r="Z269" s="593"/>
      <c r="AA269" s="596"/>
      <c r="AB269" s="595"/>
      <c r="AC269" s="593"/>
      <c r="AD269" s="596"/>
      <c r="AE269" s="595"/>
      <c r="AF269" s="593"/>
      <c r="AG269" s="596"/>
      <c r="AH269" s="595"/>
      <c r="AI269" s="593"/>
      <c r="AJ269" s="596"/>
      <c r="AK269" s="595"/>
      <c r="AL269" s="593"/>
      <c r="AM269" s="596"/>
      <c r="AN269" s="595"/>
      <c r="AO269" s="593"/>
      <c r="AP269" s="596"/>
      <c r="AQ269" s="595"/>
      <c r="AR269" s="593"/>
      <c r="AS269" s="593"/>
      <c r="AT269" s="593"/>
      <c r="AU269" s="593"/>
      <c r="AV269" s="593"/>
      <c r="AW269" s="596"/>
      <c r="AX269" s="595"/>
      <c r="AY269" s="593"/>
      <c r="AZ269" s="596"/>
      <c r="BA269" s="595"/>
      <c r="BB269" s="593"/>
      <c r="BC269" s="596"/>
      <c r="BD269" s="595"/>
      <c r="BE269" s="593"/>
      <c r="BF269" s="596"/>
      <c r="BG269" s="595"/>
      <c r="BH269" s="593"/>
      <c r="BI269" s="596"/>
      <c r="BJ269" s="595"/>
      <c r="BK269" s="593"/>
      <c r="BL269" s="596"/>
      <c r="BM269" s="595"/>
      <c r="BN269" s="593"/>
      <c r="BO269" s="596"/>
      <c r="BP269" s="595"/>
      <c r="BQ269" s="593"/>
      <c r="BR269" s="596"/>
      <c r="BS269" s="595"/>
      <c r="BT269" s="593"/>
      <c r="BU269" s="596"/>
      <c r="BV269" s="595"/>
      <c r="BW269" s="593"/>
      <c r="BX269" s="596"/>
      <c r="BY269" s="595"/>
      <c r="BZ269" s="593"/>
      <c r="CA269" s="596"/>
      <c r="CB269" s="595"/>
      <c r="CC269" s="593"/>
      <c r="CD269" s="596"/>
      <c r="CE269" s="595"/>
      <c r="CF269" s="593"/>
      <c r="CG269" s="596"/>
      <c r="CH269" s="595"/>
      <c r="CI269" s="593"/>
      <c r="CJ269" s="596"/>
      <c r="CK269" s="595"/>
      <c r="CL269" s="593"/>
      <c r="CM269" s="596"/>
      <c r="CN269" s="595"/>
      <c r="CO269" s="593"/>
      <c r="CP269" s="596"/>
    </row>
    <row r="270" spans="2:94" ht="21" hidden="1" customHeight="1" outlineLevel="1">
      <c r="B270" s="586"/>
      <c r="C270" s="587"/>
      <c r="D270" s="588"/>
      <c r="E270" s="520" t="s">
        <v>183</v>
      </c>
      <c r="F270" s="521"/>
      <c r="G270" s="521"/>
      <c r="H270" s="521"/>
      <c r="I270" s="522"/>
      <c r="J270" s="615"/>
      <c r="K270" s="616"/>
      <c r="L270" s="617"/>
      <c r="M270" s="592">
        <f t="shared" si="125"/>
        <v>0</v>
      </c>
      <c r="N270" s="593"/>
      <c r="O270" s="593"/>
      <c r="P270" s="618">
        <f t="shared" si="126"/>
        <v>0</v>
      </c>
      <c r="Q270" s="618"/>
      <c r="R270" s="618"/>
      <c r="S270" s="618">
        <f t="shared" si="127"/>
        <v>0</v>
      </c>
      <c r="T270" s="618"/>
      <c r="U270" s="618"/>
      <c r="V270" s="593">
        <f t="shared" si="128"/>
        <v>0</v>
      </c>
      <c r="W270" s="593"/>
      <c r="X270" s="594"/>
      <c r="Y270" s="595"/>
      <c r="Z270" s="593"/>
      <c r="AA270" s="596"/>
      <c r="AB270" s="595"/>
      <c r="AC270" s="593"/>
      <c r="AD270" s="596"/>
      <c r="AE270" s="595"/>
      <c r="AF270" s="593"/>
      <c r="AG270" s="596"/>
      <c r="AH270" s="595"/>
      <c r="AI270" s="593"/>
      <c r="AJ270" s="596"/>
      <c r="AK270" s="595"/>
      <c r="AL270" s="593"/>
      <c r="AM270" s="596"/>
      <c r="AN270" s="595"/>
      <c r="AO270" s="593"/>
      <c r="AP270" s="596"/>
      <c r="AQ270" s="595"/>
      <c r="AR270" s="593"/>
      <c r="AS270" s="593"/>
      <c r="AT270" s="593"/>
      <c r="AU270" s="593"/>
      <c r="AV270" s="593"/>
      <c r="AW270" s="596"/>
      <c r="AX270" s="595"/>
      <c r="AY270" s="593"/>
      <c r="AZ270" s="596"/>
      <c r="BA270" s="595"/>
      <c r="BB270" s="593"/>
      <c r="BC270" s="596"/>
      <c r="BD270" s="595"/>
      <c r="BE270" s="593"/>
      <c r="BF270" s="596"/>
      <c r="BG270" s="595"/>
      <c r="BH270" s="593"/>
      <c r="BI270" s="596"/>
      <c r="BJ270" s="595"/>
      <c r="BK270" s="593"/>
      <c r="BL270" s="596"/>
      <c r="BM270" s="595"/>
      <c r="BN270" s="593"/>
      <c r="BO270" s="596"/>
      <c r="BP270" s="595"/>
      <c r="BQ270" s="593"/>
      <c r="BR270" s="596"/>
      <c r="BS270" s="595"/>
      <c r="BT270" s="593"/>
      <c r="BU270" s="596"/>
      <c r="BV270" s="595"/>
      <c r="BW270" s="593"/>
      <c r="BX270" s="596"/>
      <c r="BY270" s="595"/>
      <c r="BZ270" s="593"/>
      <c r="CA270" s="596"/>
      <c r="CB270" s="595"/>
      <c r="CC270" s="593"/>
      <c r="CD270" s="596"/>
      <c r="CE270" s="595"/>
      <c r="CF270" s="593"/>
      <c r="CG270" s="596"/>
      <c r="CH270" s="595"/>
      <c r="CI270" s="593"/>
      <c r="CJ270" s="596"/>
      <c r="CK270" s="595"/>
      <c r="CL270" s="593"/>
      <c r="CM270" s="596"/>
      <c r="CN270" s="595"/>
      <c r="CO270" s="593"/>
      <c r="CP270" s="596"/>
    </row>
    <row r="271" spans="2:94" ht="21" hidden="1" customHeight="1" outlineLevel="1">
      <c r="B271" s="586"/>
      <c r="C271" s="587"/>
      <c r="D271" s="588"/>
      <c r="E271" s="520" t="s">
        <v>184</v>
      </c>
      <c r="F271" s="521"/>
      <c r="G271" s="521"/>
      <c r="H271" s="521"/>
      <c r="I271" s="522"/>
      <c r="J271" s="615"/>
      <c r="K271" s="616"/>
      <c r="L271" s="617"/>
      <c r="M271" s="592">
        <f t="shared" si="125"/>
        <v>0</v>
      </c>
      <c r="N271" s="593"/>
      <c r="O271" s="593"/>
      <c r="P271" s="618">
        <f t="shared" si="126"/>
        <v>0</v>
      </c>
      <c r="Q271" s="618"/>
      <c r="R271" s="618"/>
      <c r="S271" s="618">
        <f t="shared" si="127"/>
        <v>0</v>
      </c>
      <c r="T271" s="618"/>
      <c r="U271" s="618"/>
      <c r="V271" s="593">
        <f t="shared" si="128"/>
        <v>0</v>
      </c>
      <c r="W271" s="593"/>
      <c r="X271" s="594"/>
      <c r="Y271" s="595"/>
      <c r="Z271" s="593"/>
      <c r="AA271" s="596"/>
      <c r="AB271" s="595"/>
      <c r="AC271" s="593"/>
      <c r="AD271" s="596"/>
      <c r="AE271" s="595"/>
      <c r="AF271" s="593"/>
      <c r="AG271" s="596"/>
      <c r="AH271" s="595"/>
      <c r="AI271" s="593"/>
      <c r="AJ271" s="596"/>
      <c r="AK271" s="595"/>
      <c r="AL271" s="593"/>
      <c r="AM271" s="596"/>
      <c r="AN271" s="595"/>
      <c r="AO271" s="593"/>
      <c r="AP271" s="596"/>
      <c r="AQ271" s="595"/>
      <c r="AR271" s="593"/>
      <c r="AS271" s="593"/>
      <c r="AT271" s="593"/>
      <c r="AU271" s="593"/>
      <c r="AV271" s="593"/>
      <c r="AW271" s="596"/>
      <c r="AX271" s="595"/>
      <c r="AY271" s="593"/>
      <c r="AZ271" s="596"/>
      <c r="BA271" s="595"/>
      <c r="BB271" s="593"/>
      <c r="BC271" s="596"/>
      <c r="BD271" s="595"/>
      <c r="BE271" s="593"/>
      <c r="BF271" s="596"/>
      <c r="BG271" s="595"/>
      <c r="BH271" s="593"/>
      <c r="BI271" s="596"/>
      <c r="BJ271" s="595"/>
      <c r="BK271" s="593"/>
      <c r="BL271" s="596"/>
      <c r="BM271" s="595"/>
      <c r="BN271" s="593"/>
      <c r="BO271" s="596"/>
      <c r="BP271" s="595"/>
      <c r="BQ271" s="593"/>
      <c r="BR271" s="596"/>
      <c r="BS271" s="595"/>
      <c r="BT271" s="593"/>
      <c r="BU271" s="596"/>
      <c r="BV271" s="595"/>
      <c r="BW271" s="593"/>
      <c r="BX271" s="596"/>
      <c r="BY271" s="595"/>
      <c r="BZ271" s="593"/>
      <c r="CA271" s="596"/>
      <c r="CB271" s="595"/>
      <c r="CC271" s="593"/>
      <c r="CD271" s="596"/>
      <c r="CE271" s="595"/>
      <c r="CF271" s="593"/>
      <c r="CG271" s="596"/>
      <c r="CH271" s="595"/>
      <c r="CI271" s="593"/>
      <c r="CJ271" s="596"/>
      <c r="CK271" s="595"/>
      <c r="CL271" s="593"/>
      <c r="CM271" s="596"/>
      <c r="CN271" s="595"/>
      <c r="CO271" s="593"/>
      <c r="CP271" s="596"/>
    </row>
    <row r="272" spans="2:94" ht="21" hidden="1" customHeight="1" outlineLevel="1">
      <c r="B272" s="586"/>
      <c r="C272" s="587"/>
      <c r="D272" s="588"/>
      <c r="E272" s="520" t="s">
        <v>185</v>
      </c>
      <c r="F272" s="521"/>
      <c r="G272" s="521"/>
      <c r="H272" s="521"/>
      <c r="I272" s="522"/>
      <c r="J272" s="615"/>
      <c r="K272" s="616"/>
      <c r="L272" s="617"/>
      <c r="M272" s="592">
        <f t="shared" si="125"/>
        <v>0</v>
      </c>
      <c r="N272" s="593"/>
      <c r="O272" s="593"/>
      <c r="P272" s="618">
        <f t="shared" si="126"/>
        <v>0</v>
      </c>
      <c r="Q272" s="618"/>
      <c r="R272" s="618"/>
      <c r="S272" s="618">
        <f t="shared" si="127"/>
        <v>0</v>
      </c>
      <c r="T272" s="618"/>
      <c r="U272" s="618"/>
      <c r="V272" s="593">
        <f t="shared" si="128"/>
        <v>0</v>
      </c>
      <c r="W272" s="593"/>
      <c r="X272" s="594"/>
      <c r="Y272" s="595"/>
      <c r="Z272" s="593"/>
      <c r="AA272" s="596"/>
      <c r="AB272" s="595"/>
      <c r="AC272" s="593"/>
      <c r="AD272" s="596"/>
      <c r="AE272" s="595"/>
      <c r="AF272" s="593"/>
      <c r="AG272" s="596"/>
      <c r="AH272" s="595"/>
      <c r="AI272" s="593"/>
      <c r="AJ272" s="596"/>
      <c r="AK272" s="595"/>
      <c r="AL272" s="593"/>
      <c r="AM272" s="596"/>
      <c r="AN272" s="595"/>
      <c r="AO272" s="593"/>
      <c r="AP272" s="596"/>
      <c r="AQ272" s="595"/>
      <c r="AR272" s="593"/>
      <c r="AS272" s="593"/>
      <c r="AT272" s="593"/>
      <c r="AU272" s="593"/>
      <c r="AV272" s="593"/>
      <c r="AW272" s="596"/>
      <c r="AX272" s="595"/>
      <c r="AY272" s="593"/>
      <c r="AZ272" s="596"/>
      <c r="BA272" s="595"/>
      <c r="BB272" s="593"/>
      <c r="BC272" s="596"/>
      <c r="BD272" s="595"/>
      <c r="BE272" s="593"/>
      <c r="BF272" s="596"/>
      <c r="BG272" s="595"/>
      <c r="BH272" s="593"/>
      <c r="BI272" s="596"/>
      <c r="BJ272" s="595"/>
      <c r="BK272" s="593"/>
      <c r="BL272" s="596"/>
      <c r="BM272" s="595"/>
      <c r="BN272" s="593"/>
      <c r="BO272" s="596"/>
      <c r="BP272" s="595"/>
      <c r="BQ272" s="593"/>
      <c r="BR272" s="596"/>
      <c r="BS272" s="595"/>
      <c r="BT272" s="593"/>
      <c r="BU272" s="596"/>
      <c r="BV272" s="595"/>
      <c r="BW272" s="593"/>
      <c r="BX272" s="596"/>
      <c r="BY272" s="595"/>
      <c r="BZ272" s="593"/>
      <c r="CA272" s="596"/>
      <c r="CB272" s="595"/>
      <c r="CC272" s="593"/>
      <c r="CD272" s="596"/>
      <c r="CE272" s="595"/>
      <c r="CF272" s="593"/>
      <c r="CG272" s="596"/>
      <c r="CH272" s="595"/>
      <c r="CI272" s="593"/>
      <c r="CJ272" s="596"/>
      <c r="CK272" s="595"/>
      <c r="CL272" s="593"/>
      <c r="CM272" s="596"/>
      <c r="CN272" s="595"/>
      <c r="CO272" s="593"/>
      <c r="CP272" s="596"/>
    </row>
    <row r="273" spans="2:94" ht="21" hidden="1" customHeight="1" outlineLevel="1">
      <c r="B273" s="586"/>
      <c r="C273" s="587"/>
      <c r="D273" s="588"/>
      <c r="E273" s="520" t="s">
        <v>186</v>
      </c>
      <c r="F273" s="521"/>
      <c r="G273" s="521"/>
      <c r="H273" s="521"/>
      <c r="I273" s="522"/>
      <c r="J273" s="615"/>
      <c r="K273" s="616"/>
      <c r="L273" s="617"/>
      <c r="M273" s="592">
        <f t="shared" si="125"/>
        <v>0</v>
      </c>
      <c r="N273" s="593"/>
      <c r="O273" s="593"/>
      <c r="P273" s="618">
        <f t="shared" si="126"/>
        <v>0</v>
      </c>
      <c r="Q273" s="618"/>
      <c r="R273" s="618"/>
      <c r="S273" s="618">
        <f t="shared" si="127"/>
        <v>0</v>
      </c>
      <c r="T273" s="618"/>
      <c r="U273" s="618"/>
      <c r="V273" s="593">
        <f t="shared" si="128"/>
        <v>0</v>
      </c>
      <c r="W273" s="593"/>
      <c r="X273" s="594"/>
      <c r="Y273" s="595"/>
      <c r="Z273" s="593"/>
      <c r="AA273" s="596"/>
      <c r="AB273" s="595"/>
      <c r="AC273" s="593"/>
      <c r="AD273" s="596"/>
      <c r="AE273" s="595"/>
      <c r="AF273" s="593"/>
      <c r="AG273" s="596"/>
      <c r="AH273" s="595"/>
      <c r="AI273" s="593"/>
      <c r="AJ273" s="596"/>
      <c r="AK273" s="595"/>
      <c r="AL273" s="593"/>
      <c r="AM273" s="596"/>
      <c r="AN273" s="595"/>
      <c r="AO273" s="593"/>
      <c r="AP273" s="596"/>
      <c r="AQ273" s="595"/>
      <c r="AR273" s="593"/>
      <c r="AS273" s="593"/>
      <c r="AT273" s="593"/>
      <c r="AU273" s="593"/>
      <c r="AV273" s="593"/>
      <c r="AW273" s="596"/>
      <c r="AX273" s="595"/>
      <c r="AY273" s="593"/>
      <c r="AZ273" s="596"/>
      <c r="BA273" s="595"/>
      <c r="BB273" s="593"/>
      <c r="BC273" s="596"/>
      <c r="BD273" s="595"/>
      <c r="BE273" s="593"/>
      <c r="BF273" s="596"/>
      <c r="BG273" s="595"/>
      <c r="BH273" s="593"/>
      <c r="BI273" s="596"/>
      <c r="BJ273" s="595"/>
      <c r="BK273" s="593"/>
      <c r="BL273" s="596"/>
      <c r="BM273" s="595"/>
      <c r="BN273" s="593"/>
      <c r="BO273" s="596"/>
      <c r="BP273" s="595"/>
      <c r="BQ273" s="593"/>
      <c r="BR273" s="596"/>
      <c r="BS273" s="595"/>
      <c r="BT273" s="593"/>
      <c r="BU273" s="596"/>
      <c r="BV273" s="595"/>
      <c r="BW273" s="593"/>
      <c r="BX273" s="596"/>
      <c r="BY273" s="595"/>
      <c r="BZ273" s="593"/>
      <c r="CA273" s="596"/>
      <c r="CB273" s="595"/>
      <c r="CC273" s="593"/>
      <c r="CD273" s="596"/>
      <c r="CE273" s="595"/>
      <c r="CF273" s="593"/>
      <c r="CG273" s="596"/>
      <c r="CH273" s="595"/>
      <c r="CI273" s="593"/>
      <c r="CJ273" s="596"/>
      <c r="CK273" s="595"/>
      <c r="CL273" s="593"/>
      <c r="CM273" s="596"/>
      <c r="CN273" s="595"/>
      <c r="CO273" s="593"/>
      <c r="CP273" s="596"/>
    </row>
    <row r="274" spans="2:94" ht="21" hidden="1" customHeight="1" outlineLevel="1">
      <c r="B274" s="586"/>
      <c r="C274" s="587"/>
      <c r="D274" s="588"/>
      <c r="E274" s="520" t="s">
        <v>187</v>
      </c>
      <c r="F274" s="521"/>
      <c r="G274" s="521"/>
      <c r="H274" s="521"/>
      <c r="I274" s="522"/>
      <c r="J274" s="615"/>
      <c r="K274" s="616"/>
      <c r="L274" s="617"/>
      <c r="M274" s="592">
        <f t="shared" si="125"/>
        <v>0</v>
      </c>
      <c r="N274" s="593"/>
      <c r="O274" s="593"/>
      <c r="P274" s="618">
        <f t="shared" si="126"/>
        <v>0</v>
      </c>
      <c r="Q274" s="618"/>
      <c r="R274" s="618"/>
      <c r="S274" s="618">
        <f t="shared" si="127"/>
        <v>0</v>
      </c>
      <c r="T274" s="618"/>
      <c r="U274" s="618"/>
      <c r="V274" s="593">
        <f t="shared" si="128"/>
        <v>0</v>
      </c>
      <c r="W274" s="593"/>
      <c r="X274" s="594"/>
      <c r="Y274" s="595"/>
      <c r="Z274" s="593"/>
      <c r="AA274" s="596"/>
      <c r="AB274" s="595"/>
      <c r="AC274" s="593"/>
      <c r="AD274" s="596"/>
      <c r="AE274" s="595"/>
      <c r="AF274" s="593"/>
      <c r="AG274" s="596"/>
      <c r="AH274" s="595"/>
      <c r="AI274" s="593"/>
      <c r="AJ274" s="596"/>
      <c r="AK274" s="595"/>
      <c r="AL274" s="593"/>
      <c r="AM274" s="596"/>
      <c r="AN274" s="595"/>
      <c r="AO274" s="593"/>
      <c r="AP274" s="596"/>
      <c r="AQ274" s="595"/>
      <c r="AR274" s="593"/>
      <c r="AS274" s="593"/>
      <c r="AT274" s="593"/>
      <c r="AU274" s="593"/>
      <c r="AV274" s="593"/>
      <c r="AW274" s="596"/>
      <c r="AX274" s="595"/>
      <c r="AY274" s="593"/>
      <c r="AZ274" s="596"/>
      <c r="BA274" s="595"/>
      <c r="BB274" s="593"/>
      <c r="BC274" s="596"/>
      <c r="BD274" s="595"/>
      <c r="BE274" s="593"/>
      <c r="BF274" s="596"/>
      <c r="BG274" s="595"/>
      <c r="BH274" s="593"/>
      <c r="BI274" s="596"/>
      <c r="BJ274" s="595"/>
      <c r="BK274" s="593"/>
      <c r="BL274" s="596"/>
      <c r="BM274" s="595"/>
      <c r="BN274" s="593"/>
      <c r="BO274" s="596"/>
      <c r="BP274" s="595"/>
      <c r="BQ274" s="593"/>
      <c r="BR274" s="596"/>
      <c r="BS274" s="595"/>
      <c r="BT274" s="593"/>
      <c r="BU274" s="596"/>
      <c r="BV274" s="595"/>
      <c r="BW274" s="593"/>
      <c r="BX274" s="596"/>
      <c r="BY274" s="595"/>
      <c r="BZ274" s="593"/>
      <c r="CA274" s="596"/>
      <c r="CB274" s="595"/>
      <c r="CC274" s="593"/>
      <c r="CD274" s="596"/>
      <c r="CE274" s="595"/>
      <c r="CF274" s="593"/>
      <c r="CG274" s="596"/>
      <c r="CH274" s="595"/>
      <c r="CI274" s="593"/>
      <c r="CJ274" s="596"/>
      <c r="CK274" s="595"/>
      <c r="CL274" s="593"/>
      <c r="CM274" s="596"/>
      <c r="CN274" s="595"/>
      <c r="CO274" s="593"/>
      <c r="CP274" s="596"/>
    </row>
    <row r="275" spans="2:94" ht="21" hidden="1" customHeight="1" outlineLevel="1">
      <c r="B275" s="586"/>
      <c r="C275" s="587"/>
      <c r="D275" s="588"/>
      <c r="E275" s="520" t="s">
        <v>189</v>
      </c>
      <c r="F275" s="521"/>
      <c r="G275" s="521"/>
      <c r="H275" s="521"/>
      <c r="I275" s="522"/>
      <c r="J275" s="615"/>
      <c r="K275" s="616"/>
      <c r="L275" s="617"/>
      <c r="M275" s="592">
        <f t="shared" si="125"/>
        <v>0</v>
      </c>
      <c r="N275" s="593"/>
      <c r="O275" s="593"/>
      <c r="P275" s="618">
        <f t="shared" si="126"/>
        <v>0</v>
      </c>
      <c r="Q275" s="618"/>
      <c r="R275" s="618"/>
      <c r="S275" s="618">
        <f t="shared" si="127"/>
        <v>0</v>
      </c>
      <c r="T275" s="618"/>
      <c r="U275" s="618"/>
      <c r="V275" s="593">
        <f t="shared" si="128"/>
        <v>0</v>
      </c>
      <c r="W275" s="593"/>
      <c r="X275" s="594"/>
      <c r="Y275" s="595"/>
      <c r="Z275" s="593"/>
      <c r="AA275" s="596"/>
      <c r="AB275" s="595"/>
      <c r="AC275" s="593"/>
      <c r="AD275" s="596"/>
      <c r="AE275" s="595"/>
      <c r="AF275" s="593"/>
      <c r="AG275" s="596"/>
      <c r="AH275" s="595"/>
      <c r="AI275" s="593"/>
      <c r="AJ275" s="596"/>
      <c r="AK275" s="595"/>
      <c r="AL275" s="593"/>
      <c r="AM275" s="596"/>
      <c r="AN275" s="595"/>
      <c r="AO275" s="593"/>
      <c r="AP275" s="596"/>
      <c r="AQ275" s="595"/>
      <c r="AR275" s="593"/>
      <c r="AS275" s="593"/>
      <c r="AT275" s="593"/>
      <c r="AU275" s="593"/>
      <c r="AV275" s="593"/>
      <c r="AW275" s="596"/>
      <c r="AX275" s="595"/>
      <c r="AY275" s="593"/>
      <c r="AZ275" s="596"/>
      <c r="BA275" s="595"/>
      <c r="BB275" s="593"/>
      <c r="BC275" s="596"/>
      <c r="BD275" s="595"/>
      <c r="BE275" s="593"/>
      <c r="BF275" s="596"/>
      <c r="BG275" s="595"/>
      <c r="BH275" s="593"/>
      <c r="BI275" s="596"/>
      <c r="BJ275" s="595"/>
      <c r="BK275" s="593"/>
      <c r="BL275" s="596"/>
      <c r="BM275" s="595"/>
      <c r="BN275" s="593"/>
      <c r="BO275" s="596"/>
      <c r="BP275" s="595"/>
      <c r="BQ275" s="593"/>
      <c r="BR275" s="596"/>
      <c r="BS275" s="595"/>
      <c r="BT275" s="593"/>
      <c r="BU275" s="596"/>
      <c r="BV275" s="595"/>
      <c r="BW275" s="593"/>
      <c r="BX275" s="596"/>
      <c r="BY275" s="595"/>
      <c r="BZ275" s="593"/>
      <c r="CA275" s="596"/>
      <c r="CB275" s="595"/>
      <c r="CC275" s="593"/>
      <c r="CD275" s="596"/>
      <c r="CE275" s="595"/>
      <c r="CF275" s="593"/>
      <c r="CG275" s="596"/>
      <c r="CH275" s="595"/>
      <c r="CI275" s="593"/>
      <c r="CJ275" s="596"/>
      <c r="CK275" s="595"/>
      <c r="CL275" s="593"/>
      <c r="CM275" s="596"/>
      <c r="CN275" s="595"/>
      <c r="CO275" s="593"/>
      <c r="CP275" s="596"/>
    </row>
    <row r="276" spans="2:94" ht="21" hidden="1" customHeight="1" outlineLevel="1">
      <c r="B276" s="586"/>
      <c r="C276" s="587"/>
      <c r="D276" s="588"/>
      <c r="E276" s="520" t="s">
        <v>190</v>
      </c>
      <c r="F276" s="521"/>
      <c r="G276" s="521"/>
      <c r="H276" s="521"/>
      <c r="I276" s="522"/>
      <c r="J276" s="615"/>
      <c r="K276" s="616"/>
      <c r="L276" s="617"/>
      <c r="M276" s="592">
        <f t="shared" si="125"/>
        <v>0</v>
      </c>
      <c r="N276" s="593"/>
      <c r="O276" s="593"/>
      <c r="P276" s="618">
        <f t="shared" si="126"/>
        <v>0</v>
      </c>
      <c r="Q276" s="618"/>
      <c r="R276" s="618"/>
      <c r="S276" s="618">
        <f t="shared" si="127"/>
        <v>0</v>
      </c>
      <c r="T276" s="618"/>
      <c r="U276" s="618"/>
      <c r="V276" s="593">
        <f t="shared" si="128"/>
        <v>0</v>
      </c>
      <c r="W276" s="593"/>
      <c r="X276" s="594"/>
      <c r="Y276" s="595"/>
      <c r="Z276" s="593"/>
      <c r="AA276" s="596"/>
      <c r="AB276" s="595"/>
      <c r="AC276" s="593"/>
      <c r="AD276" s="596"/>
      <c r="AE276" s="595"/>
      <c r="AF276" s="593"/>
      <c r="AG276" s="596"/>
      <c r="AH276" s="595"/>
      <c r="AI276" s="593"/>
      <c r="AJ276" s="596"/>
      <c r="AK276" s="595"/>
      <c r="AL276" s="593"/>
      <c r="AM276" s="596"/>
      <c r="AN276" s="595"/>
      <c r="AO276" s="593"/>
      <c r="AP276" s="596"/>
      <c r="AQ276" s="595"/>
      <c r="AR276" s="593"/>
      <c r="AS276" s="593"/>
      <c r="AT276" s="593"/>
      <c r="AU276" s="593"/>
      <c r="AV276" s="593"/>
      <c r="AW276" s="596"/>
      <c r="AX276" s="595"/>
      <c r="AY276" s="593"/>
      <c r="AZ276" s="596"/>
      <c r="BA276" s="595"/>
      <c r="BB276" s="593"/>
      <c r="BC276" s="596"/>
      <c r="BD276" s="595"/>
      <c r="BE276" s="593"/>
      <c r="BF276" s="596"/>
      <c r="BG276" s="595"/>
      <c r="BH276" s="593"/>
      <c r="BI276" s="596"/>
      <c r="BJ276" s="595"/>
      <c r="BK276" s="593"/>
      <c r="BL276" s="596"/>
      <c r="BM276" s="595"/>
      <c r="BN276" s="593"/>
      <c r="BO276" s="596"/>
      <c r="BP276" s="595"/>
      <c r="BQ276" s="593"/>
      <c r="BR276" s="596"/>
      <c r="BS276" s="595"/>
      <c r="BT276" s="593"/>
      <c r="BU276" s="596"/>
      <c r="BV276" s="595"/>
      <c r="BW276" s="593"/>
      <c r="BX276" s="596"/>
      <c r="BY276" s="595"/>
      <c r="BZ276" s="593"/>
      <c r="CA276" s="596"/>
      <c r="CB276" s="595"/>
      <c r="CC276" s="593"/>
      <c r="CD276" s="596"/>
      <c r="CE276" s="595"/>
      <c r="CF276" s="593"/>
      <c r="CG276" s="596"/>
      <c r="CH276" s="595"/>
      <c r="CI276" s="593"/>
      <c r="CJ276" s="596"/>
      <c r="CK276" s="595"/>
      <c r="CL276" s="593"/>
      <c r="CM276" s="596"/>
      <c r="CN276" s="595"/>
      <c r="CO276" s="593"/>
      <c r="CP276" s="596"/>
    </row>
    <row r="277" spans="2:94" ht="21" hidden="1" customHeight="1" outlineLevel="1">
      <c r="B277" s="586"/>
      <c r="C277" s="587"/>
      <c r="D277" s="588"/>
      <c r="E277" s="520" t="s">
        <v>192</v>
      </c>
      <c r="F277" s="521"/>
      <c r="G277" s="521"/>
      <c r="H277" s="521"/>
      <c r="I277" s="522"/>
      <c r="J277" s="615"/>
      <c r="K277" s="616"/>
      <c r="L277" s="617"/>
      <c r="M277" s="592">
        <f t="shared" si="125"/>
        <v>0</v>
      </c>
      <c r="N277" s="593"/>
      <c r="O277" s="593"/>
      <c r="P277" s="618">
        <f t="shared" si="126"/>
        <v>0</v>
      </c>
      <c r="Q277" s="618"/>
      <c r="R277" s="618"/>
      <c r="S277" s="618">
        <f t="shared" si="127"/>
        <v>0</v>
      </c>
      <c r="T277" s="618"/>
      <c r="U277" s="618"/>
      <c r="V277" s="593">
        <f t="shared" si="128"/>
        <v>0</v>
      </c>
      <c r="W277" s="593"/>
      <c r="X277" s="594"/>
      <c r="Y277" s="595"/>
      <c r="Z277" s="593"/>
      <c r="AA277" s="596"/>
      <c r="AB277" s="595"/>
      <c r="AC277" s="593"/>
      <c r="AD277" s="596"/>
      <c r="AE277" s="595"/>
      <c r="AF277" s="593"/>
      <c r="AG277" s="596"/>
      <c r="AH277" s="595"/>
      <c r="AI277" s="593"/>
      <c r="AJ277" s="596"/>
      <c r="AK277" s="595"/>
      <c r="AL277" s="593"/>
      <c r="AM277" s="596"/>
      <c r="AN277" s="595"/>
      <c r="AO277" s="593"/>
      <c r="AP277" s="596"/>
      <c r="AQ277" s="595"/>
      <c r="AR277" s="593"/>
      <c r="AS277" s="593"/>
      <c r="AT277" s="593"/>
      <c r="AU277" s="593"/>
      <c r="AV277" s="593"/>
      <c r="AW277" s="596"/>
      <c r="AX277" s="595"/>
      <c r="AY277" s="593"/>
      <c r="AZ277" s="596"/>
      <c r="BA277" s="595"/>
      <c r="BB277" s="593"/>
      <c r="BC277" s="596"/>
      <c r="BD277" s="595"/>
      <c r="BE277" s="593"/>
      <c r="BF277" s="596"/>
      <c r="BG277" s="595"/>
      <c r="BH277" s="593"/>
      <c r="BI277" s="596"/>
      <c r="BJ277" s="595"/>
      <c r="BK277" s="593"/>
      <c r="BL277" s="596"/>
      <c r="BM277" s="595"/>
      <c r="BN277" s="593"/>
      <c r="BO277" s="596"/>
      <c r="BP277" s="595"/>
      <c r="BQ277" s="593"/>
      <c r="BR277" s="596"/>
      <c r="BS277" s="595"/>
      <c r="BT277" s="593"/>
      <c r="BU277" s="596"/>
      <c r="BV277" s="595"/>
      <c r="BW277" s="593"/>
      <c r="BX277" s="596"/>
      <c r="BY277" s="595"/>
      <c r="BZ277" s="593"/>
      <c r="CA277" s="596"/>
      <c r="CB277" s="595"/>
      <c r="CC277" s="593"/>
      <c r="CD277" s="596"/>
      <c r="CE277" s="595"/>
      <c r="CF277" s="593"/>
      <c r="CG277" s="596"/>
      <c r="CH277" s="595"/>
      <c r="CI277" s="593"/>
      <c r="CJ277" s="596"/>
      <c r="CK277" s="595"/>
      <c r="CL277" s="593"/>
      <c r="CM277" s="596"/>
      <c r="CN277" s="595"/>
      <c r="CO277" s="593"/>
      <c r="CP277" s="596"/>
    </row>
    <row r="278" spans="2:94" ht="21" hidden="1" customHeight="1" outlineLevel="1">
      <c r="B278" s="586"/>
      <c r="C278" s="587"/>
      <c r="D278" s="588"/>
      <c r="E278" s="520" t="s">
        <v>191</v>
      </c>
      <c r="F278" s="521"/>
      <c r="G278" s="521"/>
      <c r="H278" s="521"/>
      <c r="I278" s="522"/>
      <c r="J278" s="615"/>
      <c r="K278" s="616"/>
      <c r="L278" s="617"/>
      <c r="M278" s="592">
        <f t="shared" si="125"/>
        <v>0</v>
      </c>
      <c r="N278" s="593"/>
      <c r="O278" s="593"/>
      <c r="P278" s="618">
        <f t="shared" si="126"/>
        <v>0</v>
      </c>
      <c r="Q278" s="618"/>
      <c r="R278" s="618"/>
      <c r="S278" s="618">
        <f t="shared" si="127"/>
        <v>0</v>
      </c>
      <c r="T278" s="618"/>
      <c r="U278" s="618"/>
      <c r="V278" s="593">
        <f t="shared" si="128"/>
        <v>0</v>
      </c>
      <c r="W278" s="593"/>
      <c r="X278" s="594"/>
      <c r="Y278" s="595"/>
      <c r="Z278" s="593"/>
      <c r="AA278" s="596"/>
      <c r="AB278" s="595"/>
      <c r="AC278" s="593"/>
      <c r="AD278" s="596"/>
      <c r="AE278" s="595"/>
      <c r="AF278" s="593"/>
      <c r="AG278" s="596"/>
      <c r="AH278" s="595"/>
      <c r="AI278" s="593"/>
      <c r="AJ278" s="596"/>
      <c r="AK278" s="595"/>
      <c r="AL278" s="593"/>
      <c r="AM278" s="596"/>
      <c r="AN278" s="595"/>
      <c r="AO278" s="593"/>
      <c r="AP278" s="596"/>
      <c r="AQ278" s="595"/>
      <c r="AR278" s="593"/>
      <c r="AS278" s="593"/>
      <c r="AT278" s="593"/>
      <c r="AU278" s="593"/>
      <c r="AV278" s="593"/>
      <c r="AW278" s="596"/>
      <c r="AX278" s="595"/>
      <c r="AY278" s="593"/>
      <c r="AZ278" s="596"/>
      <c r="BA278" s="595"/>
      <c r="BB278" s="593"/>
      <c r="BC278" s="596"/>
      <c r="BD278" s="595"/>
      <c r="BE278" s="593"/>
      <c r="BF278" s="596"/>
      <c r="BG278" s="595"/>
      <c r="BH278" s="593"/>
      <c r="BI278" s="596"/>
      <c r="BJ278" s="595"/>
      <c r="BK278" s="593"/>
      <c r="BL278" s="596"/>
      <c r="BM278" s="595"/>
      <c r="BN278" s="593"/>
      <c r="BO278" s="596"/>
      <c r="BP278" s="595"/>
      <c r="BQ278" s="593"/>
      <c r="BR278" s="596"/>
      <c r="BS278" s="595"/>
      <c r="BT278" s="593"/>
      <c r="BU278" s="596"/>
      <c r="BV278" s="595"/>
      <c r="BW278" s="593"/>
      <c r="BX278" s="596"/>
      <c r="BY278" s="595"/>
      <c r="BZ278" s="593"/>
      <c r="CA278" s="596"/>
      <c r="CB278" s="595"/>
      <c r="CC278" s="593"/>
      <c r="CD278" s="596"/>
      <c r="CE278" s="595"/>
      <c r="CF278" s="593"/>
      <c r="CG278" s="596"/>
      <c r="CH278" s="595"/>
      <c r="CI278" s="593"/>
      <c r="CJ278" s="596"/>
      <c r="CK278" s="595"/>
      <c r="CL278" s="593"/>
      <c r="CM278" s="596"/>
      <c r="CN278" s="595"/>
      <c r="CO278" s="593"/>
      <c r="CP278" s="596"/>
    </row>
    <row r="279" spans="2:94" ht="21" hidden="1" customHeight="1" outlineLevel="1">
      <c r="B279" s="586"/>
      <c r="C279" s="587"/>
      <c r="D279" s="588"/>
      <c r="E279" s="520" t="s">
        <v>194</v>
      </c>
      <c r="F279" s="521"/>
      <c r="G279" s="521"/>
      <c r="H279" s="521"/>
      <c r="I279" s="522"/>
      <c r="J279" s="615"/>
      <c r="K279" s="616"/>
      <c r="L279" s="617"/>
      <c r="M279" s="592">
        <f t="shared" si="125"/>
        <v>0</v>
      </c>
      <c r="N279" s="593"/>
      <c r="O279" s="593"/>
      <c r="P279" s="618">
        <f t="shared" si="126"/>
        <v>0</v>
      </c>
      <c r="Q279" s="618"/>
      <c r="R279" s="618"/>
      <c r="S279" s="618">
        <f t="shared" si="127"/>
        <v>0</v>
      </c>
      <c r="T279" s="618"/>
      <c r="U279" s="618"/>
      <c r="V279" s="593">
        <f t="shared" si="128"/>
        <v>0</v>
      </c>
      <c r="W279" s="593"/>
      <c r="X279" s="594"/>
      <c r="Y279" s="595"/>
      <c r="Z279" s="593"/>
      <c r="AA279" s="596"/>
      <c r="AB279" s="595"/>
      <c r="AC279" s="593"/>
      <c r="AD279" s="596"/>
      <c r="AE279" s="595"/>
      <c r="AF279" s="593"/>
      <c r="AG279" s="596"/>
      <c r="AH279" s="595"/>
      <c r="AI279" s="593"/>
      <c r="AJ279" s="596"/>
      <c r="AK279" s="595"/>
      <c r="AL279" s="593"/>
      <c r="AM279" s="596"/>
      <c r="AN279" s="595"/>
      <c r="AO279" s="593"/>
      <c r="AP279" s="596"/>
      <c r="AQ279" s="595"/>
      <c r="AR279" s="593"/>
      <c r="AS279" s="593"/>
      <c r="AT279" s="593"/>
      <c r="AU279" s="593"/>
      <c r="AV279" s="593"/>
      <c r="AW279" s="596"/>
      <c r="AX279" s="595"/>
      <c r="AY279" s="593"/>
      <c r="AZ279" s="596"/>
      <c r="BA279" s="595"/>
      <c r="BB279" s="593"/>
      <c r="BC279" s="596"/>
      <c r="BD279" s="595"/>
      <c r="BE279" s="593"/>
      <c r="BF279" s="596"/>
      <c r="BG279" s="595"/>
      <c r="BH279" s="593"/>
      <c r="BI279" s="596"/>
      <c r="BJ279" s="595"/>
      <c r="BK279" s="593"/>
      <c r="BL279" s="596"/>
      <c r="BM279" s="595"/>
      <c r="BN279" s="593"/>
      <c r="BO279" s="596"/>
      <c r="BP279" s="595"/>
      <c r="BQ279" s="593"/>
      <c r="BR279" s="596"/>
      <c r="BS279" s="595"/>
      <c r="BT279" s="593"/>
      <c r="BU279" s="596"/>
      <c r="BV279" s="595"/>
      <c r="BW279" s="593"/>
      <c r="BX279" s="596"/>
      <c r="BY279" s="595"/>
      <c r="BZ279" s="593"/>
      <c r="CA279" s="596"/>
      <c r="CB279" s="595"/>
      <c r="CC279" s="593"/>
      <c r="CD279" s="596"/>
      <c r="CE279" s="595"/>
      <c r="CF279" s="593"/>
      <c r="CG279" s="596"/>
      <c r="CH279" s="595"/>
      <c r="CI279" s="593"/>
      <c r="CJ279" s="596"/>
      <c r="CK279" s="595"/>
      <c r="CL279" s="593"/>
      <c r="CM279" s="596"/>
      <c r="CN279" s="595"/>
      <c r="CO279" s="593"/>
      <c r="CP279" s="596"/>
    </row>
    <row r="280" spans="2:94" ht="21" hidden="1" customHeight="1" outlineLevel="1">
      <c r="B280" s="586"/>
      <c r="C280" s="587"/>
      <c r="D280" s="588"/>
      <c r="E280" s="520" t="s">
        <v>193</v>
      </c>
      <c r="F280" s="521"/>
      <c r="G280" s="521"/>
      <c r="H280" s="521"/>
      <c r="I280" s="522"/>
      <c r="J280" s="615"/>
      <c r="K280" s="616"/>
      <c r="L280" s="617"/>
      <c r="M280" s="592">
        <f t="shared" si="125"/>
        <v>0</v>
      </c>
      <c r="N280" s="593"/>
      <c r="O280" s="593"/>
      <c r="P280" s="618">
        <f t="shared" si="126"/>
        <v>0</v>
      </c>
      <c r="Q280" s="618"/>
      <c r="R280" s="618"/>
      <c r="S280" s="618">
        <f t="shared" si="127"/>
        <v>0</v>
      </c>
      <c r="T280" s="618"/>
      <c r="U280" s="618"/>
      <c r="V280" s="593">
        <f t="shared" si="128"/>
        <v>0</v>
      </c>
      <c r="W280" s="593"/>
      <c r="X280" s="594"/>
      <c r="Y280" s="595"/>
      <c r="Z280" s="593"/>
      <c r="AA280" s="596"/>
      <c r="AB280" s="595"/>
      <c r="AC280" s="593"/>
      <c r="AD280" s="596"/>
      <c r="AE280" s="595"/>
      <c r="AF280" s="593"/>
      <c r="AG280" s="596"/>
      <c r="AH280" s="595"/>
      <c r="AI280" s="593"/>
      <c r="AJ280" s="596"/>
      <c r="AK280" s="595"/>
      <c r="AL280" s="593"/>
      <c r="AM280" s="596"/>
      <c r="AN280" s="595"/>
      <c r="AO280" s="593"/>
      <c r="AP280" s="596"/>
      <c r="AQ280" s="595"/>
      <c r="AR280" s="593"/>
      <c r="AS280" s="593"/>
      <c r="AT280" s="593"/>
      <c r="AU280" s="593"/>
      <c r="AV280" s="593"/>
      <c r="AW280" s="596"/>
      <c r="AX280" s="595"/>
      <c r="AY280" s="593"/>
      <c r="AZ280" s="596"/>
      <c r="BA280" s="595"/>
      <c r="BB280" s="593"/>
      <c r="BC280" s="596"/>
      <c r="BD280" s="595"/>
      <c r="BE280" s="593"/>
      <c r="BF280" s="596"/>
      <c r="BG280" s="595"/>
      <c r="BH280" s="593"/>
      <c r="BI280" s="596"/>
      <c r="BJ280" s="595"/>
      <c r="BK280" s="593"/>
      <c r="BL280" s="596"/>
      <c r="BM280" s="595"/>
      <c r="BN280" s="593"/>
      <c r="BO280" s="596"/>
      <c r="BP280" s="595"/>
      <c r="BQ280" s="593"/>
      <c r="BR280" s="596"/>
      <c r="BS280" s="595"/>
      <c r="BT280" s="593"/>
      <c r="BU280" s="596"/>
      <c r="BV280" s="595"/>
      <c r="BW280" s="593"/>
      <c r="BX280" s="596"/>
      <c r="BY280" s="595"/>
      <c r="BZ280" s="593"/>
      <c r="CA280" s="596"/>
      <c r="CB280" s="595"/>
      <c r="CC280" s="593"/>
      <c r="CD280" s="596"/>
      <c r="CE280" s="595"/>
      <c r="CF280" s="593"/>
      <c r="CG280" s="596"/>
      <c r="CH280" s="595"/>
      <c r="CI280" s="593"/>
      <c r="CJ280" s="596"/>
      <c r="CK280" s="595"/>
      <c r="CL280" s="593"/>
      <c r="CM280" s="596"/>
      <c r="CN280" s="595"/>
      <c r="CO280" s="593"/>
      <c r="CP280" s="596"/>
    </row>
    <row r="281" spans="2:94" ht="21" hidden="1" customHeight="1" outlineLevel="1">
      <c r="B281" s="586"/>
      <c r="C281" s="587"/>
      <c r="D281" s="588"/>
      <c r="E281" s="520"/>
      <c r="F281" s="521"/>
      <c r="G281" s="521"/>
      <c r="H281" s="521"/>
      <c r="I281" s="522"/>
      <c r="J281" s="615"/>
      <c r="K281" s="616"/>
      <c r="L281" s="617"/>
      <c r="M281" s="592">
        <f t="shared" si="125"/>
        <v>0</v>
      </c>
      <c r="N281" s="593"/>
      <c r="O281" s="593"/>
      <c r="P281" s="618">
        <f t="shared" si="126"/>
        <v>0</v>
      </c>
      <c r="Q281" s="618"/>
      <c r="R281" s="618"/>
      <c r="S281" s="618">
        <f t="shared" si="127"/>
        <v>0</v>
      </c>
      <c r="T281" s="618"/>
      <c r="U281" s="618"/>
      <c r="V281" s="593">
        <f t="shared" si="128"/>
        <v>0</v>
      </c>
      <c r="W281" s="593"/>
      <c r="X281" s="594"/>
      <c r="Y281" s="595"/>
      <c r="Z281" s="593"/>
      <c r="AA281" s="596"/>
      <c r="AB281" s="595"/>
      <c r="AC281" s="593"/>
      <c r="AD281" s="596"/>
      <c r="AE281" s="595"/>
      <c r="AF281" s="593"/>
      <c r="AG281" s="596"/>
      <c r="AH281" s="595"/>
      <c r="AI281" s="593"/>
      <c r="AJ281" s="596"/>
      <c r="AK281" s="595"/>
      <c r="AL281" s="593"/>
      <c r="AM281" s="596"/>
      <c r="AN281" s="595"/>
      <c r="AO281" s="593"/>
      <c r="AP281" s="596"/>
      <c r="AQ281" s="595"/>
      <c r="AR281" s="593"/>
      <c r="AS281" s="593"/>
      <c r="AT281" s="593"/>
      <c r="AU281" s="593"/>
      <c r="AV281" s="593"/>
      <c r="AW281" s="596"/>
      <c r="AX281" s="595"/>
      <c r="AY281" s="593"/>
      <c r="AZ281" s="596"/>
      <c r="BA281" s="595"/>
      <c r="BB281" s="593"/>
      <c r="BC281" s="596"/>
      <c r="BD281" s="595"/>
      <c r="BE281" s="593"/>
      <c r="BF281" s="596"/>
      <c r="BG281" s="595"/>
      <c r="BH281" s="593"/>
      <c r="BI281" s="596"/>
      <c r="BJ281" s="595"/>
      <c r="BK281" s="593"/>
      <c r="BL281" s="596"/>
      <c r="BM281" s="595"/>
      <c r="BN281" s="593"/>
      <c r="BO281" s="596"/>
      <c r="BP281" s="595"/>
      <c r="BQ281" s="593"/>
      <c r="BR281" s="596"/>
      <c r="BS281" s="595"/>
      <c r="BT281" s="593"/>
      <c r="BU281" s="596"/>
      <c r="BV281" s="595"/>
      <c r="BW281" s="593"/>
      <c r="BX281" s="596"/>
      <c r="BY281" s="595"/>
      <c r="BZ281" s="593"/>
      <c r="CA281" s="596"/>
      <c r="CB281" s="595"/>
      <c r="CC281" s="593"/>
      <c r="CD281" s="596"/>
      <c r="CE281" s="595"/>
      <c r="CF281" s="593"/>
      <c r="CG281" s="596"/>
      <c r="CH281" s="595"/>
      <c r="CI281" s="593"/>
      <c r="CJ281" s="596"/>
      <c r="CK281" s="595"/>
      <c r="CL281" s="593"/>
      <c r="CM281" s="596"/>
      <c r="CN281" s="595"/>
      <c r="CO281" s="593"/>
      <c r="CP281" s="596"/>
    </row>
    <row r="282" spans="2:94" ht="21" hidden="1" customHeight="1" outlineLevel="1">
      <c r="B282" s="586"/>
      <c r="C282" s="587"/>
      <c r="D282" s="588"/>
      <c r="E282" s="520"/>
      <c r="F282" s="521"/>
      <c r="G282" s="521"/>
      <c r="H282" s="521"/>
      <c r="I282" s="522"/>
      <c r="J282" s="615"/>
      <c r="K282" s="616"/>
      <c r="L282" s="617"/>
      <c r="M282" s="592">
        <f t="shared" si="125"/>
        <v>0</v>
      </c>
      <c r="N282" s="593"/>
      <c r="O282" s="593"/>
      <c r="P282" s="618">
        <f t="shared" si="126"/>
        <v>0</v>
      </c>
      <c r="Q282" s="618"/>
      <c r="R282" s="618"/>
      <c r="S282" s="618">
        <f t="shared" si="127"/>
        <v>0</v>
      </c>
      <c r="T282" s="618"/>
      <c r="U282" s="618"/>
      <c r="V282" s="593">
        <f t="shared" si="128"/>
        <v>0</v>
      </c>
      <c r="W282" s="593"/>
      <c r="X282" s="594"/>
      <c r="Y282" s="595"/>
      <c r="Z282" s="593"/>
      <c r="AA282" s="596"/>
      <c r="AB282" s="595"/>
      <c r="AC282" s="593"/>
      <c r="AD282" s="596"/>
      <c r="AE282" s="595"/>
      <c r="AF282" s="593"/>
      <c r="AG282" s="596"/>
      <c r="AH282" s="595"/>
      <c r="AI282" s="593"/>
      <c r="AJ282" s="596"/>
      <c r="AK282" s="595"/>
      <c r="AL282" s="593"/>
      <c r="AM282" s="596"/>
      <c r="AN282" s="595"/>
      <c r="AO282" s="593"/>
      <c r="AP282" s="596"/>
      <c r="AQ282" s="595"/>
      <c r="AR282" s="593"/>
      <c r="AS282" s="593"/>
      <c r="AT282" s="593"/>
      <c r="AU282" s="593"/>
      <c r="AV282" s="593"/>
      <c r="AW282" s="596"/>
      <c r="AX282" s="595"/>
      <c r="AY282" s="593"/>
      <c r="AZ282" s="596"/>
      <c r="BA282" s="595"/>
      <c r="BB282" s="593"/>
      <c r="BC282" s="596"/>
      <c r="BD282" s="595"/>
      <c r="BE282" s="593"/>
      <c r="BF282" s="596"/>
      <c r="BG282" s="595"/>
      <c r="BH282" s="593"/>
      <c r="BI282" s="596"/>
      <c r="BJ282" s="595"/>
      <c r="BK282" s="593"/>
      <c r="BL282" s="596"/>
      <c r="BM282" s="595"/>
      <c r="BN282" s="593"/>
      <c r="BO282" s="596"/>
      <c r="BP282" s="595"/>
      <c r="BQ282" s="593"/>
      <c r="BR282" s="596"/>
      <c r="BS282" s="595"/>
      <c r="BT282" s="593"/>
      <c r="BU282" s="596"/>
      <c r="BV282" s="595"/>
      <c r="BW282" s="593"/>
      <c r="BX282" s="596"/>
      <c r="BY282" s="595"/>
      <c r="BZ282" s="593"/>
      <c r="CA282" s="596"/>
      <c r="CB282" s="595"/>
      <c r="CC282" s="593"/>
      <c r="CD282" s="596"/>
      <c r="CE282" s="595"/>
      <c r="CF282" s="593"/>
      <c r="CG282" s="596"/>
      <c r="CH282" s="595"/>
      <c r="CI282" s="593"/>
      <c r="CJ282" s="596"/>
      <c r="CK282" s="595"/>
      <c r="CL282" s="593"/>
      <c r="CM282" s="596"/>
      <c r="CN282" s="595"/>
      <c r="CO282" s="593"/>
      <c r="CP282" s="596"/>
    </row>
    <row r="283" spans="2:94" ht="21" hidden="1" customHeight="1" outlineLevel="1">
      <c r="B283" s="586"/>
      <c r="C283" s="587"/>
      <c r="D283" s="588"/>
      <c r="E283" s="520"/>
      <c r="F283" s="521"/>
      <c r="G283" s="521"/>
      <c r="H283" s="521"/>
      <c r="I283" s="522"/>
      <c r="J283" s="615"/>
      <c r="K283" s="616"/>
      <c r="L283" s="617"/>
      <c r="M283" s="592">
        <f t="shared" si="125"/>
        <v>0</v>
      </c>
      <c r="N283" s="593"/>
      <c r="O283" s="593"/>
      <c r="P283" s="618">
        <f t="shared" si="126"/>
        <v>0</v>
      </c>
      <c r="Q283" s="618"/>
      <c r="R283" s="618"/>
      <c r="S283" s="618">
        <f t="shared" si="127"/>
        <v>0</v>
      </c>
      <c r="T283" s="618"/>
      <c r="U283" s="618"/>
      <c r="V283" s="593">
        <f t="shared" si="128"/>
        <v>0</v>
      </c>
      <c r="W283" s="593"/>
      <c r="X283" s="594"/>
      <c r="Y283" s="595"/>
      <c r="Z283" s="593"/>
      <c r="AA283" s="596"/>
      <c r="AB283" s="595"/>
      <c r="AC283" s="593"/>
      <c r="AD283" s="596"/>
      <c r="AE283" s="595"/>
      <c r="AF283" s="593"/>
      <c r="AG283" s="596"/>
      <c r="AH283" s="595"/>
      <c r="AI283" s="593"/>
      <c r="AJ283" s="596"/>
      <c r="AK283" s="595"/>
      <c r="AL283" s="593"/>
      <c r="AM283" s="596"/>
      <c r="AN283" s="595"/>
      <c r="AO283" s="593"/>
      <c r="AP283" s="596"/>
      <c r="AQ283" s="595"/>
      <c r="AR283" s="593"/>
      <c r="AS283" s="593"/>
      <c r="AT283" s="593"/>
      <c r="AU283" s="593"/>
      <c r="AV283" s="593"/>
      <c r="AW283" s="596"/>
      <c r="AX283" s="595"/>
      <c r="AY283" s="593"/>
      <c r="AZ283" s="596"/>
      <c r="BA283" s="595"/>
      <c r="BB283" s="593"/>
      <c r="BC283" s="596"/>
      <c r="BD283" s="595"/>
      <c r="BE283" s="593"/>
      <c r="BF283" s="596"/>
      <c r="BG283" s="595"/>
      <c r="BH283" s="593"/>
      <c r="BI283" s="596"/>
      <c r="BJ283" s="595"/>
      <c r="BK283" s="593"/>
      <c r="BL283" s="596"/>
      <c r="BM283" s="595"/>
      <c r="BN283" s="593"/>
      <c r="BO283" s="596"/>
      <c r="BP283" s="595"/>
      <c r="BQ283" s="593"/>
      <c r="BR283" s="596"/>
      <c r="BS283" s="595"/>
      <c r="BT283" s="593"/>
      <c r="BU283" s="596"/>
      <c r="BV283" s="595"/>
      <c r="BW283" s="593"/>
      <c r="BX283" s="596"/>
      <c r="BY283" s="595"/>
      <c r="BZ283" s="593"/>
      <c r="CA283" s="596"/>
      <c r="CB283" s="595"/>
      <c r="CC283" s="593"/>
      <c r="CD283" s="596"/>
      <c r="CE283" s="595"/>
      <c r="CF283" s="593"/>
      <c r="CG283" s="596"/>
      <c r="CH283" s="595"/>
      <c r="CI283" s="593"/>
      <c r="CJ283" s="596"/>
      <c r="CK283" s="595"/>
      <c r="CL283" s="593"/>
      <c r="CM283" s="596"/>
      <c r="CN283" s="595"/>
      <c r="CO283" s="593"/>
      <c r="CP283" s="596"/>
    </row>
    <row r="284" spans="2:94" ht="21" hidden="1" customHeight="1" outlineLevel="1" thickBot="1">
      <c r="B284" s="128"/>
      <c r="C284" s="129"/>
      <c r="D284" s="129"/>
      <c r="E284" s="246" t="s">
        <v>197</v>
      </c>
      <c r="F284" s="246"/>
      <c r="G284" s="246"/>
      <c r="H284" s="246"/>
      <c r="I284" s="247"/>
      <c r="J284" s="601">
        <f>SUM(J262:L283)</f>
        <v>0</v>
      </c>
      <c r="K284" s="602"/>
      <c r="L284" s="603"/>
      <c r="M284" s="619">
        <f t="shared" ref="M284" si="129">SUM(M262:O283)</f>
        <v>0</v>
      </c>
      <c r="N284" s="608"/>
      <c r="O284" s="608"/>
      <c r="P284" s="606">
        <f t="shared" ref="P284" si="130">SUM(P262:R283)</f>
        <v>0</v>
      </c>
      <c r="Q284" s="606"/>
      <c r="R284" s="606"/>
      <c r="S284" s="606">
        <f t="shared" ref="S284" si="131">SUM(S262:U283)</f>
        <v>0</v>
      </c>
      <c r="T284" s="606"/>
      <c r="U284" s="606"/>
      <c r="V284" s="608">
        <f t="shared" ref="V284" si="132">SUM(V262:X283)</f>
        <v>0</v>
      </c>
      <c r="W284" s="608"/>
      <c r="X284" s="609"/>
      <c r="Y284" s="601">
        <f t="shared" ref="Y284" si="133">SUM(Y262:AA283)</f>
        <v>0</v>
      </c>
      <c r="Z284" s="602"/>
      <c r="AA284" s="603"/>
      <c r="AB284" s="601">
        <f t="shared" ref="AB284" si="134">SUM(AB262:AD283)</f>
        <v>0</v>
      </c>
      <c r="AC284" s="602"/>
      <c r="AD284" s="603"/>
      <c r="AE284" s="601">
        <f t="shared" ref="AE284" si="135">SUM(AE262:AG283)</f>
        <v>0</v>
      </c>
      <c r="AF284" s="602"/>
      <c r="AG284" s="603"/>
      <c r="AH284" s="601">
        <f t="shared" ref="AH284" si="136">SUM(AH262:AJ283)</f>
        <v>0</v>
      </c>
      <c r="AI284" s="602"/>
      <c r="AJ284" s="603"/>
      <c r="AK284" s="601">
        <f t="shared" ref="AK284" si="137">SUM(AK262:AM283)</f>
        <v>0</v>
      </c>
      <c r="AL284" s="602"/>
      <c r="AM284" s="603"/>
      <c r="AN284" s="601">
        <f t="shared" ref="AN284" si="138">SUM(AN262:AP283)</f>
        <v>0</v>
      </c>
      <c r="AO284" s="602"/>
      <c r="AP284" s="603"/>
      <c r="AQ284" s="601">
        <f t="shared" ref="AQ284" si="139">SUM(AQ262:AW283)</f>
        <v>0</v>
      </c>
      <c r="AR284" s="602"/>
      <c r="AS284" s="602"/>
      <c r="AT284" s="602"/>
      <c r="AU284" s="602"/>
      <c r="AV284" s="602"/>
      <c r="AW284" s="603"/>
      <c r="AX284" s="601">
        <f t="shared" ref="AX284" si="140">SUM(AX262:AZ283)</f>
        <v>0</v>
      </c>
      <c r="AY284" s="602"/>
      <c r="AZ284" s="603"/>
      <c r="BA284" s="601">
        <f t="shared" ref="BA284" si="141">SUM(BA262:BC283)</f>
        <v>0</v>
      </c>
      <c r="BB284" s="602"/>
      <c r="BC284" s="603"/>
      <c r="BD284" s="601">
        <f t="shared" ref="BD284" si="142">SUM(BD262:BF283)</f>
        <v>0</v>
      </c>
      <c r="BE284" s="602"/>
      <c r="BF284" s="603"/>
      <c r="BG284" s="601">
        <f t="shared" ref="BG284" si="143">SUM(BG262:BI283)</f>
        <v>0</v>
      </c>
      <c r="BH284" s="602"/>
      <c r="BI284" s="603"/>
      <c r="BJ284" s="601">
        <f t="shared" ref="BJ284" si="144">SUM(BJ262:BL283)</f>
        <v>0</v>
      </c>
      <c r="BK284" s="602"/>
      <c r="BL284" s="603"/>
      <c r="BM284" s="601">
        <f t="shared" ref="BM284" si="145">SUM(BM262:BO283)</f>
        <v>0</v>
      </c>
      <c r="BN284" s="602"/>
      <c r="BO284" s="603"/>
      <c r="BP284" s="601">
        <f t="shared" ref="BP284" si="146">SUM(BP262:BR283)</f>
        <v>0</v>
      </c>
      <c r="BQ284" s="602"/>
      <c r="BR284" s="603"/>
      <c r="BS284" s="601">
        <f t="shared" ref="BS284" si="147">SUM(BS262:BU283)</f>
        <v>0</v>
      </c>
      <c r="BT284" s="602"/>
      <c r="BU284" s="603"/>
      <c r="BV284" s="601">
        <f t="shared" ref="BV284" si="148">SUM(BV262:BX283)</f>
        <v>0</v>
      </c>
      <c r="BW284" s="602"/>
      <c r="BX284" s="603"/>
      <c r="BY284" s="601">
        <f t="shared" ref="BY284" si="149">SUM(BY262:CA283)</f>
        <v>0</v>
      </c>
      <c r="BZ284" s="602"/>
      <c r="CA284" s="603"/>
      <c r="CB284" s="601">
        <f t="shared" ref="CB284" si="150">SUM(CB262:CD283)</f>
        <v>0</v>
      </c>
      <c r="CC284" s="602"/>
      <c r="CD284" s="603"/>
      <c r="CE284" s="601">
        <f t="shared" ref="CE284" si="151">SUM(CE262:CG283)</f>
        <v>0</v>
      </c>
      <c r="CF284" s="602"/>
      <c r="CG284" s="603"/>
      <c r="CH284" s="601">
        <f t="shared" ref="CH284" si="152">SUM(CH262:CJ283)</f>
        <v>0</v>
      </c>
      <c r="CI284" s="602"/>
      <c r="CJ284" s="603"/>
      <c r="CK284" s="601">
        <f t="shared" ref="CK284" si="153">SUM(CK262:CM283)</f>
        <v>0</v>
      </c>
      <c r="CL284" s="602"/>
      <c r="CM284" s="603"/>
      <c r="CN284" s="601">
        <f t="shared" ref="CN284" si="154">SUM(CN262:CP283)</f>
        <v>0</v>
      </c>
      <c r="CO284" s="602"/>
      <c r="CP284" s="603"/>
    </row>
    <row r="285" spans="2:94" ht="8.25" hidden="1" customHeight="1" outlineLevel="1" thickTop="1"/>
    <row r="286" spans="2:94" ht="21" hidden="1" customHeight="1" outlineLevel="1">
      <c r="CG286" s="76" t="s">
        <v>49</v>
      </c>
    </row>
    <row r="287" spans="2:94" ht="8.25" hidden="1" customHeight="1" outlineLevel="1" thickBot="1"/>
    <row r="288" spans="2:94" ht="21" hidden="1" customHeight="1" outlineLevel="1" thickTop="1">
      <c r="B288" s="197" t="s">
        <v>9</v>
      </c>
      <c r="C288" s="198"/>
      <c r="D288" s="199"/>
      <c r="E288" s="197" t="s">
        <v>171</v>
      </c>
      <c r="F288" s="198"/>
      <c r="G288" s="198"/>
      <c r="H288" s="198"/>
      <c r="I288" s="199"/>
      <c r="J288" s="197" t="s">
        <v>173</v>
      </c>
      <c r="K288" s="198"/>
      <c r="L288" s="199"/>
      <c r="M288" s="319" t="s">
        <v>172</v>
      </c>
      <c r="N288" s="320"/>
      <c r="O288" s="320"/>
      <c r="P288" s="320"/>
      <c r="Q288" s="320"/>
      <c r="R288" s="320"/>
      <c r="S288" s="320"/>
      <c r="T288" s="320"/>
      <c r="U288" s="320"/>
      <c r="V288" s="320"/>
      <c r="W288" s="320"/>
      <c r="X288" s="321"/>
      <c r="Y288" s="197" t="s">
        <v>93</v>
      </c>
      <c r="Z288" s="198"/>
      <c r="AA288" s="199"/>
      <c r="AB288" s="197" t="s">
        <v>94</v>
      </c>
      <c r="AC288" s="198"/>
      <c r="AD288" s="199"/>
      <c r="AE288" s="197" t="s">
        <v>95</v>
      </c>
      <c r="AF288" s="198"/>
      <c r="AG288" s="199"/>
      <c r="AH288" s="197" t="s">
        <v>96</v>
      </c>
      <c r="AI288" s="198"/>
      <c r="AJ288" s="199"/>
      <c r="AK288" s="197" t="s">
        <v>97</v>
      </c>
      <c r="AL288" s="198"/>
      <c r="AM288" s="199"/>
      <c r="AN288" s="612" t="s">
        <v>98</v>
      </c>
      <c r="AO288" s="613"/>
      <c r="AP288" s="614"/>
      <c r="AQ288" s="612" t="s">
        <v>63</v>
      </c>
      <c r="AR288" s="613"/>
      <c r="AS288" s="613"/>
      <c r="AT288" s="613"/>
      <c r="AU288" s="613"/>
      <c r="AV288" s="613"/>
      <c r="AW288" s="614"/>
      <c r="AX288" s="612" t="s">
        <v>64</v>
      </c>
      <c r="AY288" s="613"/>
      <c r="AZ288" s="614"/>
      <c r="BA288" s="612" t="s">
        <v>65</v>
      </c>
      <c r="BB288" s="613"/>
      <c r="BC288" s="614"/>
      <c r="BD288" s="612" t="s">
        <v>66</v>
      </c>
      <c r="BE288" s="613"/>
      <c r="BF288" s="614"/>
      <c r="BG288" s="612" t="s">
        <v>67</v>
      </c>
      <c r="BH288" s="613"/>
      <c r="BI288" s="614"/>
      <c r="BJ288" s="612" t="s">
        <v>68</v>
      </c>
      <c r="BK288" s="613"/>
      <c r="BL288" s="614"/>
      <c r="BM288" s="612" t="s">
        <v>69</v>
      </c>
      <c r="BN288" s="613"/>
      <c r="BO288" s="614"/>
      <c r="BP288" s="612" t="s">
        <v>70</v>
      </c>
      <c r="BQ288" s="613"/>
      <c r="BR288" s="614"/>
      <c r="BS288" s="612" t="s">
        <v>71</v>
      </c>
      <c r="BT288" s="613"/>
      <c r="BU288" s="614"/>
      <c r="BV288" s="612" t="s">
        <v>72</v>
      </c>
      <c r="BW288" s="613"/>
      <c r="BX288" s="614"/>
      <c r="BY288" s="612" t="s">
        <v>73</v>
      </c>
      <c r="BZ288" s="613"/>
      <c r="CA288" s="614"/>
      <c r="CB288" s="612" t="s">
        <v>74</v>
      </c>
      <c r="CC288" s="613"/>
      <c r="CD288" s="614"/>
      <c r="CE288" s="612" t="s">
        <v>75</v>
      </c>
      <c r="CF288" s="613"/>
      <c r="CG288" s="614"/>
      <c r="CH288" s="197" t="s">
        <v>99</v>
      </c>
      <c r="CI288" s="198"/>
      <c r="CJ288" s="199"/>
      <c r="CK288" s="197" t="s">
        <v>89</v>
      </c>
      <c r="CL288" s="198"/>
      <c r="CM288" s="199"/>
      <c r="CN288" s="197" t="s">
        <v>100</v>
      </c>
      <c r="CO288" s="198"/>
      <c r="CP288" s="199"/>
    </row>
    <row r="289" spans="2:94" ht="21" hidden="1" customHeight="1" outlineLevel="1">
      <c r="B289" s="336"/>
      <c r="C289" s="337"/>
      <c r="D289" s="338"/>
      <c r="E289" s="336"/>
      <c r="F289" s="337"/>
      <c r="G289" s="337"/>
      <c r="H289" s="337"/>
      <c r="I289" s="338"/>
      <c r="J289" s="336"/>
      <c r="K289" s="337"/>
      <c r="L289" s="338"/>
      <c r="M289" s="506"/>
      <c r="N289" s="337"/>
      <c r="O289" s="337"/>
      <c r="P289" s="337"/>
      <c r="Q289" s="337"/>
      <c r="R289" s="337"/>
      <c r="S289" s="337"/>
      <c r="T289" s="337"/>
      <c r="U289" s="337"/>
      <c r="V289" s="337"/>
      <c r="W289" s="337"/>
      <c r="X289" s="507"/>
      <c r="Y289" s="203" t="s">
        <v>101</v>
      </c>
      <c r="Z289" s="311"/>
      <c r="AA289" s="311"/>
      <c r="AB289" s="311"/>
      <c r="AC289" s="311"/>
      <c r="AD289" s="311"/>
      <c r="AE289" s="311"/>
      <c r="AF289" s="311"/>
      <c r="AG289" s="311"/>
      <c r="AH289" s="311"/>
      <c r="AI289" s="311"/>
      <c r="AJ289" s="311"/>
      <c r="AK289" s="311"/>
      <c r="AL289" s="311"/>
      <c r="AM289" s="311"/>
      <c r="AN289" s="311"/>
      <c r="AO289" s="311"/>
      <c r="AP289" s="311"/>
      <c r="AQ289" s="311"/>
      <c r="AR289" s="311"/>
      <c r="AS289" s="311"/>
      <c r="AT289" s="311"/>
      <c r="AU289" s="311"/>
      <c r="AV289" s="311"/>
      <c r="AW289" s="312"/>
      <c r="AX289" s="203" t="s">
        <v>83</v>
      </c>
      <c r="AY289" s="311"/>
      <c r="AZ289" s="311"/>
      <c r="BA289" s="311"/>
      <c r="BB289" s="311"/>
      <c r="BC289" s="311"/>
      <c r="BD289" s="311"/>
      <c r="BE289" s="311"/>
      <c r="BF289" s="311"/>
      <c r="BG289" s="311"/>
      <c r="BH289" s="311"/>
      <c r="BI289" s="311"/>
      <c r="BJ289" s="311"/>
      <c r="BK289" s="311"/>
      <c r="BL289" s="311"/>
      <c r="BM289" s="311"/>
      <c r="BN289" s="311"/>
      <c r="BO289" s="311"/>
      <c r="BP289" s="311"/>
      <c r="BQ289" s="311"/>
      <c r="BR289" s="311"/>
      <c r="BS289" s="311"/>
      <c r="BT289" s="311"/>
      <c r="BU289" s="311"/>
      <c r="BV289" s="311"/>
      <c r="BW289" s="311"/>
      <c r="BX289" s="311"/>
      <c r="BY289" s="311"/>
      <c r="BZ289" s="311"/>
      <c r="CA289" s="311"/>
      <c r="CB289" s="311"/>
      <c r="CC289" s="311"/>
      <c r="CD289" s="311"/>
      <c r="CE289" s="311"/>
      <c r="CF289" s="311"/>
      <c r="CG289" s="312"/>
      <c r="CH289" s="203" t="s">
        <v>102</v>
      </c>
      <c r="CI289" s="311"/>
      <c r="CJ289" s="311"/>
      <c r="CK289" s="311"/>
      <c r="CL289" s="311"/>
      <c r="CM289" s="311"/>
      <c r="CN289" s="311"/>
      <c r="CO289" s="311"/>
      <c r="CP289" s="312"/>
    </row>
    <row r="290" spans="2:94" ht="21" hidden="1" customHeight="1" outlineLevel="1">
      <c r="B290" s="200"/>
      <c r="C290" s="201"/>
      <c r="D290" s="202"/>
      <c r="E290" s="200"/>
      <c r="F290" s="201"/>
      <c r="G290" s="201"/>
      <c r="H290" s="201"/>
      <c r="I290" s="202"/>
      <c r="J290" s="200"/>
      <c r="K290" s="201"/>
      <c r="L290" s="202"/>
      <c r="M290" s="610" t="s">
        <v>20</v>
      </c>
      <c r="N290" s="311"/>
      <c r="O290" s="311"/>
      <c r="P290" s="194" t="s">
        <v>45</v>
      </c>
      <c r="Q290" s="194"/>
      <c r="R290" s="194"/>
      <c r="S290" s="194" t="s">
        <v>21</v>
      </c>
      <c r="T290" s="194"/>
      <c r="U290" s="194"/>
      <c r="V290" s="203" t="s">
        <v>8</v>
      </c>
      <c r="W290" s="311"/>
      <c r="X290" s="611"/>
      <c r="Y290" s="197" t="s">
        <v>164</v>
      </c>
      <c r="Z290" s="198"/>
      <c r="AA290" s="199"/>
      <c r="AB290" s="197" t="s">
        <v>165</v>
      </c>
      <c r="AC290" s="198"/>
      <c r="AD290" s="199"/>
      <c r="AE290" s="197" t="s">
        <v>166</v>
      </c>
      <c r="AF290" s="198"/>
      <c r="AG290" s="199"/>
      <c r="AH290" s="197" t="s">
        <v>167</v>
      </c>
      <c r="AI290" s="198"/>
      <c r="AJ290" s="199"/>
      <c r="AK290" s="197" t="s">
        <v>168</v>
      </c>
      <c r="AL290" s="198"/>
      <c r="AM290" s="199"/>
      <c r="AN290" s="612" t="s">
        <v>103</v>
      </c>
      <c r="AO290" s="613"/>
      <c r="AP290" s="614"/>
      <c r="AQ290" s="612" t="s">
        <v>104</v>
      </c>
      <c r="AR290" s="613"/>
      <c r="AS290" s="613"/>
      <c r="AT290" s="613"/>
      <c r="AU290" s="613"/>
      <c r="AV290" s="613"/>
      <c r="AW290" s="614"/>
      <c r="AX290" s="612" t="s">
        <v>84</v>
      </c>
      <c r="AY290" s="613"/>
      <c r="AZ290" s="614"/>
      <c r="BA290" s="612" t="s">
        <v>85</v>
      </c>
      <c r="BB290" s="613"/>
      <c r="BC290" s="614"/>
      <c r="BD290" s="612" t="s">
        <v>86</v>
      </c>
      <c r="BE290" s="613"/>
      <c r="BF290" s="614"/>
      <c r="BG290" s="612" t="s">
        <v>87</v>
      </c>
      <c r="BH290" s="613"/>
      <c r="BI290" s="614"/>
      <c r="BJ290" s="612" t="s">
        <v>88</v>
      </c>
      <c r="BK290" s="613"/>
      <c r="BL290" s="614"/>
      <c r="BM290" s="612" t="s">
        <v>78</v>
      </c>
      <c r="BN290" s="613"/>
      <c r="BO290" s="614"/>
      <c r="BP290" s="612" t="s">
        <v>79</v>
      </c>
      <c r="BQ290" s="613"/>
      <c r="BR290" s="614"/>
      <c r="BS290" s="612" t="s">
        <v>80</v>
      </c>
      <c r="BT290" s="613"/>
      <c r="BU290" s="614"/>
      <c r="BV290" s="612" t="s">
        <v>81</v>
      </c>
      <c r="BW290" s="613"/>
      <c r="BX290" s="614"/>
      <c r="BY290" s="612" t="s">
        <v>82</v>
      </c>
      <c r="BZ290" s="613"/>
      <c r="CA290" s="614"/>
      <c r="CB290" s="612" t="s">
        <v>76</v>
      </c>
      <c r="CC290" s="613"/>
      <c r="CD290" s="614"/>
      <c r="CE290" s="612" t="s">
        <v>77</v>
      </c>
      <c r="CF290" s="613"/>
      <c r="CG290" s="614"/>
      <c r="CH290" s="197" t="s">
        <v>84</v>
      </c>
      <c r="CI290" s="198"/>
      <c r="CJ290" s="199"/>
      <c r="CK290" s="197" t="s">
        <v>85</v>
      </c>
      <c r="CL290" s="198"/>
      <c r="CM290" s="199"/>
      <c r="CN290" s="197" t="s">
        <v>86</v>
      </c>
      <c r="CO290" s="198"/>
      <c r="CP290" s="199"/>
    </row>
    <row r="291" spans="2:94" ht="21" hidden="1" customHeight="1" outlineLevel="1">
      <c r="B291" s="583" t="s">
        <v>196</v>
      </c>
      <c r="C291" s="584"/>
      <c r="D291" s="585"/>
      <c r="E291" s="520" t="s">
        <v>175</v>
      </c>
      <c r="F291" s="521"/>
      <c r="G291" s="521"/>
      <c r="H291" s="521"/>
      <c r="I291" s="522"/>
      <c r="J291" s="615"/>
      <c r="K291" s="616"/>
      <c r="L291" s="617"/>
      <c r="M291" s="592">
        <f t="shared" ref="M291:M312" si="155">SUM(AN291:CG291)</f>
        <v>0</v>
      </c>
      <c r="N291" s="593"/>
      <c r="O291" s="593"/>
      <c r="P291" s="618">
        <f t="shared" ref="P291:P312" si="156">SUM(Y291:AM291)</f>
        <v>0</v>
      </c>
      <c r="Q291" s="618"/>
      <c r="R291" s="618"/>
      <c r="S291" s="618">
        <f t="shared" ref="S291:S312" si="157">SUM(CH291:CP291)</f>
        <v>0</v>
      </c>
      <c r="T291" s="618"/>
      <c r="U291" s="618"/>
      <c r="V291" s="593">
        <f t="shared" ref="V291:V312" si="158">+S291+P291+M291</f>
        <v>0</v>
      </c>
      <c r="W291" s="593"/>
      <c r="X291" s="594"/>
      <c r="Y291" s="595"/>
      <c r="Z291" s="593"/>
      <c r="AA291" s="596"/>
      <c r="AB291" s="595"/>
      <c r="AC291" s="593"/>
      <c r="AD291" s="596"/>
      <c r="AE291" s="595"/>
      <c r="AF291" s="593"/>
      <c r="AG291" s="596"/>
      <c r="AH291" s="595"/>
      <c r="AI291" s="593"/>
      <c r="AJ291" s="596"/>
      <c r="AK291" s="595"/>
      <c r="AL291" s="593"/>
      <c r="AM291" s="596"/>
      <c r="AN291" s="595"/>
      <c r="AO291" s="593"/>
      <c r="AP291" s="596"/>
      <c r="AQ291" s="595"/>
      <c r="AR291" s="593"/>
      <c r="AS291" s="593"/>
      <c r="AT291" s="593"/>
      <c r="AU291" s="593"/>
      <c r="AV291" s="593"/>
      <c r="AW291" s="596"/>
      <c r="AX291" s="595"/>
      <c r="AY291" s="593"/>
      <c r="AZ291" s="596"/>
      <c r="BA291" s="595"/>
      <c r="BB291" s="593"/>
      <c r="BC291" s="596"/>
      <c r="BD291" s="595"/>
      <c r="BE291" s="593"/>
      <c r="BF291" s="596"/>
      <c r="BG291" s="595"/>
      <c r="BH291" s="593"/>
      <c r="BI291" s="596"/>
      <c r="BJ291" s="595"/>
      <c r="BK291" s="593"/>
      <c r="BL291" s="596"/>
      <c r="BM291" s="595"/>
      <c r="BN291" s="593"/>
      <c r="BO291" s="596"/>
      <c r="BP291" s="595"/>
      <c r="BQ291" s="593"/>
      <c r="BR291" s="596"/>
      <c r="BS291" s="595"/>
      <c r="BT291" s="593"/>
      <c r="BU291" s="596"/>
      <c r="BV291" s="595"/>
      <c r="BW291" s="593"/>
      <c r="BX291" s="596"/>
      <c r="BY291" s="595"/>
      <c r="BZ291" s="593"/>
      <c r="CA291" s="596"/>
      <c r="CB291" s="595"/>
      <c r="CC291" s="593"/>
      <c r="CD291" s="596"/>
      <c r="CE291" s="595"/>
      <c r="CF291" s="593"/>
      <c r="CG291" s="596"/>
      <c r="CH291" s="595"/>
      <c r="CI291" s="593"/>
      <c r="CJ291" s="596"/>
      <c r="CK291" s="595"/>
      <c r="CL291" s="593"/>
      <c r="CM291" s="596"/>
      <c r="CN291" s="595"/>
      <c r="CO291" s="593"/>
      <c r="CP291" s="596"/>
    </row>
    <row r="292" spans="2:94" ht="21" hidden="1" customHeight="1" outlineLevel="1">
      <c r="B292" s="586"/>
      <c r="C292" s="587"/>
      <c r="D292" s="588"/>
      <c r="E292" s="520" t="s">
        <v>176</v>
      </c>
      <c r="F292" s="521"/>
      <c r="G292" s="521"/>
      <c r="H292" s="521"/>
      <c r="I292" s="522"/>
      <c r="J292" s="615"/>
      <c r="K292" s="616"/>
      <c r="L292" s="617"/>
      <c r="M292" s="592">
        <f t="shared" si="155"/>
        <v>0</v>
      </c>
      <c r="N292" s="593"/>
      <c r="O292" s="593"/>
      <c r="P292" s="618">
        <f t="shared" si="156"/>
        <v>0</v>
      </c>
      <c r="Q292" s="618"/>
      <c r="R292" s="618"/>
      <c r="S292" s="618">
        <f t="shared" si="157"/>
        <v>0</v>
      </c>
      <c r="T292" s="618"/>
      <c r="U292" s="618"/>
      <c r="V292" s="593">
        <f t="shared" si="158"/>
        <v>0</v>
      </c>
      <c r="W292" s="593"/>
      <c r="X292" s="594"/>
      <c r="Y292" s="595"/>
      <c r="Z292" s="593"/>
      <c r="AA292" s="596"/>
      <c r="AB292" s="595"/>
      <c r="AC292" s="593"/>
      <c r="AD292" s="596"/>
      <c r="AE292" s="595"/>
      <c r="AF292" s="593"/>
      <c r="AG292" s="596"/>
      <c r="AH292" s="595"/>
      <c r="AI292" s="593"/>
      <c r="AJ292" s="596"/>
      <c r="AK292" s="595"/>
      <c r="AL292" s="593"/>
      <c r="AM292" s="596"/>
      <c r="AN292" s="595"/>
      <c r="AO292" s="593"/>
      <c r="AP292" s="596"/>
      <c r="AQ292" s="595"/>
      <c r="AR292" s="593"/>
      <c r="AS292" s="593"/>
      <c r="AT292" s="593"/>
      <c r="AU292" s="593"/>
      <c r="AV292" s="593"/>
      <c r="AW292" s="596"/>
      <c r="AX292" s="595"/>
      <c r="AY292" s="593"/>
      <c r="AZ292" s="596"/>
      <c r="BA292" s="595"/>
      <c r="BB292" s="593"/>
      <c r="BC292" s="596"/>
      <c r="BD292" s="595"/>
      <c r="BE292" s="593"/>
      <c r="BF292" s="596"/>
      <c r="BG292" s="595"/>
      <c r="BH292" s="593"/>
      <c r="BI292" s="596"/>
      <c r="BJ292" s="595"/>
      <c r="BK292" s="593"/>
      <c r="BL292" s="596"/>
      <c r="BM292" s="595"/>
      <c r="BN292" s="593"/>
      <c r="BO292" s="596"/>
      <c r="BP292" s="595"/>
      <c r="BQ292" s="593"/>
      <c r="BR292" s="596"/>
      <c r="BS292" s="595"/>
      <c r="BT292" s="593"/>
      <c r="BU292" s="596"/>
      <c r="BV292" s="595"/>
      <c r="BW292" s="593"/>
      <c r="BX292" s="596"/>
      <c r="BY292" s="595"/>
      <c r="BZ292" s="593"/>
      <c r="CA292" s="596"/>
      <c r="CB292" s="595"/>
      <c r="CC292" s="593"/>
      <c r="CD292" s="596"/>
      <c r="CE292" s="595"/>
      <c r="CF292" s="593"/>
      <c r="CG292" s="596"/>
      <c r="CH292" s="595"/>
      <c r="CI292" s="593"/>
      <c r="CJ292" s="596"/>
      <c r="CK292" s="595"/>
      <c r="CL292" s="593"/>
      <c r="CM292" s="596"/>
      <c r="CN292" s="595"/>
      <c r="CO292" s="593"/>
      <c r="CP292" s="596"/>
    </row>
    <row r="293" spans="2:94" ht="21" hidden="1" customHeight="1" outlineLevel="1">
      <c r="B293" s="586"/>
      <c r="C293" s="587"/>
      <c r="D293" s="588"/>
      <c r="E293" s="520" t="s">
        <v>177</v>
      </c>
      <c r="F293" s="521"/>
      <c r="G293" s="521"/>
      <c r="H293" s="521"/>
      <c r="I293" s="522"/>
      <c r="J293" s="615"/>
      <c r="K293" s="616"/>
      <c r="L293" s="617"/>
      <c r="M293" s="592">
        <f t="shared" si="155"/>
        <v>0</v>
      </c>
      <c r="N293" s="593"/>
      <c r="O293" s="593"/>
      <c r="P293" s="618">
        <f t="shared" si="156"/>
        <v>0</v>
      </c>
      <c r="Q293" s="618"/>
      <c r="R293" s="618"/>
      <c r="S293" s="618">
        <f t="shared" si="157"/>
        <v>0</v>
      </c>
      <c r="T293" s="618"/>
      <c r="U293" s="618"/>
      <c r="V293" s="593">
        <f t="shared" si="158"/>
        <v>0</v>
      </c>
      <c r="W293" s="593"/>
      <c r="X293" s="594"/>
      <c r="Y293" s="595"/>
      <c r="Z293" s="593"/>
      <c r="AA293" s="596"/>
      <c r="AB293" s="595"/>
      <c r="AC293" s="593"/>
      <c r="AD293" s="596"/>
      <c r="AE293" s="595"/>
      <c r="AF293" s="593"/>
      <c r="AG293" s="596"/>
      <c r="AH293" s="595"/>
      <c r="AI293" s="593"/>
      <c r="AJ293" s="596"/>
      <c r="AK293" s="595"/>
      <c r="AL293" s="593"/>
      <c r="AM293" s="596"/>
      <c r="AN293" s="595"/>
      <c r="AO293" s="593"/>
      <c r="AP293" s="596"/>
      <c r="AQ293" s="595"/>
      <c r="AR293" s="593"/>
      <c r="AS293" s="593"/>
      <c r="AT293" s="593"/>
      <c r="AU293" s="593"/>
      <c r="AV293" s="593"/>
      <c r="AW293" s="596"/>
      <c r="AX293" s="595"/>
      <c r="AY293" s="593"/>
      <c r="AZ293" s="596"/>
      <c r="BA293" s="595"/>
      <c r="BB293" s="593"/>
      <c r="BC293" s="596"/>
      <c r="BD293" s="595"/>
      <c r="BE293" s="593"/>
      <c r="BF293" s="596"/>
      <c r="BG293" s="595"/>
      <c r="BH293" s="593"/>
      <c r="BI293" s="596"/>
      <c r="BJ293" s="595"/>
      <c r="BK293" s="593"/>
      <c r="BL293" s="596"/>
      <c r="BM293" s="595"/>
      <c r="BN293" s="593"/>
      <c r="BO293" s="596"/>
      <c r="BP293" s="595"/>
      <c r="BQ293" s="593"/>
      <c r="BR293" s="596"/>
      <c r="BS293" s="595"/>
      <c r="BT293" s="593"/>
      <c r="BU293" s="596"/>
      <c r="BV293" s="595"/>
      <c r="BW293" s="593"/>
      <c r="BX293" s="596"/>
      <c r="BY293" s="595"/>
      <c r="BZ293" s="593"/>
      <c r="CA293" s="596"/>
      <c r="CB293" s="595"/>
      <c r="CC293" s="593"/>
      <c r="CD293" s="596"/>
      <c r="CE293" s="595"/>
      <c r="CF293" s="593"/>
      <c r="CG293" s="596"/>
      <c r="CH293" s="595"/>
      <c r="CI293" s="593"/>
      <c r="CJ293" s="596"/>
      <c r="CK293" s="595"/>
      <c r="CL293" s="593"/>
      <c r="CM293" s="596"/>
      <c r="CN293" s="595"/>
      <c r="CO293" s="593"/>
      <c r="CP293" s="596"/>
    </row>
    <row r="294" spans="2:94" ht="21" hidden="1" customHeight="1" outlineLevel="1">
      <c r="B294" s="586"/>
      <c r="C294" s="587"/>
      <c r="D294" s="588"/>
      <c r="E294" s="520" t="s">
        <v>178</v>
      </c>
      <c r="F294" s="521"/>
      <c r="G294" s="521"/>
      <c r="H294" s="521"/>
      <c r="I294" s="522"/>
      <c r="J294" s="615"/>
      <c r="K294" s="616"/>
      <c r="L294" s="617"/>
      <c r="M294" s="592">
        <f t="shared" si="155"/>
        <v>0</v>
      </c>
      <c r="N294" s="593"/>
      <c r="O294" s="593"/>
      <c r="P294" s="618">
        <f t="shared" si="156"/>
        <v>0</v>
      </c>
      <c r="Q294" s="618"/>
      <c r="R294" s="618"/>
      <c r="S294" s="618">
        <f t="shared" si="157"/>
        <v>0</v>
      </c>
      <c r="T294" s="618"/>
      <c r="U294" s="618"/>
      <c r="V294" s="593">
        <f t="shared" si="158"/>
        <v>0</v>
      </c>
      <c r="W294" s="593"/>
      <c r="X294" s="594"/>
      <c r="Y294" s="595"/>
      <c r="Z294" s="593"/>
      <c r="AA294" s="596"/>
      <c r="AB294" s="595"/>
      <c r="AC294" s="593"/>
      <c r="AD294" s="596"/>
      <c r="AE294" s="595"/>
      <c r="AF294" s="593"/>
      <c r="AG294" s="596"/>
      <c r="AH294" s="595"/>
      <c r="AI294" s="593"/>
      <c r="AJ294" s="596"/>
      <c r="AK294" s="595"/>
      <c r="AL294" s="593"/>
      <c r="AM294" s="596"/>
      <c r="AN294" s="595"/>
      <c r="AO294" s="593"/>
      <c r="AP294" s="596"/>
      <c r="AQ294" s="595"/>
      <c r="AR294" s="593"/>
      <c r="AS294" s="593"/>
      <c r="AT294" s="593"/>
      <c r="AU294" s="593"/>
      <c r="AV294" s="593"/>
      <c r="AW294" s="596"/>
      <c r="AX294" s="595"/>
      <c r="AY294" s="593"/>
      <c r="AZ294" s="596"/>
      <c r="BA294" s="595"/>
      <c r="BB294" s="593"/>
      <c r="BC294" s="596"/>
      <c r="BD294" s="595"/>
      <c r="BE294" s="593"/>
      <c r="BF294" s="596"/>
      <c r="BG294" s="595"/>
      <c r="BH294" s="593"/>
      <c r="BI294" s="596"/>
      <c r="BJ294" s="595"/>
      <c r="BK294" s="593"/>
      <c r="BL294" s="596"/>
      <c r="BM294" s="595"/>
      <c r="BN294" s="593"/>
      <c r="BO294" s="596"/>
      <c r="BP294" s="595"/>
      <c r="BQ294" s="593"/>
      <c r="BR294" s="596"/>
      <c r="BS294" s="595"/>
      <c r="BT294" s="593"/>
      <c r="BU294" s="596"/>
      <c r="BV294" s="595"/>
      <c r="BW294" s="593"/>
      <c r="BX294" s="596"/>
      <c r="BY294" s="595"/>
      <c r="BZ294" s="593"/>
      <c r="CA294" s="596"/>
      <c r="CB294" s="595"/>
      <c r="CC294" s="593"/>
      <c r="CD294" s="596"/>
      <c r="CE294" s="595"/>
      <c r="CF294" s="593"/>
      <c r="CG294" s="596"/>
      <c r="CH294" s="595"/>
      <c r="CI294" s="593"/>
      <c r="CJ294" s="596"/>
      <c r="CK294" s="595"/>
      <c r="CL294" s="593"/>
      <c r="CM294" s="596"/>
      <c r="CN294" s="595"/>
      <c r="CO294" s="593"/>
      <c r="CP294" s="596"/>
    </row>
    <row r="295" spans="2:94" ht="21" hidden="1" customHeight="1" outlineLevel="1">
      <c r="B295" s="586"/>
      <c r="C295" s="587"/>
      <c r="D295" s="588"/>
      <c r="E295" s="520" t="s">
        <v>179</v>
      </c>
      <c r="F295" s="521"/>
      <c r="G295" s="521"/>
      <c r="H295" s="521"/>
      <c r="I295" s="522"/>
      <c r="J295" s="615"/>
      <c r="K295" s="616"/>
      <c r="L295" s="617"/>
      <c r="M295" s="592">
        <f t="shared" si="155"/>
        <v>0</v>
      </c>
      <c r="N295" s="593"/>
      <c r="O295" s="593"/>
      <c r="P295" s="618">
        <f t="shared" si="156"/>
        <v>0</v>
      </c>
      <c r="Q295" s="618"/>
      <c r="R295" s="618"/>
      <c r="S295" s="618">
        <f t="shared" si="157"/>
        <v>0</v>
      </c>
      <c r="T295" s="618"/>
      <c r="U295" s="618"/>
      <c r="V295" s="593">
        <f t="shared" si="158"/>
        <v>0</v>
      </c>
      <c r="W295" s="593"/>
      <c r="X295" s="594"/>
      <c r="Y295" s="595"/>
      <c r="Z295" s="593"/>
      <c r="AA295" s="596"/>
      <c r="AB295" s="595"/>
      <c r="AC295" s="593"/>
      <c r="AD295" s="596"/>
      <c r="AE295" s="595"/>
      <c r="AF295" s="593"/>
      <c r="AG295" s="596"/>
      <c r="AH295" s="595"/>
      <c r="AI295" s="593"/>
      <c r="AJ295" s="596"/>
      <c r="AK295" s="595"/>
      <c r="AL295" s="593"/>
      <c r="AM295" s="596"/>
      <c r="AN295" s="595"/>
      <c r="AO295" s="593"/>
      <c r="AP295" s="596"/>
      <c r="AQ295" s="595"/>
      <c r="AR295" s="593"/>
      <c r="AS295" s="593"/>
      <c r="AT295" s="593"/>
      <c r="AU295" s="593"/>
      <c r="AV295" s="593"/>
      <c r="AW295" s="596"/>
      <c r="AX295" s="595"/>
      <c r="AY295" s="593"/>
      <c r="AZ295" s="596"/>
      <c r="BA295" s="595"/>
      <c r="BB295" s="593"/>
      <c r="BC295" s="596"/>
      <c r="BD295" s="595"/>
      <c r="BE295" s="593"/>
      <c r="BF295" s="596"/>
      <c r="BG295" s="595"/>
      <c r="BH295" s="593"/>
      <c r="BI295" s="596"/>
      <c r="BJ295" s="595"/>
      <c r="BK295" s="593"/>
      <c r="BL295" s="596"/>
      <c r="BM295" s="595"/>
      <c r="BN295" s="593"/>
      <c r="BO295" s="596"/>
      <c r="BP295" s="595"/>
      <c r="BQ295" s="593"/>
      <c r="BR295" s="596"/>
      <c r="BS295" s="595"/>
      <c r="BT295" s="593"/>
      <c r="BU295" s="596"/>
      <c r="BV295" s="595"/>
      <c r="BW295" s="593"/>
      <c r="BX295" s="596"/>
      <c r="BY295" s="595"/>
      <c r="BZ295" s="593"/>
      <c r="CA295" s="596"/>
      <c r="CB295" s="595"/>
      <c r="CC295" s="593"/>
      <c r="CD295" s="596"/>
      <c r="CE295" s="595"/>
      <c r="CF295" s="593"/>
      <c r="CG295" s="596"/>
      <c r="CH295" s="595"/>
      <c r="CI295" s="593"/>
      <c r="CJ295" s="596"/>
      <c r="CK295" s="595"/>
      <c r="CL295" s="593"/>
      <c r="CM295" s="596"/>
      <c r="CN295" s="595"/>
      <c r="CO295" s="593"/>
      <c r="CP295" s="596"/>
    </row>
    <row r="296" spans="2:94" ht="21" hidden="1" customHeight="1" outlineLevel="1">
      <c r="B296" s="586"/>
      <c r="C296" s="587"/>
      <c r="D296" s="588"/>
      <c r="E296" s="520" t="s">
        <v>180</v>
      </c>
      <c r="F296" s="521"/>
      <c r="G296" s="521"/>
      <c r="H296" s="521"/>
      <c r="I296" s="522"/>
      <c r="J296" s="615"/>
      <c r="K296" s="616"/>
      <c r="L296" s="617"/>
      <c r="M296" s="592">
        <f t="shared" si="155"/>
        <v>0</v>
      </c>
      <c r="N296" s="593"/>
      <c r="O296" s="593"/>
      <c r="P296" s="618">
        <f t="shared" si="156"/>
        <v>0</v>
      </c>
      <c r="Q296" s="618"/>
      <c r="R296" s="618"/>
      <c r="S296" s="618">
        <f t="shared" si="157"/>
        <v>0</v>
      </c>
      <c r="T296" s="618"/>
      <c r="U296" s="618"/>
      <c r="V296" s="593">
        <f t="shared" si="158"/>
        <v>0</v>
      </c>
      <c r="W296" s="593"/>
      <c r="X296" s="594"/>
      <c r="Y296" s="595"/>
      <c r="Z296" s="593"/>
      <c r="AA296" s="596"/>
      <c r="AB296" s="595"/>
      <c r="AC296" s="593"/>
      <c r="AD296" s="596"/>
      <c r="AE296" s="595"/>
      <c r="AF296" s="593"/>
      <c r="AG296" s="596"/>
      <c r="AH296" s="595"/>
      <c r="AI296" s="593"/>
      <c r="AJ296" s="596"/>
      <c r="AK296" s="595"/>
      <c r="AL296" s="593"/>
      <c r="AM296" s="596"/>
      <c r="AN296" s="595"/>
      <c r="AO296" s="593"/>
      <c r="AP296" s="596"/>
      <c r="AQ296" s="595"/>
      <c r="AR296" s="593"/>
      <c r="AS296" s="593"/>
      <c r="AT296" s="593"/>
      <c r="AU296" s="593"/>
      <c r="AV296" s="593"/>
      <c r="AW296" s="596"/>
      <c r="AX296" s="595"/>
      <c r="AY296" s="593"/>
      <c r="AZ296" s="596"/>
      <c r="BA296" s="595"/>
      <c r="BB296" s="593"/>
      <c r="BC296" s="596"/>
      <c r="BD296" s="595"/>
      <c r="BE296" s="593"/>
      <c r="BF296" s="596"/>
      <c r="BG296" s="595"/>
      <c r="BH296" s="593"/>
      <c r="BI296" s="596"/>
      <c r="BJ296" s="595"/>
      <c r="BK296" s="593"/>
      <c r="BL296" s="596"/>
      <c r="BM296" s="595"/>
      <c r="BN296" s="593"/>
      <c r="BO296" s="596"/>
      <c r="BP296" s="595"/>
      <c r="BQ296" s="593"/>
      <c r="BR296" s="596"/>
      <c r="BS296" s="595"/>
      <c r="BT296" s="593"/>
      <c r="BU296" s="596"/>
      <c r="BV296" s="595"/>
      <c r="BW296" s="593"/>
      <c r="BX296" s="596"/>
      <c r="BY296" s="595"/>
      <c r="BZ296" s="593"/>
      <c r="CA296" s="596"/>
      <c r="CB296" s="595"/>
      <c r="CC296" s="593"/>
      <c r="CD296" s="596"/>
      <c r="CE296" s="595"/>
      <c r="CF296" s="593"/>
      <c r="CG296" s="596"/>
      <c r="CH296" s="595"/>
      <c r="CI296" s="593"/>
      <c r="CJ296" s="596"/>
      <c r="CK296" s="595"/>
      <c r="CL296" s="593"/>
      <c r="CM296" s="596"/>
      <c r="CN296" s="595"/>
      <c r="CO296" s="593"/>
      <c r="CP296" s="596"/>
    </row>
    <row r="297" spans="2:94" ht="21" hidden="1" customHeight="1" outlineLevel="1">
      <c r="B297" s="586"/>
      <c r="C297" s="587"/>
      <c r="D297" s="588"/>
      <c r="E297" s="520" t="s">
        <v>181</v>
      </c>
      <c r="F297" s="521"/>
      <c r="G297" s="521"/>
      <c r="H297" s="521"/>
      <c r="I297" s="522"/>
      <c r="J297" s="615"/>
      <c r="K297" s="616"/>
      <c r="L297" s="617"/>
      <c r="M297" s="592">
        <f t="shared" si="155"/>
        <v>0</v>
      </c>
      <c r="N297" s="593"/>
      <c r="O297" s="593"/>
      <c r="P297" s="618">
        <f t="shared" si="156"/>
        <v>0</v>
      </c>
      <c r="Q297" s="618"/>
      <c r="R297" s="618"/>
      <c r="S297" s="618">
        <f t="shared" si="157"/>
        <v>0</v>
      </c>
      <c r="T297" s="618"/>
      <c r="U297" s="618"/>
      <c r="V297" s="593">
        <f t="shared" si="158"/>
        <v>0</v>
      </c>
      <c r="W297" s="593"/>
      <c r="X297" s="594"/>
      <c r="Y297" s="595"/>
      <c r="Z297" s="593"/>
      <c r="AA297" s="596"/>
      <c r="AB297" s="595"/>
      <c r="AC297" s="593"/>
      <c r="AD297" s="596"/>
      <c r="AE297" s="595"/>
      <c r="AF297" s="593"/>
      <c r="AG297" s="596"/>
      <c r="AH297" s="595"/>
      <c r="AI297" s="593"/>
      <c r="AJ297" s="596"/>
      <c r="AK297" s="595"/>
      <c r="AL297" s="593"/>
      <c r="AM297" s="596"/>
      <c r="AN297" s="595"/>
      <c r="AO297" s="593"/>
      <c r="AP297" s="596"/>
      <c r="AQ297" s="595"/>
      <c r="AR297" s="593"/>
      <c r="AS297" s="593"/>
      <c r="AT297" s="593"/>
      <c r="AU297" s="593"/>
      <c r="AV297" s="593"/>
      <c r="AW297" s="596"/>
      <c r="AX297" s="595"/>
      <c r="AY297" s="593"/>
      <c r="AZ297" s="596"/>
      <c r="BA297" s="595"/>
      <c r="BB297" s="593"/>
      <c r="BC297" s="596"/>
      <c r="BD297" s="595"/>
      <c r="BE297" s="593"/>
      <c r="BF297" s="596"/>
      <c r="BG297" s="595"/>
      <c r="BH297" s="593"/>
      <c r="BI297" s="596"/>
      <c r="BJ297" s="595"/>
      <c r="BK297" s="593"/>
      <c r="BL297" s="596"/>
      <c r="BM297" s="595"/>
      <c r="BN297" s="593"/>
      <c r="BO297" s="596"/>
      <c r="BP297" s="595"/>
      <c r="BQ297" s="593"/>
      <c r="BR297" s="596"/>
      <c r="BS297" s="595"/>
      <c r="BT297" s="593"/>
      <c r="BU297" s="596"/>
      <c r="BV297" s="595"/>
      <c r="BW297" s="593"/>
      <c r="BX297" s="596"/>
      <c r="BY297" s="595"/>
      <c r="BZ297" s="593"/>
      <c r="CA297" s="596"/>
      <c r="CB297" s="595"/>
      <c r="CC297" s="593"/>
      <c r="CD297" s="596"/>
      <c r="CE297" s="595"/>
      <c r="CF297" s="593"/>
      <c r="CG297" s="596"/>
      <c r="CH297" s="595"/>
      <c r="CI297" s="593"/>
      <c r="CJ297" s="596"/>
      <c r="CK297" s="595"/>
      <c r="CL297" s="593"/>
      <c r="CM297" s="596"/>
      <c r="CN297" s="595"/>
      <c r="CO297" s="593"/>
      <c r="CP297" s="596"/>
    </row>
    <row r="298" spans="2:94" ht="21" hidden="1" customHeight="1" outlineLevel="1">
      <c r="B298" s="586"/>
      <c r="C298" s="587"/>
      <c r="D298" s="588"/>
      <c r="E298" s="520" t="s">
        <v>182</v>
      </c>
      <c r="F298" s="521"/>
      <c r="G298" s="521"/>
      <c r="H298" s="521"/>
      <c r="I298" s="522"/>
      <c r="J298" s="615"/>
      <c r="K298" s="616"/>
      <c r="L298" s="617"/>
      <c r="M298" s="592">
        <f t="shared" si="155"/>
        <v>0</v>
      </c>
      <c r="N298" s="593"/>
      <c r="O298" s="593"/>
      <c r="P298" s="618">
        <f t="shared" si="156"/>
        <v>0</v>
      </c>
      <c r="Q298" s="618"/>
      <c r="R298" s="618"/>
      <c r="S298" s="618">
        <f t="shared" si="157"/>
        <v>0</v>
      </c>
      <c r="T298" s="618"/>
      <c r="U298" s="618"/>
      <c r="V298" s="593">
        <f t="shared" si="158"/>
        <v>0</v>
      </c>
      <c r="W298" s="593"/>
      <c r="X298" s="594"/>
      <c r="Y298" s="595"/>
      <c r="Z298" s="593"/>
      <c r="AA298" s="596"/>
      <c r="AB298" s="595"/>
      <c r="AC298" s="593"/>
      <c r="AD298" s="596"/>
      <c r="AE298" s="595"/>
      <c r="AF298" s="593"/>
      <c r="AG298" s="596"/>
      <c r="AH298" s="595"/>
      <c r="AI298" s="593"/>
      <c r="AJ298" s="596"/>
      <c r="AK298" s="595"/>
      <c r="AL298" s="593"/>
      <c r="AM298" s="596"/>
      <c r="AN298" s="595"/>
      <c r="AO298" s="593"/>
      <c r="AP298" s="596"/>
      <c r="AQ298" s="595"/>
      <c r="AR298" s="593"/>
      <c r="AS298" s="593"/>
      <c r="AT298" s="593"/>
      <c r="AU298" s="593"/>
      <c r="AV298" s="593"/>
      <c r="AW298" s="596"/>
      <c r="AX298" s="595"/>
      <c r="AY298" s="593"/>
      <c r="AZ298" s="596"/>
      <c r="BA298" s="595"/>
      <c r="BB298" s="593"/>
      <c r="BC298" s="596"/>
      <c r="BD298" s="595"/>
      <c r="BE298" s="593"/>
      <c r="BF298" s="596"/>
      <c r="BG298" s="595"/>
      <c r="BH298" s="593"/>
      <c r="BI298" s="596"/>
      <c r="BJ298" s="595"/>
      <c r="BK298" s="593"/>
      <c r="BL298" s="596"/>
      <c r="BM298" s="595"/>
      <c r="BN298" s="593"/>
      <c r="BO298" s="596"/>
      <c r="BP298" s="595"/>
      <c r="BQ298" s="593"/>
      <c r="BR298" s="596"/>
      <c r="BS298" s="595"/>
      <c r="BT298" s="593"/>
      <c r="BU298" s="596"/>
      <c r="BV298" s="595"/>
      <c r="BW298" s="593"/>
      <c r="BX298" s="596"/>
      <c r="BY298" s="595"/>
      <c r="BZ298" s="593"/>
      <c r="CA298" s="596"/>
      <c r="CB298" s="595"/>
      <c r="CC298" s="593"/>
      <c r="CD298" s="596"/>
      <c r="CE298" s="595"/>
      <c r="CF298" s="593"/>
      <c r="CG298" s="596"/>
      <c r="CH298" s="595"/>
      <c r="CI298" s="593"/>
      <c r="CJ298" s="596"/>
      <c r="CK298" s="595"/>
      <c r="CL298" s="593"/>
      <c r="CM298" s="596"/>
      <c r="CN298" s="595"/>
      <c r="CO298" s="593"/>
      <c r="CP298" s="596"/>
    </row>
    <row r="299" spans="2:94" ht="21" hidden="1" customHeight="1" outlineLevel="1">
      <c r="B299" s="586"/>
      <c r="C299" s="587"/>
      <c r="D299" s="588"/>
      <c r="E299" s="520" t="s">
        <v>183</v>
      </c>
      <c r="F299" s="521"/>
      <c r="G299" s="521"/>
      <c r="H299" s="521"/>
      <c r="I299" s="522"/>
      <c r="J299" s="615"/>
      <c r="K299" s="616"/>
      <c r="L299" s="617"/>
      <c r="M299" s="592">
        <f t="shared" si="155"/>
        <v>0</v>
      </c>
      <c r="N299" s="593"/>
      <c r="O299" s="593"/>
      <c r="P299" s="618">
        <f t="shared" si="156"/>
        <v>0</v>
      </c>
      <c r="Q299" s="618"/>
      <c r="R299" s="618"/>
      <c r="S299" s="618">
        <f t="shared" si="157"/>
        <v>0</v>
      </c>
      <c r="T299" s="618"/>
      <c r="U299" s="618"/>
      <c r="V299" s="593">
        <f t="shared" si="158"/>
        <v>0</v>
      </c>
      <c r="W299" s="593"/>
      <c r="X299" s="594"/>
      <c r="Y299" s="595"/>
      <c r="Z299" s="593"/>
      <c r="AA299" s="596"/>
      <c r="AB299" s="595"/>
      <c r="AC299" s="593"/>
      <c r="AD299" s="596"/>
      <c r="AE299" s="595"/>
      <c r="AF299" s="593"/>
      <c r="AG299" s="596"/>
      <c r="AH299" s="595"/>
      <c r="AI299" s="593"/>
      <c r="AJ299" s="596"/>
      <c r="AK299" s="595"/>
      <c r="AL299" s="593"/>
      <c r="AM299" s="596"/>
      <c r="AN299" s="595"/>
      <c r="AO299" s="593"/>
      <c r="AP299" s="596"/>
      <c r="AQ299" s="595"/>
      <c r="AR299" s="593"/>
      <c r="AS299" s="593"/>
      <c r="AT299" s="593"/>
      <c r="AU299" s="593"/>
      <c r="AV299" s="593"/>
      <c r="AW299" s="596"/>
      <c r="AX299" s="595"/>
      <c r="AY299" s="593"/>
      <c r="AZ299" s="596"/>
      <c r="BA299" s="595"/>
      <c r="BB299" s="593"/>
      <c r="BC299" s="596"/>
      <c r="BD299" s="595"/>
      <c r="BE299" s="593"/>
      <c r="BF299" s="596"/>
      <c r="BG299" s="595"/>
      <c r="BH299" s="593"/>
      <c r="BI299" s="596"/>
      <c r="BJ299" s="595"/>
      <c r="BK299" s="593"/>
      <c r="BL299" s="596"/>
      <c r="BM299" s="595"/>
      <c r="BN299" s="593"/>
      <c r="BO299" s="596"/>
      <c r="BP299" s="595"/>
      <c r="BQ299" s="593"/>
      <c r="BR299" s="596"/>
      <c r="BS299" s="595"/>
      <c r="BT299" s="593"/>
      <c r="BU299" s="596"/>
      <c r="BV299" s="595"/>
      <c r="BW299" s="593"/>
      <c r="BX299" s="596"/>
      <c r="BY299" s="595"/>
      <c r="BZ299" s="593"/>
      <c r="CA299" s="596"/>
      <c r="CB299" s="595"/>
      <c r="CC299" s="593"/>
      <c r="CD299" s="596"/>
      <c r="CE299" s="595"/>
      <c r="CF299" s="593"/>
      <c r="CG299" s="596"/>
      <c r="CH299" s="595"/>
      <c r="CI299" s="593"/>
      <c r="CJ299" s="596"/>
      <c r="CK299" s="595"/>
      <c r="CL299" s="593"/>
      <c r="CM299" s="596"/>
      <c r="CN299" s="595"/>
      <c r="CO299" s="593"/>
      <c r="CP299" s="596"/>
    </row>
    <row r="300" spans="2:94" ht="21" hidden="1" customHeight="1" outlineLevel="1">
      <c r="B300" s="586"/>
      <c r="C300" s="587"/>
      <c r="D300" s="588"/>
      <c r="E300" s="520" t="s">
        <v>184</v>
      </c>
      <c r="F300" s="521"/>
      <c r="G300" s="521"/>
      <c r="H300" s="521"/>
      <c r="I300" s="522"/>
      <c r="J300" s="615"/>
      <c r="K300" s="616"/>
      <c r="L300" s="617"/>
      <c r="M300" s="592">
        <f t="shared" si="155"/>
        <v>0</v>
      </c>
      <c r="N300" s="593"/>
      <c r="O300" s="593"/>
      <c r="P300" s="618">
        <f t="shared" si="156"/>
        <v>0</v>
      </c>
      <c r="Q300" s="618"/>
      <c r="R300" s="618"/>
      <c r="S300" s="618">
        <f t="shared" si="157"/>
        <v>0</v>
      </c>
      <c r="T300" s="618"/>
      <c r="U300" s="618"/>
      <c r="V300" s="593">
        <f t="shared" si="158"/>
        <v>0</v>
      </c>
      <c r="W300" s="593"/>
      <c r="X300" s="594"/>
      <c r="Y300" s="595"/>
      <c r="Z300" s="593"/>
      <c r="AA300" s="596"/>
      <c r="AB300" s="595"/>
      <c r="AC300" s="593"/>
      <c r="AD300" s="596"/>
      <c r="AE300" s="595"/>
      <c r="AF300" s="593"/>
      <c r="AG300" s="596"/>
      <c r="AH300" s="595"/>
      <c r="AI300" s="593"/>
      <c r="AJ300" s="596"/>
      <c r="AK300" s="595"/>
      <c r="AL300" s="593"/>
      <c r="AM300" s="596"/>
      <c r="AN300" s="595"/>
      <c r="AO300" s="593"/>
      <c r="AP300" s="596"/>
      <c r="AQ300" s="595"/>
      <c r="AR300" s="593"/>
      <c r="AS300" s="593"/>
      <c r="AT300" s="593"/>
      <c r="AU300" s="593"/>
      <c r="AV300" s="593"/>
      <c r="AW300" s="596"/>
      <c r="AX300" s="595"/>
      <c r="AY300" s="593"/>
      <c r="AZ300" s="596"/>
      <c r="BA300" s="595"/>
      <c r="BB300" s="593"/>
      <c r="BC300" s="596"/>
      <c r="BD300" s="595"/>
      <c r="BE300" s="593"/>
      <c r="BF300" s="596"/>
      <c r="BG300" s="595"/>
      <c r="BH300" s="593"/>
      <c r="BI300" s="596"/>
      <c r="BJ300" s="595"/>
      <c r="BK300" s="593"/>
      <c r="BL300" s="596"/>
      <c r="BM300" s="595"/>
      <c r="BN300" s="593"/>
      <c r="BO300" s="596"/>
      <c r="BP300" s="595"/>
      <c r="BQ300" s="593"/>
      <c r="BR300" s="596"/>
      <c r="BS300" s="595"/>
      <c r="BT300" s="593"/>
      <c r="BU300" s="596"/>
      <c r="BV300" s="595"/>
      <c r="BW300" s="593"/>
      <c r="BX300" s="596"/>
      <c r="BY300" s="595"/>
      <c r="BZ300" s="593"/>
      <c r="CA300" s="596"/>
      <c r="CB300" s="595"/>
      <c r="CC300" s="593"/>
      <c r="CD300" s="596"/>
      <c r="CE300" s="595"/>
      <c r="CF300" s="593"/>
      <c r="CG300" s="596"/>
      <c r="CH300" s="595"/>
      <c r="CI300" s="593"/>
      <c r="CJ300" s="596"/>
      <c r="CK300" s="595"/>
      <c r="CL300" s="593"/>
      <c r="CM300" s="596"/>
      <c r="CN300" s="595"/>
      <c r="CO300" s="593"/>
      <c r="CP300" s="596"/>
    </row>
    <row r="301" spans="2:94" ht="21" hidden="1" customHeight="1" outlineLevel="1">
      <c r="B301" s="586"/>
      <c r="C301" s="587"/>
      <c r="D301" s="588"/>
      <c r="E301" s="520" t="s">
        <v>185</v>
      </c>
      <c r="F301" s="521"/>
      <c r="G301" s="521"/>
      <c r="H301" s="521"/>
      <c r="I301" s="522"/>
      <c r="J301" s="615"/>
      <c r="K301" s="616"/>
      <c r="L301" s="617"/>
      <c r="M301" s="592">
        <f t="shared" si="155"/>
        <v>0</v>
      </c>
      <c r="N301" s="593"/>
      <c r="O301" s="593"/>
      <c r="P301" s="618">
        <f t="shared" si="156"/>
        <v>0</v>
      </c>
      <c r="Q301" s="618"/>
      <c r="R301" s="618"/>
      <c r="S301" s="618">
        <f t="shared" si="157"/>
        <v>0</v>
      </c>
      <c r="T301" s="618"/>
      <c r="U301" s="618"/>
      <c r="V301" s="593">
        <f t="shared" si="158"/>
        <v>0</v>
      </c>
      <c r="W301" s="593"/>
      <c r="X301" s="594"/>
      <c r="Y301" s="595"/>
      <c r="Z301" s="593"/>
      <c r="AA301" s="596"/>
      <c r="AB301" s="595"/>
      <c r="AC301" s="593"/>
      <c r="AD301" s="596"/>
      <c r="AE301" s="595"/>
      <c r="AF301" s="593"/>
      <c r="AG301" s="596"/>
      <c r="AH301" s="595"/>
      <c r="AI301" s="593"/>
      <c r="AJ301" s="596"/>
      <c r="AK301" s="595"/>
      <c r="AL301" s="593"/>
      <c r="AM301" s="596"/>
      <c r="AN301" s="595"/>
      <c r="AO301" s="593"/>
      <c r="AP301" s="596"/>
      <c r="AQ301" s="595"/>
      <c r="AR301" s="593"/>
      <c r="AS301" s="593"/>
      <c r="AT301" s="593"/>
      <c r="AU301" s="593"/>
      <c r="AV301" s="593"/>
      <c r="AW301" s="596"/>
      <c r="AX301" s="595"/>
      <c r="AY301" s="593"/>
      <c r="AZ301" s="596"/>
      <c r="BA301" s="595"/>
      <c r="BB301" s="593"/>
      <c r="BC301" s="596"/>
      <c r="BD301" s="595"/>
      <c r="BE301" s="593"/>
      <c r="BF301" s="596"/>
      <c r="BG301" s="595"/>
      <c r="BH301" s="593"/>
      <c r="BI301" s="596"/>
      <c r="BJ301" s="595"/>
      <c r="BK301" s="593"/>
      <c r="BL301" s="596"/>
      <c r="BM301" s="595"/>
      <c r="BN301" s="593"/>
      <c r="BO301" s="596"/>
      <c r="BP301" s="595"/>
      <c r="BQ301" s="593"/>
      <c r="BR301" s="596"/>
      <c r="BS301" s="595"/>
      <c r="BT301" s="593"/>
      <c r="BU301" s="596"/>
      <c r="BV301" s="595"/>
      <c r="BW301" s="593"/>
      <c r="BX301" s="596"/>
      <c r="BY301" s="595"/>
      <c r="BZ301" s="593"/>
      <c r="CA301" s="596"/>
      <c r="CB301" s="595"/>
      <c r="CC301" s="593"/>
      <c r="CD301" s="596"/>
      <c r="CE301" s="595"/>
      <c r="CF301" s="593"/>
      <c r="CG301" s="596"/>
      <c r="CH301" s="595"/>
      <c r="CI301" s="593"/>
      <c r="CJ301" s="596"/>
      <c r="CK301" s="595"/>
      <c r="CL301" s="593"/>
      <c r="CM301" s="596"/>
      <c r="CN301" s="595"/>
      <c r="CO301" s="593"/>
      <c r="CP301" s="596"/>
    </row>
    <row r="302" spans="2:94" ht="21" hidden="1" customHeight="1" outlineLevel="1">
      <c r="B302" s="586"/>
      <c r="C302" s="587"/>
      <c r="D302" s="588"/>
      <c r="E302" s="520" t="s">
        <v>186</v>
      </c>
      <c r="F302" s="521"/>
      <c r="G302" s="521"/>
      <c r="H302" s="521"/>
      <c r="I302" s="522"/>
      <c r="J302" s="615"/>
      <c r="K302" s="616"/>
      <c r="L302" s="617"/>
      <c r="M302" s="592">
        <f t="shared" si="155"/>
        <v>0</v>
      </c>
      <c r="N302" s="593"/>
      <c r="O302" s="593"/>
      <c r="P302" s="618">
        <f t="shared" si="156"/>
        <v>0</v>
      </c>
      <c r="Q302" s="618"/>
      <c r="R302" s="618"/>
      <c r="S302" s="618">
        <f t="shared" si="157"/>
        <v>0</v>
      </c>
      <c r="T302" s="618"/>
      <c r="U302" s="618"/>
      <c r="V302" s="593">
        <f t="shared" si="158"/>
        <v>0</v>
      </c>
      <c r="W302" s="593"/>
      <c r="X302" s="594"/>
      <c r="Y302" s="595"/>
      <c r="Z302" s="593"/>
      <c r="AA302" s="596"/>
      <c r="AB302" s="595"/>
      <c r="AC302" s="593"/>
      <c r="AD302" s="596"/>
      <c r="AE302" s="595"/>
      <c r="AF302" s="593"/>
      <c r="AG302" s="596"/>
      <c r="AH302" s="595"/>
      <c r="AI302" s="593"/>
      <c r="AJ302" s="596"/>
      <c r="AK302" s="595"/>
      <c r="AL302" s="593"/>
      <c r="AM302" s="596"/>
      <c r="AN302" s="595"/>
      <c r="AO302" s="593"/>
      <c r="AP302" s="596"/>
      <c r="AQ302" s="595"/>
      <c r="AR302" s="593"/>
      <c r="AS302" s="593"/>
      <c r="AT302" s="593"/>
      <c r="AU302" s="593"/>
      <c r="AV302" s="593"/>
      <c r="AW302" s="596"/>
      <c r="AX302" s="595"/>
      <c r="AY302" s="593"/>
      <c r="AZ302" s="596"/>
      <c r="BA302" s="595"/>
      <c r="BB302" s="593"/>
      <c r="BC302" s="596"/>
      <c r="BD302" s="595"/>
      <c r="BE302" s="593"/>
      <c r="BF302" s="596"/>
      <c r="BG302" s="595"/>
      <c r="BH302" s="593"/>
      <c r="BI302" s="596"/>
      <c r="BJ302" s="595"/>
      <c r="BK302" s="593"/>
      <c r="BL302" s="596"/>
      <c r="BM302" s="595"/>
      <c r="BN302" s="593"/>
      <c r="BO302" s="596"/>
      <c r="BP302" s="595"/>
      <c r="BQ302" s="593"/>
      <c r="BR302" s="596"/>
      <c r="BS302" s="595"/>
      <c r="BT302" s="593"/>
      <c r="BU302" s="596"/>
      <c r="BV302" s="595"/>
      <c r="BW302" s="593"/>
      <c r="BX302" s="596"/>
      <c r="BY302" s="595"/>
      <c r="BZ302" s="593"/>
      <c r="CA302" s="596"/>
      <c r="CB302" s="595"/>
      <c r="CC302" s="593"/>
      <c r="CD302" s="596"/>
      <c r="CE302" s="595"/>
      <c r="CF302" s="593"/>
      <c r="CG302" s="596"/>
      <c r="CH302" s="595"/>
      <c r="CI302" s="593"/>
      <c r="CJ302" s="596"/>
      <c r="CK302" s="595"/>
      <c r="CL302" s="593"/>
      <c r="CM302" s="596"/>
      <c r="CN302" s="595"/>
      <c r="CO302" s="593"/>
      <c r="CP302" s="596"/>
    </row>
    <row r="303" spans="2:94" ht="21" hidden="1" customHeight="1" outlineLevel="1">
      <c r="B303" s="586"/>
      <c r="C303" s="587"/>
      <c r="D303" s="588"/>
      <c r="E303" s="520" t="s">
        <v>187</v>
      </c>
      <c r="F303" s="521"/>
      <c r="G303" s="521"/>
      <c r="H303" s="521"/>
      <c r="I303" s="522"/>
      <c r="J303" s="615"/>
      <c r="K303" s="616"/>
      <c r="L303" s="617"/>
      <c r="M303" s="592">
        <f t="shared" si="155"/>
        <v>0</v>
      </c>
      <c r="N303" s="593"/>
      <c r="O303" s="593"/>
      <c r="P303" s="618">
        <f t="shared" si="156"/>
        <v>0</v>
      </c>
      <c r="Q303" s="618"/>
      <c r="R303" s="618"/>
      <c r="S303" s="618">
        <f t="shared" si="157"/>
        <v>0</v>
      </c>
      <c r="T303" s="618"/>
      <c r="U303" s="618"/>
      <c r="V303" s="593">
        <f t="shared" si="158"/>
        <v>0</v>
      </c>
      <c r="W303" s="593"/>
      <c r="X303" s="594"/>
      <c r="Y303" s="595"/>
      <c r="Z303" s="593"/>
      <c r="AA303" s="596"/>
      <c r="AB303" s="595"/>
      <c r="AC303" s="593"/>
      <c r="AD303" s="596"/>
      <c r="AE303" s="595"/>
      <c r="AF303" s="593"/>
      <c r="AG303" s="596"/>
      <c r="AH303" s="595"/>
      <c r="AI303" s="593"/>
      <c r="AJ303" s="596"/>
      <c r="AK303" s="595"/>
      <c r="AL303" s="593"/>
      <c r="AM303" s="596"/>
      <c r="AN303" s="595"/>
      <c r="AO303" s="593"/>
      <c r="AP303" s="596"/>
      <c r="AQ303" s="595"/>
      <c r="AR303" s="593"/>
      <c r="AS303" s="593"/>
      <c r="AT303" s="593"/>
      <c r="AU303" s="593"/>
      <c r="AV303" s="593"/>
      <c r="AW303" s="596"/>
      <c r="AX303" s="595"/>
      <c r="AY303" s="593"/>
      <c r="AZ303" s="596"/>
      <c r="BA303" s="595"/>
      <c r="BB303" s="593"/>
      <c r="BC303" s="596"/>
      <c r="BD303" s="595"/>
      <c r="BE303" s="593"/>
      <c r="BF303" s="596"/>
      <c r="BG303" s="595"/>
      <c r="BH303" s="593"/>
      <c r="BI303" s="596"/>
      <c r="BJ303" s="595"/>
      <c r="BK303" s="593"/>
      <c r="BL303" s="596"/>
      <c r="BM303" s="595"/>
      <c r="BN303" s="593"/>
      <c r="BO303" s="596"/>
      <c r="BP303" s="595"/>
      <c r="BQ303" s="593"/>
      <c r="BR303" s="596"/>
      <c r="BS303" s="595"/>
      <c r="BT303" s="593"/>
      <c r="BU303" s="596"/>
      <c r="BV303" s="595"/>
      <c r="BW303" s="593"/>
      <c r="BX303" s="596"/>
      <c r="BY303" s="595"/>
      <c r="BZ303" s="593"/>
      <c r="CA303" s="596"/>
      <c r="CB303" s="595"/>
      <c r="CC303" s="593"/>
      <c r="CD303" s="596"/>
      <c r="CE303" s="595"/>
      <c r="CF303" s="593"/>
      <c r="CG303" s="596"/>
      <c r="CH303" s="595"/>
      <c r="CI303" s="593"/>
      <c r="CJ303" s="596"/>
      <c r="CK303" s="595"/>
      <c r="CL303" s="593"/>
      <c r="CM303" s="596"/>
      <c r="CN303" s="595"/>
      <c r="CO303" s="593"/>
      <c r="CP303" s="596"/>
    </row>
    <row r="304" spans="2:94" ht="21" hidden="1" customHeight="1" outlineLevel="1">
      <c r="B304" s="586"/>
      <c r="C304" s="587"/>
      <c r="D304" s="588"/>
      <c r="E304" s="520" t="s">
        <v>189</v>
      </c>
      <c r="F304" s="521"/>
      <c r="G304" s="521"/>
      <c r="H304" s="521"/>
      <c r="I304" s="522"/>
      <c r="J304" s="615"/>
      <c r="K304" s="616"/>
      <c r="L304" s="617"/>
      <c r="M304" s="592">
        <f t="shared" si="155"/>
        <v>0</v>
      </c>
      <c r="N304" s="593"/>
      <c r="O304" s="593"/>
      <c r="P304" s="618">
        <f t="shared" si="156"/>
        <v>0</v>
      </c>
      <c r="Q304" s="618"/>
      <c r="R304" s="618"/>
      <c r="S304" s="618">
        <f t="shared" si="157"/>
        <v>0</v>
      </c>
      <c r="T304" s="618"/>
      <c r="U304" s="618"/>
      <c r="V304" s="593">
        <f t="shared" si="158"/>
        <v>0</v>
      </c>
      <c r="W304" s="593"/>
      <c r="X304" s="594"/>
      <c r="Y304" s="595"/>
      <c r="Z304" s="593"/>
      <c r="AA304" s="596"/>
      <c r="AB304" s="595"/>
      <c r="AC304" s="593"/>
      <c r="AD304" s="596"/>
      <c r="AE304" s="595"/>
      <c r="AF304" s="593"/>
      <c r="AG304" s="596"/>
      <c r="AH304" s="595"/>
      <c r="AI304" s="593"/>
      <c r="AJ304" s="596"/>
      <c r="AK304" s="595"/>
      <c r="AL304" s="593"/>
      <c r="AM304" s="596"/>
      <c r="AN304" s="595"/>
      <c r="AO304" s="593"/>
      <c r="AP304" s="596"/>
      <c r="AQ304" s="595"/>
      <c r="AR304" s="593"/>
      <c r="AS304" s="593"/>
      <c r="AT304" s="593"/>
      <c r="AU304" s="593"/>
      <c r="AV304" s="593"/>
      <c r="AW304" s="596"/>
      <c r="AX304" s="595"/>
      <c r="AY304" s="593"/>
      <c r="AZ304" s="596"/>
      <c r="BA304" s="595"/>
      <c r="BB304" s="593"/>
      <c r="BC304" s="596"/>
      <c r="BD304" s="595"/>
      <c r="BE304" s="593"/>
      <c r="BF304" s="596"/>
      <c r="BG304" s="595"/>
      <c r="BH304" s="593"/>
      <c r="BI304" s="596"/>
      <c r="BJ304" s="595"/>
      <c r="BK304" s="593"/>
      <c r="BL304" s="596"/>
      <c r="BM304" s="595"/>
      <c r="BN304" s="593"/>
      <c r="BO304" s="596"/>
      <c r="BP304" s="595"/>
      <c r="BQ304" s="593"/>
      <c r="BR304" s="596"/>
      <c r="BS304" s="595"/>
      <c r="BT304" s="593"/>
      <c r="BU304" s="596"/>
      <c r="BV304" s="595"/>
      <c r="BW304" s="593"/>
      <c r="BX304" s="596"/>
      <c r="BY304" s="595"/>
      <c r="BZ304" s="593"/>
      <c r="CA304" s="596"/>
      <c r="CB304" s="595"/>
      <c r="CC304" s="593"/>
      <c r="CD304" s="596"/>
      <c r="CE304" s="595"/>
      <c r="CF304" s="593"/>
      <c r="CG304" s="596"/>
      <c r="CH304" s="595"/>
      <c r="CI304" s="593"/>
      <c r="CJ304" s="596"/>
      <c r="CK304" s="595"/>
      <c r="CL304" s="593"/>
      <c r="CM304" s="596"/>
      <c r="CN304" s="595"/>
      <c r="CO304" s="593"/>
      <c r="CP304" s="596"/>
    </row>
    <row r="305" spans="1:138" ht="21" hidden="1" customHeight="1" outlineLevel="1">
      <c r="B305" s="586"/>
      <c r="C305" s="587"/>
      <c r="D305" s="588"/>
      <c r="E305" s="520" t="s">
        <v>190</v>
      </c>
      <c r="F305" s="521"/>
      <c r="G305" s="521"/>
      <c r="H305" s="521"/>
      <c r="I305" s="522"/>
      <c r="J305" s="615"/>
      <c r="K305" s="616"/>
      <c r="L305" s="617"/>
      <c r="M305" s="592">
        <f t="shared" si="155"/>
        <v>0</v>
      </c>
      <c r="N305" s="593"/>
      <c r="O305" s="593"/>
      <c r="P305" s="618">
        <f t="shared" si="156"/>
        <v>0</v>
      </c>
      <c r="Q305" s="618"/>
      <c r="R305" s="618"/>
      <c r="S305" s="618">
        <f t="shared" si="157"/>
        <v>0</v>
      </c>
      <c r="T305" s="618"/>
      <c r="U305" s="618"/>
      <c r="V305" s="593">
        <f t="shared" si="158"/>
        <v>0</v>
      </c>
      <c r="W305" s="593"/>
      <c r="X305" s="594"/>
      <c r="Y305" s="595"/>
      <c r="Z305" s="593"/>
      <c r="AA305" s="596"/>
      <c r="AB305" s="595"/>
      <c r="AC305" s="593"/>
      <c r="AD305" s="596"/>
      <c r="AE305" s="595"/>
      <c r="AF305" s="593"/>
      <c r="AG305" s="596"/>
      <c r="AH305" s="595"/>
      <c r="AI305" s="593"/>
      <c r="AJ305" s="596"/>
      <c r="AK305" s="595"/>
      <c r="AL305" s="593"/>
      <c r="AM305" s="596"/>
      <c r="AN305" s="595"/>
      <c r="AO305" s="593"/>
      <c r="AP305" s="596"/>
      <c r="AQ305" s="595"/>
      <c r="AR305" s="593"/>
      <c r="AS305" s="593"/>
      <c r="AT305" s="593"/>
      <c r="AU305" s="593"/>
      <c r="AV305" s="593"/>
      <c r="AW305" s="596"/>
      <c r="AX305" s="595"/>
      <c r="AY305" s="593"/>
      <c r="AZ305" s="596"/>
      <c r="BA305" s="595"/>
      <c r="BB305" s="593"/>
      <c r="BC305" s="596"/>
      <c r="BD305" s="595"/>
      <c r="BE305" s="593"/>
      <c r="BF305" s="596"/>
      <c r="BG305" s="595"/>
      <c r="BH305" s="593"/>
      <c r="BI305" s="596"/>
      <c r="BJ305" s="595"/>
      <c r="BK305" s="593"/>
      <c r="BL305" s="596"/>
      <c r="BM305" s="595"/>
      <c r="BN305" s="593"/>
      <c r="BO305" s="596"/>
      <c r="BP305" s="595"/>
      <c r="BQ305" s="593"/>
      <c r="BR305" s="596"/>
      <c r="BS305" s="595"/>
      <c r="BT305" s="593"/>
      <c r="BU305" s="596"/>
      <c r="BV305" s="595"/>
      <c r="BW305" s="593"/>
      <c r="BX305" s="596"/>
      <c r="BY305" s="595"/>
      <c r="BZ305" s="593"/>
      <c r="CA305" s="596"/>
      <c r="CB305" s="595"/>
      <c r="CC305" s="593"/>
      <c r="CD305" s="596"/>
      <c r="CE305" s="595"/>
      <c r="CF305" s="593"/>
      <c r="CG305" s="596"/>
      <c r="CH305" s="595"/>
      <c r="CI305" s="593"/>
      <c r="CJ305" s="596"/>
      <c r="CK305" s="595"/>
      <c r="CL305" s="593"/>
      <c r="CM305" s="596"/>
      <c r="CN305" s="595"/>
      <c r="CO305" s="593"/>
      <c r="CP305" s="596"/>
    </row>
    <row r="306" spans="1:138" ht="21" hidden="1" customHeight="1" outlineLevel="1">
      <c r="B306" s="586"/>
      <c r="C306" s="587"/>
      <c r="D306" s="588"/>
      <c r="E306" s="520" t="s">
        <v>192</v>
      </c>
      <c r="F306" s="521"/>
      <c r="G306" s="521"/>
      <c r="H306" s="521"/>
      <c r="I306" s="522"/>
      <c r="J306" s="615"/>
      <c r="K306" s="616"/>
      <c r="L306" s="617"/>
      <c r="M306" s="592">
        <f t="shared" si="155"/>
        <v>0</v>
      </c>
      <c r="N306" s="593"/>
      <c r="O306" s="593"/>
      <c r="P306" s="618">
        <f t="shared" si="156"/>
        <v>0</v>
      </c>
      <c r="Q306" s="618"/>
      <c r="R306" s="618"/>
      <c r="S306" s="618">
        <f t="shared" si="157"/>
        <v>0</v>
      </c>
      <c r="T306" s="618"/>
      <c r="U306" s="618"/>
      <c r="V306" s="593">
        <f t="shared" si="158"/>
        <v>0</v>
      </c>
      <c r="W306" s="593"/>
      <c r="X306" s="594"/>
      <c r="Y306" s="595"/>
      <c r="Z306" s="593"/>
      <c r="AA306" s="596"/>
      <c r="AB306" s="595"/>
      <c r="AC306" s="593"/>
      <c r="AD306" s="596"/>
      <c r="AE306" s="595"/>
      <c r="AF306" s="593"/>
      <c r="AG306" s="596"/>
      <c r="AH306" s="595"/>
      <c r="AI306" s="593"/>
      <c r="AJ306" s="596"/>
      <c r="AK306" s="595"/>
      <c r="AL306" s="593"/>
      <c r="AM306" s="596"/>
      <c r="AN306" s="595"/>
      <c r="AO306" s="593"/>
      <c r="AP306" s="596"/>
      <c r="AQ306" s="595"/>
      <c r="AR306" s="593"/>
      <c r="AS306" s="593"/>
      <c r="AT306" s="593"/>
      <c r="AU306" s="593"/>
      <c r="AV306" s="593"/>
      <c r="AW306" s="596"/>
      <c r="AX306" s="595"/>
      <c r="AY306" s="593"/>
      <c r="AZ306" s="596"/>
      <c r="BA306" s="595"/>
      <c r="BB306" s="593"/>
      <c r="BC306" s="596"/>
      <c r="BD306" s="595"/>
      <c r="BE306" s="593"/>
      <c r="BF306" s="596"/>
      <c r="BG306" s="595"/>
      <c r="BH306" s="593"/>
      <c r="BI306" s="596"/>
      <c r="BJ306" s="595"/>
      <c r="BK306" s="593"/>
      <c r="BL306" s="596"/>
      <c r="BM306" s="595"/>
      <c r="BN306" s="593"/>
      <c r="BO306" s="596"/>
      <c r="BP306" s="595"/>
      <c r="BQ306" s="593"/>
      <c r="BR306" s="596"/>
      <c r="BS306" s="595"/>
      <c r="BT306" s="593"/>
      <c r="BU306" s="596"/>
      <c r="BV306" s="595"/>
      <c r="BW306" s="593"/>
      <c r="BX306" s="596"/>
      <c r="BY306" s="595"/>
      <c r="BZ306" s="593"/>
      <c r="CA306" s="596"/>
      <c r="CB306" s="595"/>
      <c r="CC306" s="593"/>
      <c r="CD306" s="596"/>
      <c r="CE306" s="595"/>
      <c r="CF306" s="593"/>
      <c r="CG306" s="596"/>
      <c r="CH306" s="595"/>
      <c r="CI306" s="593"/>
      <c r="CJ306" s="596"/>
      <c r="CK306" s="595"/>
      <c r="CL306" s="593"/>
      <c r="CM306" s="596"/>
      <c r="CN306" s="595"/>
      <c r="CO306" s="593"/>
      <c r="CP306" s="596"/>
    </row>
    <row r="307" spans="1:138" ht="21" hidden="1" customHeight="1" outlineLevel="1">
      <c r="B307" s="586"/>
      <c r="C307" s="587"/>
      <c r="D307" s="588"/>
      <c r="E307" s="520" t="s">
        <v>191</v>
      </c>
      <c r="F307" s="521"/>
      <c r="G307" s="521"/>
      <c r="H307" s="521"/>
      <c r="I307" s="522"/>
      <c r="J307" s="615"/>
      <c r="K307" s="616"/>
      <c r="L307" s="617"/>
      <c r="M307" s="592">
        <f t="shared" si="155"/>
        <v>0</v>
      </c>
      <c r="N307" s="593"/>
      <c r="O307" s="593"/>
      <c r="P307" s="618">
        <f t="shared" si="156"/>
        <v>0</v>
      </c>
      <c r="Q307" s="618"/>
      <c r="R307" s="618"/>
      <c r="S307" s="618">
        <f t="shared" si="157"/>
        <v>0</v>
      </c>
      <c r="T307" s="618"/>
      <c r="U307" s="618"/>
      <c r="V307" s="593">
        <f t="shared" si="158"/>
        <v>0</v>
      </c>
      <c r="W307" s="593"/>
      <c r="X307" s="594"/>
      <c r="Y307" s="595"/>
      <c r="Z307" s="593"/>
      <c r="AA307" s="596"/>
      <c r="AB307" s="595"/>
      <c r="AC307" s="593"/>
      <c r="AD307" s="596"/>
      <c r="AE307" s="595"/>
      <c r="AF307" s="593"/>
      <c r="AG307" s="596"/>
      <c r="AH307" s="595"/>
      <c r="AI307" s="593"/>
      <c r="AJ307" s="596"/>
      <c r="AK307" s="595"/>
      <c r="AL307" s="593"/>
      <c r="AM307" s="596"/>
      <c r="AN307" s="595"/>
      <c r="AO307" s="593"/>
      <c r="AP307" s="596"/>
      <c r="AQ307" s="595"/>
      <c r="AR307" s="593"/>
      <c r="AS307" s="593"/>
      <c r="AT307" s="593"/>
      <c r="AU307" s="593"/>
      <c r="AV307" s="593"/>
      <c r="AW307" s="596"/>
      <c r="AX307" s="595"/>
      <c r="AY307" s="593"/>
      <c r="AZ307" s="596"/>
      <c r="BA307" s="595"/>
      <c r="BB307" s="593"/>
      <c r="BC307" s="596"/>
      <c r="BD307" s="595"/>
      <c r="BE307" s="593"/>
      <c r="BF307" s="596"/>
      <c r="BG307" s="595"/>
      <c r="BH307" s="593"/>
      <c r="BI307" s="596"/>
      <c r="BJ307" s="595"/>
      <c r="BK307" s="593"/>
      <c r="BL307" s="596"/>
      <c r="BM307" s="595"/>
      <c r="BN307" s="593"/>
      <c r="BO307" s="596"/>
      <c r="BP307" s="595"/>
      <c r="BQ307" s="593"/>
      <c r="BR307" s="596"/>
      <c r="BS307" s="595"/>
      <c r="BT307" s="593"/>
      <c r="BU307" s="596"/>
      <c r="BV307" s="595"/>
      <c r="BW307" s="593"/>
      <c r="BX307" s="596"/>
      <c r="BY307" s="595"/>
      <c r="BZ307" s="593"/>
      <c r="CA307" s="596"/>
      <c r="CB307" s="595"/>
      <c r="CC307" s="593"/>
      <c r="CD307" s="596"/>
      <c r="CE307" s="595"/>
      <c r="CF307" s="593"/>
      <c r="CG307" s="596"/>
      <c r="CH307" s="595"/>
      <c r="CI307" s="593"/>
      <c r="CJ307" s="596"/>
      <c r="CK307" s="595"/>
      <c r="CL307" s="593"/>
      <c r="CM307" s="596"/>
      <c r="CN307" s="595"/>
      <c r="CO307" s="593"/>
      <c r="CP307" s="596"/>
    </row>
    <row r="308" spans="1:138" ht="21" hidden="1" customHeight="1" outlineLevel="1">
      <c r="B308" s="586"/>
      <c r="C308" s="587"/>
      <c r="D308" s="588"/>
      <c r="E308" s="520" t="s">
        <v>194</v>
      </c>
      <c r="F308" s="521"/>
      <c r="G308" s="521"/>
      <c r="H308" s="521"/>
      <c r="I308" s="522"/>
      <c r="J308" s="615"/>
      <c r="K308" s="616"/>
      <c r="L308" s="617"/>
      <c r="M308" s="592">
        <f t="shared" si="155"/>
        <v>0</v>
      </c>
      <c r="N308" s="593"/>
      <c r="O308" s="593"/>
      <c r="P308" s="618">
        <f t="shared" si="156"/>
        <v>0</v>
      </c>
      <c r="Q308" s="618"/>
      <c r="R308" s="618"/>
      <c r="S308" s="618">
        <f t="shared" si="157"/>
        <v>0</v>
      </c>
      <c r="T308" s="618"/>
      <c r="U308" s="618"/>
      <c r="V308" s="593">
        <f t="shared" si="158"/>
        <v>0</v>
      </c>
      <c r="W308" s="593"/>
      <c r="X308" s="594"/>
      <c r="Y308" s="595"/>
      <c r="Z308" s="593"/>
      <c r="AA308" s="596"/>
      <c r="AB308" s="595"/>
      <c r="AC308" s="593"/>
      <c r="AD308" s="596"/>
      <c r="AE308" s="595"/>
      <c r="AF308" s="593"/>
      <c r="AG308" s="596"/>
      <c r="AH308" s="595"/>
      <c r="AI308" s="593"/>
      <c r="AJ308" s="596"/>
      <c r="AK308" s="595"/>
      <c r="AL308" s="593"/>
      <c r="AM308" s="596"/>
      <c r="AN308" s="595"/>
      <c r="AO308" s="593"/>
      <c r="AP308" s="596"/>
      <c r="AQ308" s="595"/>
      <c r="AR308" s="593"/>
      <c r="AS308" s="593"/>
      <c r="AT308" s="593"/>
      <c r="AU308" s="593"/>
      <c r="AV308" s="593"/>
      <c r="AW308" s="596"/>
      <c r="AX308" s="595"/>
      <c r="AY308" s="593"/>
      <c r="AZ308" s="596"/>
      <c r="BA308" s="595"/>
      <c r="BB308" s="593"/>
      <c r="BC308" s="596"/>
      <c r="BD308" s="595"/>
      <c r="BE308" s="593"/>
      <c r="BF308" s="596"/>
      <c r="BG308" s="595"/>
      <c r="BH308" s="593"/>
      <c r="BI308" s="596"/>
      <c r="BJ308" s="595"/>
      <c r="BK308" s="593"/>
      <c r="BL308" s="596"/>
      <c r="BM308" s="595"/>
      <c r="BN308" s="593"/>
      <c r="BO308" s="596"/>
      <c r="BP308" s="595"/>
      <c r="BQ308" s="593"/>
      <c r="BR308" s="596"/>
      <c r="BS308" s="595"/>
      <c r="BT308" s="593"/>
      <c r="BU308" s="596"/>
      <c r="BV308" s="595"/>
      <c r="BW308" s="593"/>
      <c r="BX308" s="596"/>
      <c r="BY308" s="595"/>
      <c r="BZ308" s="593"/>
      <c r="CA308" s="596"/>
      <c r="CB308" s="595"/>
      <c r="CC308" s="593"/>
      <c r="CD308" s="596"/>
      <c r="CE308" s="595"/>
      <c r="CF308" s="593"/>
      <c r="CG308" s="596"/>
      <c r="CH308" s="595"/>
      <c r="CI308" s="593"/>
      <c r="CJ308" s="596"/>
      <c r="CK308" s="595"/>
      <c r="CL308" s="593"/>
      <c r="CM308" s="596"/>
      <c r="CN308" s="595"/>
      <c r="CO308" s="593"/>
      <c r="CP308" s="596"/>
    </row>
    <row r="309" spans="1:138" ht="21" hidden="1" customHeight="1" outlineLevel="1">
      <c r="B309" s="586"/>
      <c r="C309" s="587"/>
      <c r="D309" s="588"/>
      <c r="E309" s="520" t="s">
        <v>193</v>
      </c>
      <c r="F309" s="521"/>
      <c r="G309" s="521"/>
      <c r="H309" s="521"/>
      <c r="I309" s="522"/>
      <c r="J309" s="615"/>
      <c r="K309" s="616"/>
      <c r="L309" s="617"/>
      <c r="M309" s="592">
        <f t="shared" si="155"/>
        <v>0</v>
      </c>
      <c r="N309" s="593"/>
      <c r="O309" s="593"/>
      <c r="P309" s="618">
        <f t="shared" si="156"/>
        <v>0</v>
      </c>
      <c r="Q309" s="618"/>
      <c r="R309" s="618"/>
      <c r="S309" s="618">
        <f t="shared" si="157"/>
        <v>0</v>
      </c>
      <c r="T309" s="618"/>
      <c r="U309" s="618"/>
      <c r="V309" s="593">
        <f t="shared" si="158"/>
        <v>0</v>
      </c>
      <c r="W309" s="593"/>
      <c r="X309" s="594"/>
      <c r="Y309" s="595"/>
      <c r="Z309" s="593"/>
      <c r="AA309" s="596"/>
      <c r="AB309" s="595"/>
      <c r="AC309" s="593"/>
      <c r="AD309" s="596"/>
      <c r="AE309" s="595"/>
      <c r="AF309" s="593"/>
      <c r="AG309" s="596"/>
      <c r="AH309" s="595"/>
      <c r="AI309" s="593"/>
      <c r="AJ309" s="596"/>
      <c r="AK309" s="595"/>
      <c r="AL309" s="593"/>
      <c r="AM309" s="596"/>
      <c r="AN309" s="595"/>
      <c r="AO309" s="593"/>
      <c r="AP309" s="596"/>
      <c r="AQ309" s="595"/>
      <c r="AR309" s="593"/>
      <c r="AS309" s="593"/>
      <c r="AT309" s="593"/>
      <c r="AU309" s="593"/>
      <c r="AV309" s="593"/>
      <c r="AW309" s="596"/>
      <c r="AX309" s="595"/>
      <c r="AY309" s="593"/>
      <c r="AZ309" s="596"/>
      <c r="BA309" s="595"/>
      <c r="BB309" s="593"/>
      <c r="BC309" s="596"/>
      <c r="BD309" s="595"/>
      <c r="BE309" s="593"/>
      <c r="BF309" s="596"/>
      <c r="BG309" s="595"/>
      <c r="BH309" s="593"/>
      <c r="BI309" s="596"/>
      <c r="BJ309" s="595"/>
      <c r="BK309" s="593"/>
      <c r="BL309" s="596"/>
      <c r="BM309" s="595"/>
      <c r="BN309" s="593"/>
      <c r="BO309" s="596"/>
      <c r="BP309" s="595"/>
      <c r="BQ309" s="593"/>
      <c r="BR309" s="596"/>
      <c r="BS309" s="595"/>
      <c r="BT309" s="593"/>
      <c r="BU309" s="596"/>
      <c r="BV309" s="595"/>
      <c r="BW309" s="593"/>
      <c r="BX309" s="596"/>
      <c r="BY309" s="595"/>
      <c r="BZ309" s="593"/>
      <c r="CA309" s="596"/>
      <c r="CB309" s="595"/>
      <c r="CC309" s="593"/>
      <c r="CD309" s="596"/>
      <c r="CE309" s="595"/>
      <c r="CF309" s="593"/>
      <c r="CG309" s="596"/>
      <c r="CH309" s="595"/>
      <c r="CI309" s="593"/>
      <c r="CJ309" s="596"/>
      <c r="CK309" s="595"/>
      <c r="CL309" s="593"/>
      <c r="CM309" s="596"/>
      <c r="CN309" s="595"/>
      <c r="CO309" s="593"/>
      <c r="CP309" s="596"/>
    </row>
    <row r="310" spans="1:138" ht="21" hidden="1" customHeight="1" outlineLevel="1">
      <c r="B310" s="586"/>
      <c r="C310" s="587"/>
      <c r="D310" s="588"/>
      <c r="E310" s="520"/>
      <c r="F310" s="521"/>
      <c r="G310" s="521"/>
      <c r="H310" s="521"/>
      <c r="I310" s="522"/>
      <c r="J310" s="615"/>
      <c r="K310" s="616"/>
      <c r="L310" s="617"/>
      <c r="M310" s="592">
        <f t="shared" si="155"/>
        <v>0</v>
      </c>
      <c r="N310" s="593"/>
      <c r="O310" s="593"/>
      <c r="P310" s="618">
        <f t="shared" si="156"/>
        <v>0</v>
      </c>
      <c r="Q310" s="618"/>
      <c r="R310" s="618"/>
      <c r="S310" s="618">
        <f t="shared" si="157"/>
        <v>0</v>
      </c>
      <c r="T310" s="618"/>
      <c r="U310" s="618"/>
      <c r="V310" s="593">
        <f t="shared" si="158"/>
        <v>0</v>
      </c>
      <c r="W310" s="593"/>
      <c r="X310" s="594"/>
      <c r="Y310" s="595"/>
      <c r="Z310" s="593"/>
      <c r="AA310" s="596"/>
      <c r="AB310" s="595"/>
      <c r="AC310" s="593"/>
      <c r="AD310" s="596"/>
      <c r="AE310" s="595"/>
      <c r="AF310" s="593"/>
      <c r="AG310" s="596"/>
      <c r="AH310" s="595"/>
      <c r="AI310" s="593"/>
      <c r="AJ310" s="596"/>
      <c r="AK310" s="595"/>
      <c r="AL310" s="593"/>
      <c r="AM310" s="596"/>
      <c r="AN310" s="595"/>
      <c r="AO310" s="593"/>
      <c r="AP310" s="596"/>
      <c r="AQ310" s="595"/>
      <c r="AR310" s="593"/>
      <c r="AS310" s="593"/>
      <c r="AT310" s="593"/>
      <c r="AU310" s="593"/>
      <c r="AV310" s="593"/>
      <c r="AW310" s="596"/>
      <c r="AX310" s="595"/>
      <c r="AY310" s="593"/>
      <c r="AZ310" s="596"/>
      <c r="BA310" s="595"/>
      <c r="BB310" s="593"/>
      <c r="BC310" s="596"/>
      <c r="BD310" s="595"/>
      <c r="BE310" s="593"/>
      <c r="BF310" s="596"/>
      <c r="BG310" s="595"/>
      <c r="BH310" s="593"/>
      <c r="BI310" s="596"/>
      <c r="BJ310" s="595"/>
      <c r="BK310" s="593"/>
      <c r="BL310" s="596"/>
      <c r="BM310" s="595"/>
      <c r="BN310" s="593"/>
      <c r="BO310" s="596"/>
      <c r="BP310" s="595"/>
      <c r="BQ310" s="593"/>
      <c r="BR310" s="596"/>
      <c r="BS310" s="595"/>
      <c r="BT310" s="593"/>
      <c r="BU310" s="596"/>
      <c r="BV310" s="595"/>
      <c r="BW310" s="593"/>
      <c r="BX310" s="596"/>
      <c r="BY310" s="595"/>
      <c r="BZ310" s="593"/>
      <c r="CA310" s="596"/>
      <c r="CB310" s="595"/>
      <c r="CC310" s="593"/>
      <c r="CD310" s="596"/>
      <c r="CE310" s="595"/>
      <c r="CF310" s="593"/>
      <c r="CG310" s="596"/>
      <c r="CH310" s="595"/>
      <c r="CI310" s="593"/>
      <c r="CJ310" s="596"/>
      <c r="CK310" s="595"/>
      <c r="CL310" s="593"/>
      <c r="CM310" s="596"/>
      <c r="CN310" s="595"/>
      <c r="CO310" s="593"/>
      <c r="CP310" s="596"/>
    </row>
    <row r="311" spans="1:138" ht="21" hidden="1" customHeight="1" outlineLevel="1">
      <c r="B311" s="586"/>
      <c r="C311" s="587"/>
      <c r="D311" s="588"/>
      <c r="E311" s="520"/>
      <c r="F311" s="521"/>
      <c r="G311" s="521"/>
      <c r="H311" s="521"/>
      <c r="I311" s="522"/>
      <c r="J311" s="615"/>
      <c r="K311" s="616"/>
      <c r="L311" s="617"/>
      <c r="M311" s="592">
        <f t="shared" si="155"/>
        <v>0</v>
      </c>
      <c r="N311" s="593"/>
      <c r="O311" s="593"/>
      <c r="P311" s="618">
        <f t="shared" si="156"/>
        <v>0</v>
      </c>
      <c r="Q311" s="618"/>
      <c r="R311" s="618"/>
      <c r="S311" s="618">
        <f t="shared" si="157"/>
        <v>0</v>
      </c>
      <c r="T311" s="618"/>
      <c r="U311" s="618"/>
      <c r="V311" s="593">
        <f t="shared" si="158"/>
        <v>0</v>
      </c>
      <c r="W311" s="593"/>
      <c r="X311" s="594"/>
      <c r="Y311" s="595"/>
      <c r="Z311" s="593"/>
      <c r="AA311" s="596"/>
      <c r="AB311" s="595"/>
      <c r="AC311" s="593"/>
      <c r="AD311" s="596"/>
      <c r="AE311" s="595"/>
      <c r="AF311" s="593"/>
      <c r="AG311" s="596"/>
      <c r="AH311" s="595"/>
      <c r="AI311" s="593"/>
      <c r="AJ311" s="596"/>
      <c r="AK311" s="595"/>
      <c r="AL311" s="593"/>
      <c r="AM311" s="596"/>
      <c r="AN311" s="595"/>
      <c r="AO311" s="593"/>
      <c r="AP311" s="596"/>
      <c r="AQ311" s="595"/>
      <c r="AR311" s="593"/>
      <c r="AS311" s="593"/>
      <c r="AT311" s="593"/>
      <c r="AU311" s="593"/>
      <c r="AV311" s="593"/>
      <c r="AW311" s="596"/>
      <c r="AX311" s="595"/>
      <c r="AY311" s="593"/>
      <c r="AZ311" s="596"/>
      <c r="BA311" s="595"/>
      <c r="BB311" s="593"/>
      <c r="BC311" s="596"/>
      <c r="BD311" s="595"/>
      <c r="BE311" s="593"/>
      <c r="BF311" s="596"/>
      <c r="BG311" s="595"/>
      <c r="BH311" s="593"/>
      <c r="BI311" s="596"/>
      <c r="BJ311" s="595"/>
      <c r="BK311" s="593"/>
      <c r="BL311" s="596"/>
      <c r="BM311" s="595"/>
      <c r="BN311" s="593"/>
      <c r="BO311" s="596"/>
      <c r="BP311" s="595"/>
      <c r="BQ311" s="593"/>
      <c r="BR311" s="596"/>
      <c r="BS311" s="595"/>
      <c r="BT311" s="593"/>
      <c r="BU311" s="596"/>
      <c r="BV311" s="595"/>
      <c r="BW311" s="593"/>
      <c r="BX311" s="596"/>
      <c r="BY311" s="595"/>
      <c r="BZ311" s="593"/>
      <c r="CA311" s="596"/>
      <c r="CB311" s="595"/>
      <c r="CC311" s="593"/>
      <c r="CD311" s="596"/>
      <c r="CE311" s="595"/>
      <c r="CF311" s="593"/>
      <c r="CG311" s="596"/>
      <c r="CH311" s="595"/>
      <c r="CI311" s="593"/>
      <c r="CJ311" s="596"/>
      <c r="CK311" s="595"/>
      <c r="CL311" s="593"/>
      <c r="CM311" s="596"/>
      <c r="CN311" s="595"/>
      <c r="CO311" s="593"/>
      <c r="CP311" s="596"/>
    </row>
    <row r="312" spans="1:138" ht="21" hidden="1" customHeight="1" outlineLevel="1">
      <c r="B312" s="586"/>
      <c r="C312" s="587"/>
      <c r="D312" s="588"/>
      <c r="E312" s="520"/>
      <c r="F312" s="521"/>
      <c r="G312" s="521"/>
      <c r="H312" s="521"/>
      <c r="I312" s="522"/>
      <c r="J312" s="615"/>
      <c r="K312" s="616"/>
      <c r="L312" s="617"/>
      <c r="M312" s="592">
        <f t="shared" si="155"/>
        <v>0</v>
      </c>
      <c r="N312" s="593"/>
      <c r="O312" s="593"/>
      <c r="P312" s="618">
        <f t="shared" si="156"/>
        <v>0</v>
      </c>
      <c r="Q312" s="618"/>
      <c r="R312" s="618"/>
      <c r="S312" s="618">
        <f t="shared" si="157"/>
        <v>0</v>
      </c>
      <c r="T312" s="618"/>
      <c r="U312" s="618"/>
      <c r="V312" s="593">
        <f t="shared" si="158"/>
        <v>0</v>
      </c>
      <c r="W312" s="593"/>
      <c r="X312" s="594"/>
      <c r="Y312" s="595"/>
      <c r="Z312" s="593"/>
      <c r="AA312" s="596"/>
      <c r="AB312" s="595"/>
      <c r="AC312" s="593"/>
      <c r="AD312" s="596"/>
      <c r="AE312" s="595"/>
      <c r="AF312" s="593"/>
      <c r="AG312" s="596"/>
      <c r="AH312" s="595"/>
      <c r="AI312" s="593"/>
      <c r="AJ312" s="596"/>
      <c r="AK312" s="595"/>
      <c r="AL312" s="593"/>
      <c r="AM312" s="596"/>
      <c r="AN312" s="595"/>
      <c r="AO312" s="593"/>
      <c r="AP312" s="596"/>
      <c r="AQ312" s="595"/>
      <c r="AR312" s="593"/>
      <c r="AS312" s="593"/>
      <c r="AT312" s="593"/>
      <c r="AU312" s="593"/>
      <c r="AV312" s="593"/>
      <c r="AW312" s="596"/>
      <c r="AX312" s="595"/>
      <c r="AY312" s="593"/>
      <c r="AZ312" s="596"/>
      <c r="BA312" s="595"/>
      <c r="BB312" s="593"/>
      <c r="BC312" s="596"/>
      <c r="BD312" s="595"/>
      <c r="BE312" s="593"/>
      <c r="BF312" s="596"/>
      <c r="BG312" s="595"/>
      <c r="BH312" s="593"/>
      <c r="BI312" s="596"/>
      <c r="BJ312" s="595"/>
      <c r="BK312" s="593"/>
      <c r="BL312" s="596"/>
      <c r="BM312" s="595"/>
      <c r="BN312" s="593"/>
      <c r="BO312" s="596"/>
      <c r="BP312" s="595"/>
      <c r="BQ312" s="593"/>
      <c r="BR312" s="596"/>
      <c r="BS312" s="595"/>
      <c r="BT312" s="593"/>
      <c r="BU312" s="596"/>
      <c r="BV312" s="595"/>
      <c r="BW312" s="593"/>
      <c r="BX312" s="596"/>
      <c r="BY312" s="595"/>
      <c r="BZ312" s="593"/>
      <c r="CA312" s="596"/>
      <c r="CB312" s="595"/>
      <c r="CC312" s="593"/>
      <c r="CD312" s="596"/>
      <c r="CE312" s="595"/>
      <c r="CF312" s="593"/>
      <c r="CG312" s="596"/>
      <c r="CH312" s="595"/>
      <c r="CI312" s="593"/>
      <c r="CJ312" s="596"/>
      <c r="CK312" s="595"/>
      <c r="CL312" s="593"/>
      <c r="CM312" s="596"/>
      <c r="CN312" s="595"/>
      <c r="CO312" s="593"/>
      <c r="CP312" s="596"/>
    </row>
    <row r="313" spans="1:138" s="75" customFormat="1" ht="21" hidden="1" customHeight="1" outlineLevel="1" thickBot="1">
      <c r="A313" s="132"/>
      <c r="B313" s="128"/>
      <c r="C313" s="129"/>
      <c r="D313" s="129"/>
      <c r="E313" s="246" t="s">
        <v>174</v>
      </c>
      <c r="F313" s="246"/>
      <c r="G313" s="246"/>
      <c r="H313" s="246"/>
      <c r="I313" s="247"/>
      <c r="J313" s="601">
        <f>SUM(J291:L312)</f>
        <v>0</v>
      </c>
      <c r="K313" s="602"/>
      <c r="L313" s="603"/>
      <c r="M313" s="619">
        <f t="shared" ref="M313" si="159">SUM(M291:O312)</f>
        <v>0</v>
      </c>
      <c r="N313" s="608"/>
      <c r="O313" s="608"/>
      <c r="P313" s="606">
        <f t="shared" ref="P313" si="160">SUM(P291:R312)</f>
        <v>0</v>
      </c>
      <c r="Q313" s="606"/>
      <c r="R313" s="606"/>
      <c r="S313" s="606">
        <f t="shared" ref="S313" si="161">SUM(S291:U312)</f>
        <v>0</v>
      </c>
      <c r="T313" s="606"/>
      <c r="U313" s="606"/>
      <c r="V313" s="608">
        <f t="shared" ref="V313" si="162">SUM(V291:X312)</f>
        <v>0</v>
      </c>
      <c r="W313" s="608"/>
      <c r="X313" s="609"/>
      <c r="Y313" s="601">
        <f t="shared" ref="Y313" si="163">SUM(Y291:AA312)</f>
        <v>0</v>
      </c>
      <c r="Z313" s="602"/>
      <c r="AA313" s="603"/>
      <c r="AB313" s="601">
        <f t="shared" ref="AB313" si="164">SUM(AB291:AD312)</f>
        <v>0</v>
      </c>
      <c r="AC313" s="602"/>
      <c r="AD313" s="603"/>
      <c r="AE313" s="601">
        <f t="shared" ref="AE313" si="165">SUM(AE291:AG312)</f>
        <v>0</v>
      </c>
      <c r="AF313" s="602"/>
      <c r="AG313" s="603"/>
      <c r="AH313" s="601">
        <f t="shared" ref="AH313" si="166">SUM(AH291:AJ312)</f>
        <v>0</v>
      </c>
      <c r="AI313" s="602"/>
      <c r="AJ313" s="603"/>
      <c r="AK313" s="601">
        <f t="shared" ref="AK313" si="167">SUM(AK291:AM312)</f>
        <v>0</v>
      </c>
      <c r="AL313" s="602"/>
      <c r="AM313" s="603"/>
      <c r="AN313" s="601">
        <f t="shared" ref="AN313" si="168">SUM(AN291:AP312)</f>
        <v>0</v>
      </c>
      <c r="AO313" s="602"/>
      <c r="AP313" s="603"/>
      <c r="AQ313" s="601">
        <f t="shared" ref="AQ313" si="169">SUM(AQ291:AW312)</f>
        <v>0</v>
      </c>
      <c r="AR313" s="602"/>
      <c r="AS313" s="602"/>
      <c r="AT313" s="602"/>
      <c r="AU313" s="602"/>
      <c r="AV313" s="602"/>
      <c r="AW313" s="603"/>
      <c r="AX313" s="601">
        <f t="shared" ref="AX313" si="170">SUM(AX291:AZ312)</f>
        <v>0</v>
      </c>
      <c r="AY313" s="602"/>
      <c r="AZ313" s="603"/>
      <c r="BA313" s="601">
        <f t="shared" ref="BA313" si="171">SUM(BA291:BC312)</f>
        <v>0</v>
      </c>
      <c r="BB313" s="602"/>
      <c r="BC313" s="603"/>
      <c r="BD313" s="601">
        <f t="shared" ref="BD313" si="172">SUM(BD291:BF312)</f>
        <v>0</v>
      </c>
      <c r="BE313" s="602"/>
      <c r="BF313" s="603"/>
      <c r="BG313" s="601">
        <f t="shared" ref="BG313" si="173">SUM(BG291:BI312)</f>
        <v>0</v>
      </c>
      <c r="BH313" s="602"/>
      <c r="BI313" s="603"/>
      <c r="BJ313" s="601">
        <f t="shared" ref="BJ313" si="174">SUM(BJ291:BL312)</f>
        <v>0</v>
      </c>
      <c r="BK313" s="602"/>
      <c r="BL313" s="603"/>
      <c r="BM313" s="601">
        <f t="shared" ref="BM313" si="175">SUM(BM291:BO312)</f>
        <v>0</v>
      </c>
      <c r="BN313" s="602"/>
      <c r="BO313" s="603"/>
      <c r="BP313" s="601">
        <f t="shared" ref="BP313" si="176">SUM(BP291:BR312)</f>
        <v>0</v>
      </c>
      <c r="BQ313" s="602"/>
      <c r="BR313" s="603"/>
      <c r="BS313" s="601">
        <f t="shared" ref="BS313" si="177">SUM(BS291:BU312)</f>
        <v>0</v>
      </c>
      <c r="BT313" s="602"/>
      <c r="BU313" s="603"/>
      <c r="BV313" s="601">
        <f t="shared" ref="BV313" si="178">SUM(BV291:BX312)</f>
        <v>0</v>
      </c>
      <c r="BW313" s="602"/>
      <c r="BX313" s="603"/>
      <c r="BY313" s="601">
        <f t="shared" ref="BY313" si="179">SUM(BY291:CA312)</f>
        <v>0</v>
      </c>
      <c r="BZ313" s="602"/>
      <c r="CA313" s="603"/>
      <c r="CB313" s="601">
        <f t="shared" ref="CB313" si="180">SUM(CB291:CD312)</f>
        <v>0</v>
      </c>
      <c r="CC313" s="602"/>
      <c r="CD313" s="603"/>
      <c r="CE313" s="601">
        <f t="shared" ref="CE313" si="181">SUM(CE291:CG312)</f>
        <v>0</v>
      </c>
      <c r="CF313" s="602"/>
      <c r="CG313" s="603"/>
      <c r="CH313" s="601">
        <f t="shared" ref="CH313" si="182">SUM(CH291:CJ312)</f>
        <v>0</v>
      </c>
      <c r="CI313" s="602"/>
      <c r="CJ313" s="603"/>
      <c r="CK313" s="601">
        <f t="shared" ref="CK313" si="183">SUM(CK291:CM312)</f>
        <v>0</v>
      </c>
      <c r="CL313" s="602"/>
      <c r="CM313" s="603"/>
      <c r="CN313" s="601">
        <f t="shared" ref="CN313" si="184">SUM(CN291:CP312)</f>
        <v>0</v>
      </c>
      <c r="CO313" s="602"/>
      <c r="CP313" s="603"/>
      <c r="DK313" s="125"/>
      <c r="DL313" s="125"/>
      <c r="DM313" s="125"/>
      <c r="DN313" s="125"/>
      <c r="DO313" s="125"/>
      <c r="EF313" s="159"/>
      <c r="EG313" s="159"/>
      <c r="EH313" s="159"/>
    </row>
    <row r="314" spans="1:138" ht="21" customHeight="1" collapsed="1" thickTop="1"/>
  </sheetData>
  <mergeCells count="5631">
    <mergeCell ref="AR32:AU32"/>
    <mergeCell ref="B33:D33"/>
    <mergeCell ref="E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N33:AQ33"/>
    <mergeCell ref="AR33:AU33"/>
    <mergeCell ref="AV33:AY33"/>
    <mergeCell ref="AZ33:BC33"/>
    <mergeCell ref="AR26:AU27"/>
    <mergeCell ref="AR29:AU29"/>
    <mergeCell ref="AR30:AU30"/>
    <mergeCell ref="M229:O231"/>
    <mergeCell ref="P229:R231"/>
    <mergeCell ref="AL111:AM113"/>
    <mergeCell ref="AN111:AO113"/>
    <mergeCell ref="CE313:CG313"/>
    <mergeCell ref="CH313:CJ313"/>
    <mergeCell ref="CK313:CM313"/>
    <mergeCell ref="CN313:CP313"/>
    <mergeCell ref="CK111:CP111"/>
    <mergeCell ref="BM313:BO313"/>
    <mergeCell ref="BP313:BR313"/>
    <mergeCell ref="BS313:BU313"/>
    <mergeCell ref="BV313:BX313"/>
    <mergeCell ref="BY313:CA313"/>
    <mergeCell ref="CB313:CD313"/>
    <mergeCell ref="AQ313:AW313"/>
    <mergeCell ref="AX313:AZ313"/>
    <mergeCell ref="BA313:BC313"/>
    <mergeCell ref="BD313:BF313"/>
    <mergeCell ref="BG313:BI313"/>
    <mergeCell ref="BJ313:BL313"/>
    <mergeCell ref="Y313:AA313"/>
    <mergeCell ref="AB313:AD313"/>
    <mergeCell ref="AE313:AG313"/>
    <mergeCell ref="AH313:AJ313"/>
    <mergeCell ref="AK313:AM313"/>
    <mergeCell ref="AN313:AP313"/>
    <mergeCell ref="CE312:CG312"/>
    <mergeCell ref="CH312:CJ312"/>
    <mergeCell ref="CK312:CM312"/>
    <mergeCell ref="CN312:CP312"/>
    <mergeCell ref="CE311:CG311"/>
    <mergeCell ref="E313:I313"/>
    <mergeCell ref="J313:L313"/>
    <mergeCell ref="M313:O313"/>
    <mergeCell ref="P313:R313"/>
    <mergeCell ref="S313:U313"/>
    <mergeCell ref="V313:X313"/>
    <mergeCell ref="BM312:BO312"/>
    <mergeCell ref="BP312:BR312"/>
    <mergeCell ref="BS312:BU312"/>
    <mergeCell ref="BV312:BX312"/>
    <mergeCell ref="BY312:CA312"/>
    <mergeCell ref="CB312:CD312"/>
    <mergeCell ref="AQ312:AW312"/>
    <mergeCell ref="AX312:AZ312"/>
    <mergeCell ref="BA312:BC312"/>
    <mergeCell ref="BD312:BF312"/>
    <mergeCell ref="BG312:BI312"/>
    <mergeCell ref="BJ312:BL312"/>
    <mergeCell ref="Y312:AA312"/>
    <mergeCell ref="AB312:AD312"/>
    <mergeCell ref="AE312:AG312"/>
    <mergeCell ref="AH312:AJ312"/>
    <mergeCell ref="AK312:AM312"/>
    <mergeCell ref="AN312:AP312"/>
    <mergeCell ref="CH311:CJ311"/>
    <mergeCell ref="CK311:CM311"/>
    <mergeCell ref="CN311:CP311"/>
    <mergeCell ref="E312:I312"/>
    <mergeCell ref="J312:L312"/>
    <mergeCell ref="M312:O312"/>
    <mergeCell ref="P312:R312"/>
    <mergeCell ref="S312:U312"/>
    <mergeCell ref="V312:X312"/>
    <mergeCell ref="BM311:BO311"/>
    <mergeCell ref="BP311:BR311"/>
    <mergeCell ref="BS311:BU311"/>
    <mergeCell ref="BV311:BX311"/>
    <mergeCell ref="BY311:CA311"/>
    <mergeCell ref="CB311:CD311"/>
    <mergeCell ref="AQ311:AW311"/>
    <mergeCell ref="AX311:AZ311"/>
    <mergeCell ref="BA311:BC311"/>
    <mergeCell ref="BD311:BF311"/>
    <mergeCell ref="BG311:BI311"/>
    <mergeCell ref="BJ311:BL311"/>
    <mergeCell ref="Y311:AA311"/>
    <mergeCell ref="AB311:AD311"/>
    <mergeCell ref="AE311:AG311"/>
    <mergeCell ref="AH311:AJ311"/>
    <mergeCell ref="AK311:AM311"/>
    <mergeCell ref="AN311:AP311"/>
    <mergeCell ref="E311:I311"/>
    <mergeCell ref="J311:L311"/>
    <mergeCell ref="M311:O311"/>
    <mergeCell ref="P311:R311"/>
    <mergeCell ref="S311:U311"/>
    <mergeCell ref="V311:X311"/>
    <mergeCell ref="BM310:BO310"/>
    <mergeCell ref="BP310:BR310"/>
    <mergeCell ref="BS310:BU310"/>
    <mergeCell ref="BV310:BX310"/>
    <mergeCell ref="BY310:CA310"/>
    <mergeCell ref="CB310:CD310"/>
    <mergeCell ref="AQ310:AW310"/>
    <mergeCell ref="AX310:AZ310"/>
    <mergeCell ref="BA310:BC310"/>
    <mergeCell ref="BD310:BF310"/>
    <mergeCell ref="BG310:BI310"/>
    <mergeCell ref="BJ310:BL310"/>
    <mergeCell ref="Y310:AA310"/>
    <mergeCell ref="AB310:AD310"/>
    <mergeCell ref="AE310:AG310"/>
    <mergeCell ref="AH310:AJ310"/>
    <mergeCell ref="AK310:AM310"/>
    <mergeCell ref="AN310:AP310"/>
    <mergeCell ref="CE309:CG309"/>
    <mergeCell ref="CH309:CJ309"/>
    <mergeCell ref="CK309:CM309"/>
    <mergeCell ref="CN309:CP309"/>
    <mergeCell ref="E310:I310"/>
    <mergeCell ref="J310:L310"/>
    <mergeCell ref="M310:O310"/>
    <mergeCell ref="P310:R310"/>
    <mergeCell ref="S310:U310"/>
    <mergeCell ref="V310:X310"/>
    <mergeCell ref="BM309:BO309"/>
    <mergeCell ref="BP309:BR309"/>
    <mergeCell ref="BS309:BU309"/>
    <mergeCell ref="BV309:BX309"/>
    <mergeCell ref="BY309:CA309"/>
    <mergeCell ref="CB309:CD309"/>
    <mergeCell ref="AQ309:AW309"/>
    <mergeCell ref="AX309:AZ309"/>
    <mergeCell ref="BA309:BC309"/>
    <mergeCell ref="BD309:BF309"/>
    <mergeCell ref="BG309:BI309"/>
    <mergeCell ref="BJ309:BL309"/>
    <mergeCell ref="Y309:AA309"/>
    <mergeCell ref="AB309:AD309"/>
    <mergeCell ref="AE309:AG309"/>
    <mergeCell ref="AH309:AJ309"/>
    <mergeCell ref="AK309:AM309"/>
    <mergeCell ref="AN309:AP309"/>
    <mergeCell ref="CE310:CG310"/>
    <mergeCell ref="CH310:CJ310"/>
    <mergeCell ref="CK310:CM310"/>
    <mergeCell ref="CN310:CP310"/>
    <mergeCell ref="E309:I309"/>
    <mergeCell ref="J309:L309"/>
    <mergeCell ref="M309:O309"/>
    <mergeCell ref="P309:R309"/>
    <mergeCell ref="S309:U309"/>
    <mergeCell ref="V309:X309"/>
    <mergeCell ref="BM308:BO308"/>
    <mergeCell ref="BP308:BR308"/>
    <mergeCell ref="BS308:BU308"/>
    <mergeCell ref="BV308:BX308"/>
    <mergeCell ref="BY308:CA308"/>
    <mergeCell ref="CB308:CD308"/>
    <mergeCell ref="AQ308:AW308"/>
    <mergeCell ref="AX308:AZ308"/>
    <mergeCell ref="BA308:BC308"/>
    <mergeCell ref="BD308:BF308"/>
    <mergeCell ref="BG308:BI308"/>
    <mergeCell ref="BJ308:BL308"/>
    <mergeCell ref="Y308:AA308"/>
    <mergeCell ref="AB308:AD308"/>
    <mergeCell ref="AE308:AG308"/>
    <mergeCell ref="AH308:AJ308"/>
    <mergeCell ref="AK308:AM308"/>
    <mergeCell ref="AN308:AP308"/>
    <mergeCell ref="CE307:CG307"/>
    <mergeCell ref="CH307:CJ307"/>
    <mergeCell ref="CK307:CM307"/>
    <mergeCell ref="CN307:CP307"/>
    <mergeCell ref="E308:I308"/>
    <mergeCell ref="J308:L308"/>
    <mergeCell ref="M308:O308"/>
    <mergeCell ref="P308:R308"/>
    <mergeCell ref="S308:U308"/>
    <mergeCell ref="V308:X308"/>
    <mergeCell ref="BM307:BO307"/>
    <mergeCell ref="BP307:BR307"/>
    <mergeCell ref="BS307:BU307"/>
    <mergeCell ref="BV307:BX307"/>
    <mergeCell ref="BY307:CA307"/>
    <mergeCell ref="CB307:CD307"/>
    <mergeCell ref="AQ307:AW307"/>
    <mergeCell ref="AX307:AZ307"/>
    <mergeCell ref="BA307:BC307"/>
    <mergeCell ref="BD307:BF307"/>
    <mergeCell ref="BG307:BI307"/>
    <mergeCell ref="BJ307:BL307"/>
    <mergeCell ref="Y307:AA307"/>
    <mergeCell ref="AB307:AD307"/>
    <mergeCell ref="AE307:AG307"/>
    <mergeCell ref="AH307:AJ307"/>
    <mergeCell ref="AK307:AM307"/>
    <mergeCell ref="AN307:AP307"/>
    <mergeCell ref="CE308:CG308"/>
    <mergeCell ref="CH308:CJ308"/>
    <mergeCell ref="CK308:CM308"/>
    <mergeCell ref="CN308:CP308"/>
    <mergeCell ref="E307:I307"/>
    <mergeCell ref="J307:L307"/>
    <mergeCell ref="M307:O307"/>
    <mergeCell ref="P307:R307"/>
    <mergeCell ref="S307:U307"/>
    <mergeCell ref="V307:X307"/>
    <mergeCell ref="BM306:BO306"/>
    <mergeCell ref="BP306:BR306"/>
    <mergeCell ref="BS306:BU306"/>
    <mergeCell ref="BV306:BX306"/>
    <mergeCell ref="BY306:CA306"/>
    <mergeCell ref="CB306:CD306"/>
    <mergeCell ref="AQ306:AW306"/>
    <mergeCell ref="AX306:AZ306"/>
    <mergeCell ref="BA306:BC306"/>
    <mergeCell ref="BD306:BF306"/>
    <mergeCell ref="BG306:BI306"/>
    <mergeCell ref="BJ306:BL306"/>
    <mergeCell ref="Y306:AA306"/>
    <mergeCell ref="AB306:AD306"/>
    <mergeCell ref="AE306:AG306"/>
    <mergeCell ref="AH306:AJ306"/>
    <mergeCell ref="AK306:AM306"/>
    <mergeCell ref="AN306:AP306"/>
    <mergeCell ref="CE305:CG305"/>
    <mergeCell ref="CH305:CJ305"/>
    <mergeCell ref="CK305:CM305"/>
    <mergeCell ref="CN305:CP305"/>
    <mergeCell ref="E306:I306"/>
    <mergeCell ref="J306:L306"/>
    <mergeCell ref="M306:O306"/>
    <mergeCell ref="P306:R306"/>
    <mergeCell ref="S306:U306"/>
    <mergeCell ref="V306:X306"/>
    <mergeCell ref="BM305:BO305"/>
    <mergeCell ref="BP305:BR305"/>
    <mergeCell ref="BS305:BU305"/>
    <mergeCell ref="BV305:BX305"/>
    <mergeCell ref="BY305:CA305"/>
    <mergeCell ref="CB305:CD305"/>
    <mergeCell ref="AQ305:AW305"/>
    <mergeCell ref="AX305:AZ305"/>
    <mergeCell ref="BA305:BC305"/>
    <mergeCell ref="BD305:BF305"/>
    <mergeCell ref="BG305:BI305"/>
    <mergeCell ref="BJ305:BL305"/>
    <mergeCell ref="Y305:AA305"/>
    <mergeCell ref="AB305:AD305"/>
    <mergeCell ref="AE305:AG305"/>
    <mergeCell ref="AH305:AJ305"/>
    <mergeCell ref="AK305:AM305"/>
    <mergeCell ref="AN305:AP305"/>
    <mergeCell ref="CE306:CG306"/>
    <mergeCell ref="CH306:CJ306"/>
    <mergeCell ref="CK306:CM306"/>
    <mergeCell ref="CN306:CP306"/>
    <mergeCell ref="E305:I305"/>
    <mergeCell ref="J305:L305"/>
    <mergeCell ref="M305:O305"/>
    <mergeCell ref="P305:R305"/>
    <mergeCell ref="S305:U305"/>
    <mergeCell ref="V305:X305"/>
    <mergeCell ref="BM304:BO304"/>
    <mergeCell ref="BP304:BR304"/>
    <mergeCell ref="BS304:BU304"/>
    <mergeCell ref="BV304:BX304"/>
    <mergeCell ref="BY304:CA304"/>
    <mergeCell ref="CB304:CD304"/>
    <mergeCell ref="AQ304:AW304"/>
    <mergeCell ref="AX304:AZ304"/>
    <mergeCell ref="BA304:BC304"/>
    <mergeCell ref="BD304:BF304"/>
    <mergeCell ref="BG304:BI304"/>
    <mergeCell ref="BJ304:BL304"/>
    <mergeCell ref="Y304:AA304"/>
    <mergeCell ref="AB304:AD304"/>
    <mergeCell ref="AE304:AG304"/>
    <mergeCell ref="AH304:AJ304"/>
    <mergeCell ref="AK304:AM304"/>
    <mergeCell ref="AN304:AP304"/>
    <mergeCell ref="CE303:CG303"/>
    <mergeCell ref="CH303:CJ303"/>
    <mergeCell ref="CK303:CM303"/>
    <mergeCell ref="CN303:CP303"/>
    <mergeCell ref="E304:I304"/>
    <mergeCell ref="J304:L304"/>
    <mergeCell ref="M304:O304"/>
    <mergeCell ref="P304:R304"/>
    <mergeCell ref="S304:U304"/>
    <mergeCell ref="V304:X304"/>
    <mergeCell ref="BM303:BO303"/>
    <mergeCell ref="BP303:BR303"/>
    <mergeCell ref="BS303:BU303"/>
    <mergeCell ref="BV303:BX303"/>
    <mergeCell ref="BY303:CA303"/>
    <mergeCell ref="CB303:CD303"/>
    <mergeCell ref="AQ303:AW303"/>
    <mergeCell ref="AX303:AZ303"/>
    <mergeCell ref="BA303:BC303"/>
    <mergeCell ref="BD303:BF303"/>
    <mergeCell ref="BG303:BI303"/>
    <mergeCell ref="BJ303:BL303"/>
    <mergeCell ref="Y303:AA303"/>
    <mergeCell ref="AB303:AD303"/>
    <mergeCell ref="AE303:AG303"/>
    <mergeCell ref="AH303:AJ303"/>
    <mergeCell ref="AK303:AM303"/>
    <mergeCell ref="AN303:AP303"/>
    <mergeCell ref="CE304:CG304"/>
    <mergeCell ref="CH304:CJ304"/>
    <mergeCell ref="CK304:CM304"/>
    <mergeCell ref="CN304:CP304"/>
    <mergeCell ref="E303:I303"/>
    <mergeCell ref="J303:L303"/>
    <mergeCell ref="M303:O303"/>
    <mergeCell ref="P303:R303"/>
    <mergeCell ref="S303:U303"/>
    <mergeCell ref="V303:X303"/>
    <mergeCell ref="BM302:BO302"/>
    <mergeCell ref="BP302:BR302"/>
    <mergeCell ref="BS302:BU302"/>
    <mergeCell ref="BV302:BX302"/>
    <mergeCell ref="BY302:CA302"/>
    <mergeCell ref="CB302:CD302"/>
    <mergeCell ref="AQ302:AW302"/>
    <mergeCell ref="AX302:AZ302"/>
    <mergeCell ref="BA302:BC302"/>
    <mergeCell ref="BD302:BF302"/>
    <mergeCell ref="BG302:BI302"/>
    <mergeCell ref="BJ302:BL302"/>
    <mergeCell ref="Y302:AA302"/>
    <mergeCell ref="AB302:AD302"/>
    <mergeCell ref="AE302:AG302"/>
    <mergeCell ref="AH302:AJ302"/>
    <mergeCell ref="AK302:AM302"/>
    <mergeCell ref="AN302:AP302"/>
    <mergeCell ref="CE301:CG301"/>
    <mergeCell ref="CH301:CJ301"/>
    <mergeCell ref="CK301:CM301"/>
    <mergeCell ref="CN301:CP301"/>
    <mergeCell ref="E302:I302"/>
    <mergeCell ref="J302:L302"/>
    <mergeCell ref="M302:O302"/>
    <mergeCell ref="P302:R302"/>
    <mergeCell ref="S302:U302"/>
    <mergeCell ref="V302:X302"/>
    <mergeCell ref="BM301:BO301"/>
    <mergeCell ref="BP301:BR301"/>
    <mergeCell ref="BS301:BU301"/>
    <mergeCell ref="BV301:BX301"/>
    <mergeCell ref="BY301:CA301"/>
    <mergeCell ref="CB301:CD301"/>
    <mergeCell ref="AQ301:AW301"/>
    <mergeCell ref="AX301:AZ301"/>
    <mergeCell ref="BA301:BC301"/>
    <mergeCell ref="BD301:BF301"/>
    <mergeCell ref="BG301:BI301"/>
    <mergeCell ref="BJ301:BL301"/>
    <mergeCell ref="Y301:AA301"/>
    <mergeCell ref="AB301:AD301"/>
    <mergeCell ref="AE301:AG301"/>
    <mergeCell ref="AH301:AJ301"/>
    <mergeCell ref="AK301:AM301"/>
    <mergeCell ref="AN301:AP301"/>
    <mergeCell ref="CE302:CG302"/>
    <mergeCell ref="CH302:CJ302"/>
    <mergeCell ref="CK302:CM302"/>
    <mergeCell ref="CN302:CP302"/>
    <mergeCell ref="E301:I301"/>
    <mergeCell ref="J301:L301"/>
    <mergeCell ref="M301:O301"/>
    <mergeCell ref="P301:R301"/>
    <mergeCell ref="S301:U301"/>
    <mergeCell ref="V301:X301"/>
    <mergeCell ref="BM300:BO300"/>
    <mergeCell ref="BP300:BR300"/>
    <mergeCell ref="BS300:BU300"/>
    <mergeCell ref="BV300:BX300"/>
    <mergeCell ref="BY300:CA300"/>
    <mergeCell ref="CB300:CD300"/>
    <mergeCell ref="AQ300:AW300"/>
    <mergeCell ref="AX300:AZ300"/>
    <mergeCell ref="BA300:BC300"/>
    <mergeCell ref="BD300:BF300"/>
    <mergeCell ref="BG300:BI300"/>
    <mergeCell ref="BJ300:BL300"/>
    <mergeCell ref="Y300:AA300"/>
    <mergeCell ref="AB300:AD300"/>
    <mergeCell ref="AE300:AG300"/>
    <mergeCell ref="AH300:AJ300"/>
    <mergeCell ref="AK300:AM300"/>
    <mergeCell ref="AN300:AP300"/>
    <mergeCell ref="CE299:CG299"/>
    <mergeCell ref="CH299:CJ299"/>
    <mergeCell ref="CK299:CM299"/>
    <mergeCell ref="CN299:CP299"/>
    <mergeCell ref="E300:I300"/>
    <mergeCell ref="J300:L300"/>
    <mergeCell ref="M300:O300"/>
    <mergeCell ref="P300:R300"/>
    <mergeCell ref="S300:U300"/>
    <mergeCell ref="V300:X300"/>
    <mergeCell ref="BM299:BO299"/>
    <mergeCell ref="BP299:BR299"/>
    <mergeCell ref="BS299:BU299"/>
    <mergeCell ref="BV299:BX299"/>
    <mergeCell ref="BY299:CA299"/>
    <mergeCell ref="CB299:CD299"/>
    <mergeCell ref="AQ299:AW299"/>
    <mergeCell ref="AX299:AZ299"/>
    <mergeCell ref="BA299:BC299"/>
    <mergeCell ref="BD299:BF299"/>
    <mergeCell ref="BG299:BI299"/>
    <mergeCell ref="BJ299:BL299"/>
    <mergeCell ref="Y299:AA299"/>
    <mergeCell ref="AB299:AD299"/>
    <mergeCell ref="AE299:AG299"/>
    <mergeCell ref="AH299:AJ299"/>
    <mergeCell ref="AK299:AM299"/>
    <mergeCell ref="AN299:AP299"/>
    <mergeCell ref="CE300:CG300"/>
    <mergeCell ref="CH300:CJ300"/>
    <mergeCell ref="CK300:CM300"/>
    <mergeCell ref="CN300:CP300"/>
    <mergeCell ref="E299:I299"/>
    <mergeCell ref="J299:L299"/>
    <mergeCell ref="M299:O299"/>
    <mergeCell ref="P299:R299"/>
    <mergeCell ref="S299:U299"/>
    <mergeCell ref="V299:X299"/>
    <mergeCell ref="BM298:BO298"/>
    <mergeCell ref="BP298:BR298"/>
    <mergeCell ref="BS298:BU298"/>
    <mergeCell ref="BV298:BX298"/>
    <mergeCell ref="BY298:CA298"/>
    <mergeCell ref="CB298:CD298"/>
    <mergeCell ref="AQ298:AW298"/>
    <mergeCell ref="AX298:AZ298"/>
    <mergeCell ref="BA298:BC298"/>
    <mergeCell ref="BD298:BF298"/>
    <mergeCell ref="BG298:BI298"/>
    <mergeCell ref="BJ298:BL298"/>
    <mergeCell ref="Y298:AA298"/>
    <mergeCell ref="AB298:AD298"/>
    <mergeCell ref="AE298:AG298"/>
    <mergeCell ref="AH298:AJ298"/>
    <mergeCell ref="AK298:AM298"/>
    <mergeCell ref="AN298:AP298"/>
    <mergeCell ref="CE297:CG297"/>
    <mergeCell ref="CH297:CJ297"/>
    <mergeCell ref="CK297:CM297"/>
    <mergeCell ref="CN297:CP297"/>
    <mergeCell ref="E298:I298"/>
    <mergeCell ref="J298:L298"/>
    <mergeCell ref="M298:O298"/>
    <mergeCell ref="P298:R298"/>
    <mergeCell ref="S298:U298"/>
    <mergeCell ref="V298:X298"/>
    <mergeCell ref="BM297:BO297"/>
    <mergeCell ref="BP297:BR297"/>
    <mergeCell ref="BS297:BU297"/>
    <mergeCell ref="BV297:BX297"/>
    <mergeCell ref="BY297:CA297"/>
    <mergeCell ref="CB297:CD297"/>
    <mergeCell ref="AQ297:AW297"/>
    <mergeCell ref="AX297:AZ297"/>
    <mergeCell ref="BA297:BC297"/>
    <mergeCell ref="BD297:BF297"/>
    <mergeCell ref="BG297:BI297"/>
    <mergeCell ref="BJ297:BL297"/>
    <mergeCell ref="Y297:AA297"/>
    <mergeCell ref="AB297:AD297"/>
    <mergeCell ref="AE297:AG297"/>
    <mergeCell ref="AH297:AJ297"/>
    <mergeCell ref="AK297:AM297"/>
    <mergeCell ref="AN297:AP297"/>
    <mergeCell ref="CE298:CG298"/>
    <mergeCell ref="CH298:CJ298"/>
    <mergeCell ref="CK298:CM298"/>
    <mergeCell ref="CN298:CP298"/>
    <mergeCell ref="E297:I297"/>
    <mergeCell ref="J297:L297"/>
    <mergeCell ref="M297:O297"/>
    <mergeCell ref="P297:R297"/>
    <mergeCell ref="S297:U297"/>
    <mergeCell ref="V297:X297"/>
    <mergeCell ref="BM296:BO296"/>
    <mergeCell ref="BP296:BR296"/>
    <mergeCell ref="BS296:BU296"/>
    <mergeCell ref="BV296:BX296"/>
    <mergeCell ref="BY296:CA296"/>
    <mergeCell ref="CB296:CD296"/>
    <mergeCell ref="AQ296:AW296"/>
    <mergeCell ref="AX296:AZ296"/>
    <mergeCell ref="BA296:BC296"/>
    <mergeCell ref="BD296:BF296"/>
    <mergeCell ref="BG296:BI296"/>
    <mergeCell ref="BJ296:BL296"/>
    <mergeCell ref="Y296:AA296"/>
    <mergeCell ref="AB296:AD296"/>
    <mergeCell ref="AE296:AG296"/>
    <mergeCell ref="AH296:AJ296"/>
    <mergeCell ref="AK296:AM296"/>
    <mergeCell ref="AN296:AP296"/>
    <mergeCell ref="CE295:CG295"/>
    <mergeCell ref="CH295:CJ295"/>
    <mergeCell ref="CK295:CM295"/>
    <mergeCell ref="CN295:CP295"/>
    <mergeCell ref="E296:I296"/>
    <mergeCell ref="J296:L296"/>
    <mergeCell ref="M296:O296"/>
    <mergeCell ref="P296:R296"/>
    <mergeCell ref="S296:U296"/>
    <mergeCell ref="V296:X296"/>
    <mergeCell ref="BM295:BO295"/>
    <mergeCell ref="BP295:BR295"/>
    <mergeCell ref="BS295:BU295"/>
    <mergeCell ref="BV295:BX295"/>
    <mergeCell ref="BY295:CA295"/>
    <mergeCell ref="CB295:CD295"/>
    <mergeCell ref="AQ295:AW295"/>
    <mergeCell ref="AX295:AZ295"/>
    <mergeCell ref="BA295:BC295"/>
    <mergeCell ref="BD295:BF295"/>
    <mergeCell ref="BG295:BI295"/>
    <mergeCell ref="BJ295:BL295"/>
    <mergeCell ref="Y295:AA295"/>
    <mergeCell ref="AB295:AD295"/>
    <mergeCell ref="AE295:AG295"/>
    <mergeCell ref="AH295:AJ295"/>
    <mergeCell ref="AK295:AM295"/>
    <mergeCell ref="AN295:AP295"/>
    <mergeCell ref="CE296:CG296"/>
    <mergeCell ref="CH296:CJ296"/>
    <mergeCell ref="CK296:CM296"/>
    <mergeCell ref="CN296:CP296"/>
    <mergeCell ref="E295:I295"/>
    <mergeCell ref="J295:L295"/>
    <mergeCell ref="M295:O295"/>
    <mergeCell ref="P295:R295"/>
    <mergeCell ref="S295:U295"/>
    <mergeCell ref="V295:X295"/>
    <mergeCell ref="BM294:BO294"/>
    <mergeCell ref="BP294:BR294"/>
    <mergeCell ref="BS294:BU294"/>
    <mergeCell ref="BV294:BX294"/>
    <mergeCell ref="BY294:CA294"/>
    <mergeCell ref="CB294:CD294"/>
    <mergeCell ref="AQ294:AW294"/>
    <mergeCell ref="AX294:AZ294"/>
    <mergeCell ref="BA294:BC294"/>
    <mergeCell ref="BD294:BF294"/>
    <mergeCell ref="BG294:BI294"/>
    <mergeCell ref="BJ294:BL294"/>
    <mergeCell ref="Y294:AA294"/>
    <mergeCell ref="AB294:AD294"/>
    <mergeCell ref="AE294:AG294"/>
    <mergeCell ref="AH294:AJ294"/>
    <mergeCell ref="AK294:AM294"/>
    <mergeCell ref="AN294:AP294"/>
    <mergeCell ref="CE293:CG293"/>
    <mergeCell ref="CH293:CJ293"/>
    <mergeCell ref="CK293:CM293"/>
    <mergeCell ref="CN293:CP293"/>
    <mergeCell ref="E294:I294"/>
    <mergeCell ref="J294:L294"/>
    <mergeCell ref="M294:O294"/>
    <mergeCell ref="P294:R294"/>
    <mergeCell ref="S294:U294"/>
    <mergeCell ref="V294:X294"/>
    <mergeCell ref="BM293:BO293"/>
    <mergeCell ref="BP293:BR293"/>
    <mergeCell ref="BS293:BU293"/>
    <mergeCell ref="BV293:BX293"/>
    <mergeCell ref="BY293:CA293"/>
    <mergeCell ref="CB293:CD293"/>
    <mergeCell ref="AQ293:AW293"/>
    <mergeCell ref="AX293:AZ293"/>
    <mergeCell ref="BA293:BC293"/>
    <mergeCell ref="BD293:BF293"/>
    <mergeCell ref="BG293:BI293"/>
    <mergeCell ref="BJ293:BL293"/>
    <mergeCell ref="Y293:AA293"/>
    <mergeCell ref="AB293:AD293"/>
    <mergeCell ref="AE293:AG293"/>
    <mergeCell ref="AH293:AJ293"/>
    <mergeCell ref="AK293:AM293"/>
    <mergeCell ref="AN293:AP293"/>
    <mergeCell ref="CE294:CG294"/>
    <mergeCell ref="CH294:CJ294"/>
    <mergeCell ref="CK294:CM294"/>
    <mergeCell ref="CN294:CP294"/>
    <mergeCell ref="BP292:BR292"/>
    <mergeCell ref="BS292:BU292"/>
    <mergeCell ref="BV292:BX292"/>
    <mergeCell ref="BY292:CA292"/>
    <mergeCell ref="CB292:CD292"/>
    <mergeCell ref="AQ292:AW292"/>
    <mergeCell ref="AX292:AZ292"/>
    <mergeCell ref="BA292:BC292"/>
    <mergeCell ref="BD292:BF292"/>
    <mergeCell ref="BG292:BI292"/>
    <mergeCell ref="BJ292:BL292"/>
    <mergeCell ref="Y292:AA292"/>
    <mergeCell ref="AB292:AD292"/>
    <mergeCell ref="AE292:AG292"/>
    <mergeCell ref="AH292:AJ292"/>
    <mergeCell ref="AK292:AM292"/>
    <mergeCell ref="AN292:AP292"/>
    <mergeCell ref="CH291:CJ291"/>
    <mergeCell ref="CK291:CM291"/>
    <mergeCell ref="CN291:CP291"/>
    <mergeCell ref="E292:I292"/>
    <mergeCell ref="J292:L292"/>
    <mergeCell ref="M292:O292"/>
    <mergeCell ref="P292:R292"/>
    <mergeCell ref="S292:U292"/>
    <mergeCell ref="V292:X292"/>
    <mergeCell ref="BM291:BO291"/>
    <mergeCell ref="BP291:BR291"/>
    <mergeCell ref="BS291:BU291"/>
    <mergeCell ref="BV291:BX291"/>
    <mergeCell ref="BY291:CA291"/>
    <mergeCell ref="CB291:CD291"/>
    <mergeCell ref="AQ291:AW291"/>
    <mergeCell ref="AX291:AZ291"/>
    <mergeCell ref="BA291:BC291"/>
    <mergeCell ref="BD291:BF291"/>
    <mergeCell ref="BG291:BI291"/>
    <mergeCell ref="BJ291:BL291"/>
    <mergeCell ref="Y291:AA291"/>
    <mergeCell ref="AB291:AD291"/>
    <mergeCell ref="AE291:AG291"/>
    <mergeCell ref="AH291:AJ291"/>
    <mergeCell ref="AK291:AM291"/>
    <mergeCell ref="AN291:AP291"/>
    <mergeCell ref="CE292:CG292"/>
    <mergeCell ref="CH292:CJ292"/>
    <mergeCell ref="CK292:CM292"/>
    <mergeCell ref="CN292:CP292"/>
    <mergeCell ref="BM292:BO292"/>
    <mergeCell ref="B291:D312"/>
    <mergeCell ref="E291:I291"/>
    <mergeCell ref="J291:L291"/>
    <mergeCell ref="M291:O291"/>
    <mergeCell ref="P291:R291"/>
    <mergeCell ref="S291:U291"/>
    <mergeCell ref="V291:X291"/>
    <mergeCell ref="BP290:BR290"/>
    <mergeCell ref="BS290:BU290"/>
    <mergeCell ref="BV290:BX290"/>
    <mergeCell ref="BY290:CA290"/>
    <mergeCell ref="CB290:CD290"/>
    <mergeCell ref="CE290:CG290"/>
    <mergeCell ref="AX290:AZ290"/>
    <mergeCell ref="BA290:BC290"/>
    <mergeCell ref="BD290:BF290"/>
    <mergeCell ref="BG290:BI290"/>
    <mergeCell ref="BJ290:BL290"/>
    <mergeCell ref="BM290:BO290"/>
    <mergeCell ref="AB290:AD290"/>
    <mergeCell ref="AE290:AG290"/>
    <mergeCell ref="AH290:AJ290"/>
    <mergeCell ref="AK290:AM290"/>
    <mergeCell ref="AN290:AP290"/>
    <mergeCell ref="AQ290:AW290"/>
    <mergeCell ref="CE291:CG291"/>
    <mergeCell ref="E293:I293"/>
    <mergeCell ref="J293:L293"/>
    <mergeCell ref="M293:O293"/>
    <mergeCell ref="P293:R293"/>
    <mergeCell ref="S293:U293"/>
    <mergeCell ref="V293:X293"/>
    <mergeCell ref="CH289:CP289"/>
    <mergeCell ref="M290:O290"/>
    <mergeCell ref="P290:R290"/>
    <mergeCell ref="S290:U290"/>
    <mergeCell ref="V290:X290"/>
    <mergeCell ref="Y290:AA290"/>
    <mergeCell ref="BS288:BU288"/>
    <mergeCell ref="BV288:BX288"/>
    <mergeCell ref="BY288:CA288"/>
    <mergeCell ref="CB288:CD288"/>
    <mergeCell ref="CE288:CG288"/>
    <mergeCell ref="CH288:CJ288"/>
    <mergeCell ref="BA288:BC288"/>
    <mergeCell ref="BD288:BF288"/>
    <mergeCell ref="BG288:BI288"/>
    <mergeCell ref="BJ288:BL288"/>
    <mergeCell ref="BM288:BO288"/>
    <mergeCell ref="BP288:BR288"/>
    <mergeCell ref="AE288:AG288"/>
    <mergeCell ref="AH288:AJ288"/>
    <mergeCell ref="AK288:AM288"/>
    <mergeCell ref="AN288:AP288"/>
    <mergeCell ref="AQ288:AW288"/>
    <mergeCell ref="AX288:AZ288"/>
    <mergeCell ref="CH290:CJ290"/>
    <mergeCell ref="CK290:CM290"/>
    <mergeCell ref="CN290:CP290"/>
    <mergeCell ref="CE284:CG284"/>
    <mergeCell ref="CH284:CJ284"/>
    <mergeCell ref="CK284:CM284"/>
    <mergeCell ref="CN284:CP284"/>
    <mergeCell ref="B288:D290"/>
    <mergeCell ref="E288:I290"/>
    <mergeCell ref="J288:L290"/>
    <mergeCell ref="M288:X289"/>
    <mergeCell ref="Y288:AA288"/>
    <mergeCell ref="AB288:AD288"/>
    <mergeCell ref="BM284:BO284"/>
    <mergeCell ref="BP284:BR284"/>
    <mergeCell ref="BS284:BU284"/>
    <mergeCell ref="BV284:BX284"/>
    <mergeCell ref="BY284:CA284"/>
    <mergeCell ref="CB284:CD284"/>
    <mergeCell ref="AQ284:AW284"/>
    <mergeCell ref="AX284:AZ284"/>
    <mergeCell ref="BA284:BC284"/>
    <mergeCell ref="BD284:BF284"/>
    <mergeCell ref="BG284:BI284"/>
    <mergeCell ref="BJ284:BL284"/>
    <mergeCell ref="Y284:AA284"/>
    <mergeCell ref="AB284:AD284"/>
    <mergeCell ref="AE284:AG284"/>
    <mergeCell ref="AH284:AJ284"/>
    <mergeCell ref="AK284:AM284"/>
    <mergeCell ref="AN284:AP284"/>
    <mergeCell ref="CK288:CM288"/>
    <mergeCell ref="CN288:CP288"/>
    <mergeCell ref="Y289:AW289"/>
    <mergeCell ref="AX289:CG289"/>
    <mergeCell ref="E284:I284"/>
    <mergeCell ref="J284:L284"/>
    <mergeCell ref="M284:O284"/>
    <mergeCell ref="P284:R284"/>
    <mergeCell ref="S284:U284"/>
    <mergeCell ref="V284:X284"/>
    <mergeCell ref="BM283:BO283"/>
    <mergeCell ref="BP283:BR283"/>
    <mergeCell ref="BS283:BU283"/>
    <mergeCell ref="BV283:BX283"/>
    <mergeCell ref="BY283:CA283"/>
    <mergeCell ref="CB283:CD283"/>
    <mergeCell ref="AQ283:AW283"/>
    <mergeCell ref="AX283:AZ283"/>
    <mergeCell ref="BA283:BC283"/>
    <mergeCell ref="BD283:BF283"/>
    <mergeCell ref="BG283:BI283"/>
    <mergeCell ref="BJ283:BL283"/>
    <mergeCell ref="Y283:AA283"/>
    <mergeCell ref="AB283:AD283"/>
    <mergeCell ref="AE283:AG283"/>
    <mergeCell ref="AH283:AJ283"/>
    <mergeCell ref="AK283:AM283"/>
    <mergeCell ref="AN283:AP283"/>
    <mergeCell ref="CE282:CG282"/>
    <mergeCell ref="CH282:CJ282"/>
    <mergeCell ref="CK282:CM282"/>
    <mergeCell ref="CN282:CP282"/>
    <mergeCell ref="E283:I283"/>
    <mergeCell ref="J283:L283"/>
    <mergeCell ref="M283:O283"/>
    <mergeCell ref="P283:R283"/>
    <mergeCell ref="S283:U283"/>
    <mergeCell ref="V283:X283"/>
    <mergeCell ref="BM282:BO282"/>
    <mergeCell ref="BP282:BR282"/>
    <mergeCell ref="BS282:BU282"/>
    <mergeCell ref="BV282:BX282"/>
    <mergeCell ref="BY282:CA282"/>
    <mergeCell ref="CB282:CD282"/>
    <mergeCell ref="AQ282:AW282"/>
    <mergeCell ref="AX282:AZ282"/>
    <mergeCell ref="BA282:BC282"/>
    <mergeCell ref="BD282:BF282"/>
    <mergeCell ref="BG282:BI282"/>
    <mergeCell ref="BJ282:BL282"/>
    <mergeCell ref="Y282:AA282"/>
    <mergeCell ref="AB282:AD282"/>
    <mergeCell ref="AE282:AG282"/>
    <mergeCell ref="AH282:AJ282"/>
    <mergeCell ref="AK282:AM282"/>
    <mergeCell ref="AN282:AP282"/>
    <mergeCell ref="CE283:CG283"/>
    <mergeCell ref="CH283:CJ283"/>
    <mergeCell ref="CK283:CM283"/>
    <mergeCell ref="CN283:CP283"/>
    <mergeCell ref="E282:I282"/>
    <mergeCell ref="J282:L282"/>
    <mergeCell ref="M282:O282"/>
    <mergeCell ref="P282:R282"/>
    <mergeCell ref="S282:U282"/>
    <mergeCell ref="V282:X282"/>
    <mergeCell ref="BM281:BO281"/>
    <mergeCell ref="BP281:BR281"/>
    <mergeCell ref="BS281:BU281"/>
    <mergeCell ref="BV281:BX281"/>
    <mergeCell ref="BY281:CA281"/>
    <mergeCell ref="CB281:CD281"/>
    <mergeCell ref="AQ281:AW281"/>
    <mergeCell ref="AX281:AZ281"/>
    <mergeCell ref="BA281:BC281"/>
    <mergeCell ref="BD281:BF281"/>
    <mergeCell ref="BG281:BI281"/>
    <mergeCell ref="BJ281:BL281"/>
    <mergeCell ref="Y281:AA281"/>
    <mergeCell ref="AB281:AD281"/>
    <mergeCell ref="AE281:AG281"/>
    <mergeCell ref="AH281:AJ281"/>
    <mergeCell ref="AK281:AM281"/>
    <mergeCell ref="AN281:AP281"/>
    <mergeCell ref="CE280:CG280"/>
    <mergeCell ref="CH280:CJ280"/>
    <mergeCell ref="CK280:CM280"/>
    <mergeCell ref="CN280:CP280"/>
    <mergeCell ref="E281:I281"/>
    <mergeCell ref="J281:L281"/>
    <mergeCell ref="M281:O281"/>
    <mergeCell ref="P281:R281"/>
    <mergeCell ref="S281:U281"/>
    <mergeCell ref="V281:X281"/>
    <mergeCell ref="BM280:BO280"/>
    <mergeCell ref="BP280:BR280"/>
    <mergeCell ref="BS280:BU280"/>
    <mergeCell ref="BV280:BX280"/>
    <mergeCell ref="BY280:CA280"/>
    <mergeCell ref="CB280:CD280"/>
    <mergeCell ref="AQ280:AW280"/>
    <mergeCell ref="AX280:AZ280"/>
    <mergeCell ref="BA280:BC280"/>
    <mergeCell ref="BD280:BF280"/>
    <mergeCell ref="BG280:BI280"/>
    <mergeCell ref="BJ280:BL280"/>
    <mergeCell ref="Y280:AA280"/>
    <mergeCell ref="AB280:AD280"/>
    <mergeCell ref="AE280:AG280"/>
    <mergeCell ref="AH280:AJ280"/>
    <mergeCell ref="AK280:AM280"/>
    <mergeCell ref="AN280:AP280"/>
    <mergeCell ref="CE281:CG281"/>
    <mergeCell ref="CH281:CJ281"/>
    <mergeCell ref="CK281:CM281"/>
    <mergeCell ref="CN281:CP281"/>
    <mergeCell ref="E280:I280"/>
    <mergeCell ref="J280:L280"/>
    <mergeCell ref="M280:O280"/>
    <mergeCell ref="P280:R280"/>
    <mergeCell ref="S280:U280"/>
    <mergeCell ref="V280:X280"/>
    <mergeCell ref="BM279:BO279"/>
    <mergeCell ref="BP279:BR279"/>
    <mergeCell ref="BS279:BU279"/>
    <mergeCell ref="BV279:BX279"/>
    <mergeCell ref="BY279:CA279"/>
    <mergeCell ref="CB279:CD279"/>
    <mergeCell ref="AQ279:AW279"/>
    <mergeCell ref="AX279:AZ279"/>
    <mergeCell ref="BA279:BC279"/>
    <mergeCell ref="BD279:BF279"/>
    <mergeCell ref="BG279:BI279"/>
    <mergeCell ref="BJ279:BL279"/>
    <mergeCell ref="Y279:AA279"/>
    <mergeCell ref="AB279:AD279"/>
    <mergeCell ref="AE279:AG279"/>
    <mergeCell ref="AH279:AJ279"/>
    <mergeCell ref="AK279:AM279"/>
    <mergeCell ref="AN279:AP279"/>
    <mergeCell ref="CE278:CG278"/>
    <mergeCell ref="CH278:CJ278"/>
    <mergeCell ref="CK278:CM278"/>
    <mergeCell ref="CN278:CP278"/>
    <mergeCell ref="E279:I279"/>
    <mergeCell ref="J279:L279"/>
    <mergeCell ref="M279:O279"/>
    <mergeCell ref="P279:R279"/>
    <mergeCell ref="S279:U279"/>
    <mergeCell ref="V279:X279"/>
    <mergeCell ref="BM278:BO278"/>
    <mergeCell ref="BP278:BR278"/>
    <mergeCell ref="BS278:BU278"/>
    <mergeCell ref="BV278:BX278"/>
    <mergeCell ref="BY278:CA278"/>
    <mergeCell ref="CB278:CD278"/>
    <mergeCell ref="AQ278:AW278"/>
    <mergeCell ref="AX278:AZ278"/>
    <mergeCell ref="BA278:BC278"/>
    <mergeCell ref="BD278:BF278"/>
    <mergeCell ref="BG278:BI278"/>
    <mergeCell ref="BJ278:BL278"/>
    <mergeCell ref="Y278:AA278"/>
    <mergeCell ref="AB278:AD278"/>
    <mergeCell ref="AE278:AG278"/>
    <mergeCell ref="AH278:AJ278"/>
    <mergeCell ref="AK278:AM278"/>
    <mergeCell ref="AN278:AP278"/>
    <mergeCell ref="CE279:CG279"/>
    <mergeCell ref="CH279:CJ279"/>
    <mergeCell ref="CK279:CM279"/>
    <mergeCell ref="CN279:CP279"/>
    <mergeCell ref="E278:I278"/>
    <mergeCell ref="J278:L278"/>
    <mergeCell ref="M278:O278"/>
    <mergeCell ref="P278:R278"/>
    <mergeCell ref="S278:U278"/>
    <mergeCell ref="V278:X278"/>
    <mergeCell ref="BM277:BO277"/>
    <mergeCell ref="BP277:BR277"/>
    <mergeCell ref="BS277:BU277"/>
    <mergeCell ref="BV277:BX277"/>
    <mergeCell ref="BY277:CA277"/>
    <mergeCell ref="CB277:CD277"/>
    <mergeCell ref="AQ277:AW277"/>
    <mergeCell ref="AX277:AZ277"/>
    <mergeCell ref="BA277:BC277"/>
    <mergeCell ref="BD277:BF277"/>
    <mergeCell ref="BG277:BI277"/>
    <mergeCell ref="BJ277:BL277"/>
    <mergeCell ref="Y277:AA277"/>
    <mergeCell ref="AB277:AD277"/>
    <mergeCell ref="AE277:AG277"/>
    <mergeCell ref="AH277:AJ277"/>
    <mergeCell ref="AK277:AM277"/>
    <mergeCell ref="AN277:AP277"/>
    <mergeCell ref="CE276:CG276"/>
    <mergeCell ref="CH276:CJ276"/>
    <mergeCell ref="CK276:CM276"/>
    <mergeCell ref="CN276:CP276"/>
    <mergeCell ref="E277:I277"/>
    <mergeCell ref="J277:L277"/>
    <mergeCell ref="M277:O277"/>
    <mergeCell ref="P277:R277"/>
    <mergeCell ref="S277:U277"/>
    <mergeCell ref="V277:X277"/>
    <mergeCell ref="BM276:BO276"/>
    <mergeCell ref="BP276:BR276"/>
    <mergeCell ref="BS276:BU276"/>
    <mergeCell ref="BV276:BX276"/>
    <mergeCell ref="BY276:CA276"/>
    <mergeCell ref="CB276:CD276"/>
    <mergeCell ref="AQ276:AW276"/>
    <mergeCell ref="AX276:AZ276"/>
    <mergeCell ref="BA276:BC276"/>
    <mergeCell ref="BD276:BF276"/>
    <mergeCell ref="BG276:BI276"/>
    <mergeCell ref="BJ276:BL276"/>
    <mergeCell ref="Y276:AA276"/>
    <mergeCell ref="AB276:AD276"/>
    <mergeCell ref="AE276:AG276"/>
    <mergeCell ref="AH276:AJ276"/>
    <mergeCell ref="AK276:AM276"/>
    <mergeCell ref="AN276:AP276"/>
    <mergeCell ref="CE277:CG277"/>
    <mergeCell ref="CH277:CJ277"/>
    <mergeCell ref="CK277:CM277"/>
    <mergeCell ref="CN277:CP277"/>
    <mergeCell ref="E276:I276"/>
    <mergeCell ref="J276:L276"/>
    <mergeCell ref="M276:O276"/>
    <mergeCell ref="P276:R276"/>
    <mergeCell ref="S276:U276"/>
    <mergeCell ref="V276:X276"/>
    <mergeCell ref="BM275:BO275"/>
    <mergeCell ref="BP275:BR275"/>
    <mergeCell ref="BS275:BU275"/>
    <mergeCell ref="BV275:BX275"/>
    <mergeCell ref="BY275:CA275"/>
    <mergeCell ref="CB275:CD275"/>
    <mergeCell ref="AQ275:AW275"/>
    <mergeCell ref="AX275:AZ275"/>
    <mergeCell ref="BA275:BC275"/>
    <mergeCell ref="BD275:BF275"/>
    <mergeCell ref="BG275:BI275"/>
    <mergeCell ref="BJ275:BL275"/>
    <mergeCell ref="Y275:AA275"/>
    <mergeCell ref="AB275:AD275"/>
    <mergeCell ref="AE275:AG275"/>
    <mergeCell ref="AH275:AJ275"/>
    <mergeCell ref="AK275:AM275"/>
    <mergeCell ref="AN275:AP275"/>
    <mergeCell ref="CE274:CG274"/>
    <mergeCell ref="CH274:CJ274"/>
    <mergeCell ref="CK274:CM274"/>
    <mergeCell ref="CN274:CP274"/>
    <mergeCell ref="E275:I275"/>
    <mergeCell ref="J275:L275"/>
    <mergeCell ref="M275:O275"/>
    <mergeCell ref="P275:R275"/>
    <mergeCell ref="S275:U275"/>
    <mergeCell ref="V275:X275"/>
    <mergeCell ref="BM274:BO274"/>
    <mergeCell ref="BP274:BR274"/>
    <mergeCell ref="BS274:BU274"/>
    <mergeCell ref="BV274:BX274"/>
    <mergeCell ref="BY274:CA274"/>
    <mergeCell ref="CB274:CD274"/>
    <mergeCell ref="AQ274:AW274"/>
    <mergeCell ref="AX274:AZ274"/>
    <mergeCell ref="BA274:BC274"/>
    <mergeCell ref="BD274:BF274"/>
    <mergeCell ref="BG274:BI274"/>
    <mergeCell ref="BJ274:BL274"/>
    <mergeCell ref="Y274:AA274"/>
    <mergeCell ref="AB274:AD274"/>
    <mergeCell ref="AE274:AG274"/>
    <mergeCell ref="AH274:AJ274"/>
    <mergeCell ref="AK274:AM274"/>
    <mergeCell ref="AN274:AP274"/>
    <mergeCell ref="CE275:CG275"/>
    <mergeCell ref="CH275:CJ275"/>
    <mergeCell ref="CK275:CM275"/>
    <mergeCell ref="CN275:CP275"/>
    <mergeCell ref="E274:I274"/>
    <mergeCell ref="J274:L274"/>
    <mergeCell ref="M274:O274"/>
    <mergeCell ref="P274:R274"/>
    <mergeCell ref="S274:U274"/>
    <mergeCell ref="V274:X274"/>
    <mergeCell ref="BM273:BO273"/>
    <mergeCell ref="BP273:BR273"/>
    <mergeCell ref="BS273:BU273"/>
    <mergeCell ref="BV273:BX273"/>
    <mergeCell ref="BY273:CA273"/>
    <mergeCell ref="CB273:CD273"/>
    <mergeCell ref="AQ273:AW273"/>
    <mergeCell ref="AX273:AZ273"/>
    <mergeCell ref="BA273:BC273"/>
    <mergeCell ref="BD273:BF273"/>
    <mergeCell ref="BG273:BI273"/>
    <mergeCell ref="BJ273:BL273"/>
    <mergeCell ref="Y273:AA273"/>
    <mergeCell ref="AB273:AD273"/>
    <mergeCell ref="AE273:AG273"/>
    <mergeCell ref="AH273:AJ273"/>
    <mergeCell ref="AK273:AM273"/>
    <mergeCell ref="AN273:AP273"/>
    <mergeCell ref="CE272:CG272"/>
    <mergeCell ref="CH272:CJ272"/>
    <mergeCell ref="CK272:CM272"/>
    <mergeCell ref="CN272:CP272"/>
    <mergeCell ref="E273:I273"/>
    <mergeCell ref="J273:L273"/>
    <mergeCell ref="M273:O273"/>
    <mergeCell ref="P273:R273"/>
    <mergeCell ref="S273:U273"/>
    <mergeCell ref="V273:X273"/>
    <mergeCell ref="BM272:BO272"/>
    <mergeCell ref="BP272:BR272"/>
    <mergeCell ref="BS272:BU272"/>
    <mergeCell ref="BV272:BX272"/>
    <mergeCell ref="BY272:CA272"/>
    <mergeCell ref="CB272:CD272"/>
    <mergeCell ref="AQ272:AW272"/>
    <mergeCell ref="AX272:AZ272"/>
    <mergeCell ref="BA272:BC272"/>
    <mergeCell ref="BD272:BF272"/>
    <mergeCell ref="BG272:BI272"/>
    <mergeCell ref="BJ272:BL272"/>
    <mergeCell ref="Y272:AA272"/>
    <mergeCell ref="AB272:AD272"/>
    <mergeCell ref="AE272:AG272"/>
    <mergeCell ref="AH272:AJ272"/>
    <mergeCell ref="AK272:AM272"/>
    <mergeCell ref="AN272:AP272"/>
    <mergeCell ref="CE273:CG273"/>
    <mergeCell ref="CH273:CJ273"/>
    <mergeCell ref="CK273:CM273"/>
    <mergeCell ref="CN273:CP273"/>
    <mergeCell ref="E272:I272"/>
    <mergeCell ref="J272:L272"/>
    <mergeCell ref="M272:O272"/>
    <mergeCell ref="P272:R272"/>
    <mergeCell ref="S272:U272"/>
    <mergeCell ref="V272:X272"/>
    <mergeCell ref="BM271:BO271"/>
    <mergeCell ref="BP271:BR271"/>
    <mergeCell ref="BS271:BU271"/>
    <mergeCell ref="BV271:BX271"/>
    <mergeCell ref="BY271:CA271"/>
    <mergeCell ref="CB271:CD271"/>
    <mergeCell ref="AQ271:AW271"/>
    <mergeCell ref="AX271:AZ271"/>
    <mergeCell ref="BA271:BC271"/>
    <mergeCell ref="BD271:BF271"/>
    <mergeCell ref="BG271:BI271"/>
    <mergeCell ref="BJ271:BL271"/>
    <mergeCell ref="Y271:AA271"/>
    <mergeCell ref="AB271:AD271"/>
    <mergeCell ref="AE271:AG271"/>
    <mergeCell ref="AH271:AJ271"/>
    <mergeCell ref="AK271:AM271"/>
    <mergeCell ref="AN271:AP271"/>
    <mergeCell ref="CE270:CG270"/>
    <mergeCell ref="CH270:CJ270"/>
    <mergeCell ref="CK270:CM270"/>
    <mergeCell ref="CN270:CP270"/>
    <mergeCell ref="E271:I271"/>
    <mergeCell ref="J271:L271"/>
    <mergeCell ref="M271:O271"/>
    <mergeCell ref="P271:R271"/>
    <mergeCell ref="S271:U271"/>
    <mergeCell ref="V271:X271"/>
    <mergeCell ref="BM270:BO270"/>
    <mergeCell ref="BP270:BR270"/>
    <mergeCell ref="BS270:BU270"/>
    <mergeCell ref="BV270:BX270"/>
    <mergeCell ref="BY270:CA270"/>
    <mergeCell ref="CB270:CD270"/>
    <mergeCell ref="AQ270:AW270"/>
    <mergeCell ref="AX270:AZ270"/>
    <mergeCell ref="BA270:BC270"/>
    <mergeCell ref="BD270:BF270"/>
    <mergeCell ref="BG270:BI270"/>
    <mergeCell ref="BJ270:BL270"/>
    <mergeCell ref="Y270:AA270"/>
    <mergeCell ref="AB270:AD270"/>
    <mergeCell ref="AE270:AG270"/>
    <mergeCell ref="AH270:AJ270"/>
    <mergeCell ref="AK270:AM270"/>
    <mergeCell ref="AN270:AP270"/>
    <mergeCell ref="CE271:CG271"/>
    <mergeCell ref="CH271:CJ271"/>
    <mergeCell ref="CK271:CM271"/>
    <mergeCell ref="CN271:CP271"/>
    <mergeCell ref="E270:I270"/>
    <mergeCell ref="J270:L270"/>
    <mergeCell ref="M270:O270"/>
    <mergeCell ref="P270:R270"/>
    <mergeCell ref="S270:U270"/>
    <mergeCell ref="V270:X270"/>
    <mergeCell ref="BM269:BO269"/>
    <mergeCell ref="BP269:BR269"/>
    <mergeCell ref="BS269:BU269"/>
    <mergeCell ref="BV269:BX269"/>
    <mergeCell ref="BY269:CA269"/>
    <mergeCell ref="CB269:CD269"/>
    <mergeCell ref="AQ269:AW269"/>
    <mergeCell ref="AX269:AZ269"/>
    <mergeCell ref="BA269:BC269"/>
    <mergeCell ref="BD269:BF269"/>
    <mergeCell ref="BG269:BI269"/>
    <mergeCell ref="BJ269:BL269"/>
    <mergeCell ref="Y269:AA269"/>
    <mergeCell ref="AB269:AD269"/>
    <mergeCell ref="AE269:AG269"/>
    <mergeCell ref="AH269:AJ269"/>
    <mergeCell ref="AK269:AM269"/>
    <mergeCell ref="AN269:AP269"/>
    <mergeCell ref="CE268:CG268"/>
    <mergeCell ref="CH268:CJ268"/>
    <mergeCell ref="CK268:CM268"/>
    <mergeCell ref="CN268:CP268"/>
    <mergeCell ref="E269:I269"/>
    <mergeCell ref="J269:L269"/>
    <mergeCell ref="M269:O269"/>
    <mergeCell ref="P269:R269"/>
    <mergeCell ref="S269:U269"/>
    <mergeCell ref="V269:X269"/>
    <mergeCell ref="BM268:BO268"/>
    <mergeCell ref="BP268:BR268"/>
    <mergeCell ref="BS268:BU268"/>
    <mergeCell ref="BV268:BX268"/>
    <mergeCell ref="BY268:CA268"/>
    <mergeCell ref="CB268:CD268"/>
    <mergeCell ref="AQ268:AW268"/>
    <mergeCell ref="AX268:AZ268"/>
    <mergeCell ref="BA268:BC268"/>
    <mergeCell ref="BD268:BF268"/>
    <mergeCell ref="BG268:BI268"/>
    <mergeCell ref="BJ268:BL268"/>
    <mergeCell ref="Y268:AA268"/>
    <mergeCell ref="AB268:AD268"/>
    <mergeCell ref="AE268:AG268"/>
    <mergeCell ref="AH268:AJ268"/>
    <mergeCell ref="AK268:AM268"/>
    <mergeCell ref="AN268:AP268"/>
    <mergeCell ref="CE269:CG269"/>
    <mergeCell ref="CH269:CJ269"/>
    <mergeCell ref="CK269:CM269"/>
    <mergeCell ref="CN269:CP269"/>
    <mergeCell ref="E268:I268"/>
    <mergeCell ref="J268:L268"/>
    <mergeCell ref="M268:O268"/>
    <mergeCell ref="P268:R268"/>
    <mergeCell ref="S268:U268"/>
    <mergeCell ref="V268:X268"/>
    <mergeCell ref="BM267:BO267"/>
    <mergeCell ref="BP267:BR267"/>
    <mergeCell ref="BS267:BU267"/>
    <mergeCell ref="BV267:BX267"/>
    <mergeCell ref="BY267:CA267"/>
    <mergeCell ref="CB267:CD267"/>
    <mergeCell ref="AQ267:AW267"/>
    <mergeCell ref="AX267:AZ267"/>
    <mergeCell ref="BA267:BC267"/>
    <mergeCell ref="BD267:BF267"/>
    <mergeCell ref="BG267:BI267"/>
    <mergeCell ref="BJ267:BL267"/>
    <mergeCell ref="Y267:AA267"/>
    <mergeCell ref="AB267:AD267"/>
    <mergeCell ref="AE267:AG267"/>
    <mergeCell ref="AH267:AJ267"/>
    <mergeCell ref="AK267:AM267"/>
    <mergeCell ref="AN267:AP267"/>
    <mergeCell ref="CE266:CG266"/>
    <mergeCell ref="CH266:CJ266"/>
    <mergeCell ref="CK266:CM266"/>
    <mergeCell ref="CN266:CP266"/>
    <mergeCell ref="E267:I267"/>
    <mergeCell ref="J267:L267"/>
    <mergeCell ref="M267:O267"/>
    <mergeCell ref="P267:R267"/>
    <mergeCell ref="S267:U267"/>
    <mergeCell ref="V267:X267"/>
    <mergeCell ref="BM266:BO266"/>
    <mergeCell ref="BP266:BR266"/>
    <mergeCell ref="BS266:BU266"/>
    <mergeCell ref="BV266:BX266"/>
    <mergeCell ref="BY266:CA266"/>
    <mergeCell ref="CB266:CD266"/>
    <mergeCell ref="AQ266:AW266"/>
    <mergeCell ref="AX266:AZ266"/>
    <mergeCell ref="BA266:BC266"/>
    <mergeCell ref="BD266:BF266"/>
    <mergeCell ref="BG266:BI266"/>
    <mergeCell ref="BJ266:BL266"/>
    <mergeCell ref="Y266:AA266"/>
    <mergeCell ref="AB266:AD266"/>
    <mergeCell ref="AE266:AG266"/>
    <mergeCell ref="AH266:AJ266"/>
    <mergeCell ref="AK266:AM266"/>
    <mergeCell ref="AN266:AP266"/>
    <mergeCell ref="CE267:CG267"/>
    <mergeCell ref="CH267:CJ267"/>
    <mergeCell ref="CK267:CM267"/>
    <mergeCell ref="CN267:CP267"/>
    <mergeCell ref="E266:I266"/>
    <mergeCell ref="J266:L266"/>
    <mergeCell ref="M266:O266"/>
    <mergeCell ref="P266:R266"/>
    <mergeCell ref="S266:U266"/>
    <mergeCell ref="V266:X266"/>
    <mergeCell ref="BM265:BO265"/>
    <mergeCell ref="BP265:BR265"/>
    <mergeCell ref="BS265:BU265"/>
    <mergeCell ref="BV265:BX265"/>
    <mergeCell ref="BY265:CA265"/>
    <mergeCell ref="CB265:CD265"/>
    <mergeCell ref="AQ265:AW265"/>
    <mergeCell ref="AX265:AZ265"/>
    <mergeCell ref="BA265:BC265"/>
    <mergeCell ref="BD265:BF265"/>
    <mergeCell ref="BG265:BI265"/>
    <mergeCell ref="BJ265:BL265"/>
    <mergeCell ref="Y265:AA265"/>
    <mergeCell ref="AB265:AD265"/>
    <mergeCell ref="AE265:AG265"/>
    <mergeCell ref="AH265:AJ265"/>
    <mergeCell ref="AK265:AM265"/>
    <mergeCell ref="AN265:AP265"/>
    <mergeCell ref="CE264:CG264"/>
    <mergeCell ref="CH264:CJ264"/>
    <mergeCell ref="CK264:CM264"/>
    <mergeCell ref="CN264:CP264"/>
    <mergeCell ref="E265:I265"/>
    <mergeCell ref="J265:L265"/>
    <mergeCell ref="M265:O265"/>
    <mergeCell ref="P265:R265"/>
    <mergeCell ref="S265:U265"/>
    <mergeCell ref="V265:X265"/>
    <mergeCell ref="BM264:BO264"/>
    <mergeCell ref="BP264:BR264"/>
    <mergeCell ref="BS264:BU264"/>
    <mergeCell ref="BV264:BX264"/>
    <mergeCell ref="BY264:CA264"/>
    <mergeCell ref="CB264:CD264"/>
    <mergeCell ref="AQ264:AW264"/>
    <mergeCell ref="AX264:AZ264"/>
    <mergeCell ref="BA264:BC264"/>
    <mergeCell ref="BD264:BF264"/>
    <mergeCell ref="BG264:BI264"/>
    <mergeCell ref="BJ264:BL264"/>
    <mergeCell ref="Y264:AA264"/>
    <mergeCell ref="AB264:AD264"/>
    <mergeCell ref="AE264:AG264"/>
    <mergeCell ref="AH264:AJ264"/>
    <mergeCell ref="AK264:AM264"/>
    <mergeCell ref="AN264:AP264"/>
    <mergeCell ref="CE265:CG265"/>
    <mergeCell ref="CH265:CJ265"/>
    <mergeCell ref="CK265:CM265"/>
    <mergeCell ref="CN265:CP265"/>
    <mergeCell ref="BP263:BR263"/>
    <mergeCell ref="BS263:BU263"/>
    <mergeCell ref="BV263:BX263"/>
    <mergeCell ref="BY263:CA263"/>
    <mergeCell ref="CB263:CD263"/>
    <mergeCell ref="AQ263:AW263"/>
    <mergeCell ref="AX263:AZ263"/>
    <mergeCell ref="BA263:BC263"/>
    <mergeCell ref="BD263:BF263"/>
    <mergeCell ref="BG263:BI263"/>
    <mergeCell ref="BJ263:BL263"/>
    <mergeCell ref="Y263:AA263"/>
    <mergeCell ref="AB263:AD263"/>
    <mergeCell ref="AE263:AG263"/>
    <mergeCell ref="AH263:AJ263"/>
    <mergeCell ref="AK263:AM263"/>
    <mergeCell ref="AN263:AP263"/>
    <mergeCell ref="CH262:CJ262"/>
    <mergeCell ref="CK262:CM262"/>
    <mergeCell ref="CN262:CP262"/>
    <mergeCell ref="E263:I263"/>
    <mergeCell ref="J263:L263"/>
    <mergeCell ref="M263:O263"/>
    <mergeCell ref="P263:R263"/>
    <mergeCell ref="S263:U263"/>
    <mergeCell ref="V263:X263"/>
    <mergeCell ref="BM262:BO262"/>
    <mergeCell ref="BP262:BR262"/>
    <mergeCell ref="BS262:BU262"/>
    <mergeCell ref="BV262:BX262"/>
    <mergeCell ref="BY262:CA262"/>
    <mergeCell ref="CB262:CD262"/>
    <mergeCell ref="AQ262:AW262"/>
    <mergeCell ref="AX262:AZ262"/>
    <mergeCell ref="BA262:BC262"/>
    <mergeCell ref="BD262:BF262"/>
    <mergeCell ref="BG262:BI262"/>
    <mergeCell ref="BJ262:BL262"/>
    <mergeCell ref="Y262:AA262"/>
    <mergeCell ref="AB262:AD262"/>
    <mergeCell ref="AE262:AG262"/>
    <mergeCell ref="AH262:AJ262"/>
    <mergeCell ref="AK262:AM262"/>
    <mergeCell ref="AN262:AP262"/>
    <mergeCell ref="CE263:CG263"/>
    <mergeCell ref="CH263:CJ263"/>
    <mergeCell ref="CK263:CM263"/>
    <mergeCell ref="CN263:CP263"/>
    <mergeCell ref="BM263:BO263"/>
    <mergeCell ref="B262:D283"/>
    <mergeCell ref="E262:I262"/>
    <mergeCell ref="J262:L262"/>
    <mergeCell ref="M262:O262"/>
    <mergeCell ref="P262:R262"/>
    <mergeCell ref="S262:U262"/>
    <mergeCell ref="V262:X262"/>
    <mergeCell ref="BP261:BR261"/>
    <mergeCell ref="BS261:BU261"/>
    <mergeCell ref="BV261:BX261"/>
    <mergeCell ref="BY261:CA261"/>
    <mergeCell ref="CB261:CD261"/>
    <mergeCell ref="CE261:CG261"/>
    <mergeCell ref="AX261:AZ261"/>
    <mergeCell ref="BA261:BC261"/>
    <mergeCell ref="BD261:BF261"/>
    <mergeCell ref="BG261:BI261"/>
    <mergeCell ref="BJ261:BL261"/>
    <mergeCell ref="BM261:BO261"/>
    <mergeCell ref="AB261:AD261"/>
    <mergeCell ref="AE261:AG261"/>
    <mergeCell ref="AH261:AJ261"/>
    <mergeCell ref="AK261:AM261"/>
    <mergeCell ref="AN261:AP261"/>
    <mergeCell ref="AQ261:AW261"/>
    <mergeCell ref="CE262:CG262"/>
    <mergeCell ref="E264:I264"/>
    <mergeCell ref="J264:L264"/>
    <mergeCell ref="M264:O264"/>
    <mergeCell ref="P264:R264"/>
    <mergeCell ref="S264:U264"/>
    <mergeCell ref="V264:X264"/>
    <mergeCell ref="CK259:CM259"/>
    <mergeCell ref="CN259:CP259"/>
    <mergeCell ref="Y260:AW260"/>
    <mergeCell ref="AX260:CG260"/>
    <mergeCell ref="CH260:CP260"/>
    <mergeCell ref="M261:O261"/>
    <mergeCell ref="P261:R261"/>
    <mergeCell ref="S261:U261"/>
    <mergeCell ref="V261:X261"/>
    <mergeCell ref="Y261:AA261"/>
    <mergeCell ref="BS259:BU259"/>
    <mergeCell ref="BV259:BX259"/>
    <mergeCell ref="BY259:CA259"/>
    <mergeCell ref="CB259:CD259"/>
    <mergeCell ref="CE259:CG259"/>
    <mergeCell ref="CH259:CJ259"/>
    <mergeCell ref="BA259:BC259"/>
    <mergeCell ref="BD259:BF259"/>
    <mergeCell ref="BG259:BI259"/>
    <mergeCell ref="BJ259:BL259"/>
    <mergeCell ref="BM259:BO259"/>
    <mergeCell ref="BP259:BR259"/>
    <mergeCell ref="AE259:AG259"/>
    <mergeCell ref="AH259:AJ259"/>
    <mergeCell ref="AK259:AM259"/>
    <mergeCell ref="AN259:AP259"/>
    <mergeCell ref="AQ259:AW259"/>
    <mergeCell ref="AX259:AZ259"/>
    <mergeCell ref="CH261:CJ261"/>
    <mergeCell ref="CK261:CM261"/>
    <mergeCell ref="CN261:CP261"/>
    <mergeCell ref="BY255:CA255"/>
    <mergeCell ref="CB255:CD255"/>
    <mergeCell ref="CE255:CG255"/>
    <mergeCell ref="CH255:CJ255"/>
    <mergeCell ref="B259:D261"/>
    <mergeCell ref="E259:I261"/>
    <mergeCell ref="J259:L261"/>
    <mergeCell ref="M259:X260"/>
    <mergeCell ref="Y259:AA259"/>
    <mergeCell ref="AB259:AD259"/>
    <mergeCell ref="BG255:BI255"/>
    <mergeCell ref="BJ255:BL255"/>
    <mergeCell ref="BM255:BO255"/>
    <mergeCell ref="BP255:BR255"/>
    <mergeCell ref="BS255:BU255"/>
    <mergeCell ref="BV255:BX255"/>
    <mergeCell ref="AQ255:AW255"/>
    <mergeCell ref="AX255:AZ255"/>
    <mergeCell ref="BA255:BC255"/>
    <mergeCell ref="BD255:BF255"/>
    <mergeCell ref="S255:U255"/>
    <mergeCell ref="V255:X255"/>
    <mergeCell ref="Y255:AA255"/>
    <mergeCell ref="AB255:AD255"/>
    <mergeCell ref="E255:I255"/>
    <mergeCell ref="J255:L255"/>
    <mergeCell ref="M255:O255"/>
    <mergeCell ref="P255:R255"/>
    <mergeCell ref="CB254:CD254"/>
    <mergeCell ref="CE254:CG254"/>
    <mergeCell ref="CH254:CJ254"/>
    <mergeCell ref="E253:I253"/>
    <mergeCell ref="J253:L253"/>
    <mergeCell ref="M253:O253"/>
    <mergeCell ref="P253:R253"/>
    <mergeCell ref="BG254:BI254"/>
    <mergeCell ref="BJ254:BL254"/>
    <mergeCell ref="BM254:BO254"/>
    <mergeCell ref="BP254:BR254"/>
    <mergeCell ref="BS254:BU254"/>
    <mergeCell ref="BV254:BX254"/>
    <mergeCell ref="AQ254:AW254"/>
    <mergeCell ref="AX254:AZ254"/>
    <mergeCell ref="BA254:BC254"/>
    <mergeCell ref="BD254:BF254"/>
    <mergeCell ref="S254:U254"/>
    <mergeCell ref="V254:X254"/>
    <mergeCell ref="Y254:AA254"/>
    <mergeCell ref="AB254:AD254"/>
    <mergeCell ref="BY253:CA253"/>
    <mergeCell ref="CB253:CD253"/>
    <mergeCell ref="CE253:CG253"/>
    <mergeCell ref="BV252:BX252"/>
    <mergeCell ref="AQ252:AW252"/>
    <mergeCell ref="AX252:AZ252"/>
    <mergeCell ref="BA252:BC252"/>
    <mergeCell ref="BD252:BF252"/>
    <mergeCell ref="S252:U252"/>
    <mergeCell ref="V252:X252"/>
    <mergeCell ref="Y252:AA252"/>
    <mergeCell ref="AB252:AD252"/>
    <mergeCell ref="BY251:CA251"/>
    <mergeCell ref="CB251:CD251"/>
    <mergeCell ref="CE251:CG251"/>
    <mergeCell ref="CH253:CJ253"/>
    <mergeCell ref="E254:I254"/>
    <mergeCell ref="J254:L254"/>
    <mergeCell ref="M254:O254"/>
    <mergeCell ref="P254:R254"/>
    <mergeCell ref="BG253:BI253"/>
    <mergeCell ref="BJ253:BL253"/>
    <mergeCell ref="BM253:BO253"/>
    <mergeCell ref="BP253:BR253"/>
    <mergeCell ref="BS253:BU253"/>
    <mergeCell ref="BV253:BX253"/>
    <mergeCell ref="AQ253:AW253"/>
    <mergeCell ref="AX253:AZ253"/>
    <mergeCell ref="BA253:BC253"/>
    <mergeCell ref="BD253:BF253"/>
    <mergeCell ref="S253:U253"/>
    <mergeCell ref="V253:X253"/>
    <mergeCell ref="Y253:AA253"/>
    <mergeCell ref="AB253:AD253"/>
    <mergeCell ref="BY254:CA254"/>
    <mergeCell ref="CH251:CJ251"/>
    <mergeCell ref="E252:I252"/>
    <mergeCell ref="J252:L252"/>
    <mergeCell ref="M252:O252"/>
    <mergeCell ref="P252:R252"/>
    <mergeCell ref="BG251:BI251"/>
    <mergeCell ref="BJ251:BL251"/>
    <mergeCell ref="BM251:BO251"/>
    <mergeCell ref="BP251:BR251"/>
    <mergeCell ref="BS251:BU251"/>
    <mergeCell ref="BV251:BX251"/>
    <mergeCell ref="AQ251:AW251"/>
    <mergeCell ref="AX251:AZ251"/>
    <mergeCell ref="BA251:BC251"/>
    <mergeCell ref="BD251:BF251"/>
    <mergeCell ref="S251:U251"/>
    <mergeCell ref="V251:X251"/>
    <mergeCell ref="Y251:AA251"/>
    <mergeCell ref="AB251:AD251"/>
    <mergeCell ref="BY252:CA252"/>
    <mergeCell ref="CB252:CD252"/>
    <mergeCell ref="CE252:CG252"/>
    <mergeCell ref="CH252:CJ252"/>
    <mergeCell ref="E251:I251"/>
    <mergeCell ref="J251:L251"/>
    <mergeCell ref="M251:O251"/>
    <mergeCell ref="P251:R251"/>
    <mergeCell ref="BG252:BI252"/>
    <mergeCell ref="BJ252:BL252"/>
    <mergeCell ref="BM252:BO252"/>
    <mergeCell ref="BP252:BR252"/>
    <mergeCell ref="BS252:BU252"/>
    <mergeCell ref="CB250:CD250"/>
    <mergeCell ref="CE250:CG250"/>
    <mergeCell ref="CH250:CJ250"/>
    <mergeCell ref="E249:I249"/>
    <mergeCell ref="J249:L249"/>
    <mergeCell ref="M249:O249"/>
    <mergeCell ref="P249:R249"/>
    <mergeCell ref="BG250:BI250"/>
    <mergeCell ref="BJ250:BL250"/>
    <mergeCell ref="BM250:BO250"/>
    <mergeCell ref="BP250:BR250"/>
    <mergeCell ref="BS250:BU250"/>
    <mergeCell ref="BV250:BX250"/>
    <mergeCell ref="AQ250:AW250"/>
    <mergeCell ref="AX250:AZ250"/>
    <mergeCell ref="BA250:BC250"/>
    <mergeCell ref="BD250:BF250"/>
    <mergeCell ref="S250:U250"/>
    <mergeCell ref="V250:X250"/>
    <mergeCell ref="Y250:AA250"/>
    <mergeCell ref="AB250:AD250"/>
    <mergeCell ref="BY249:CA249"/>
    <mergeCell ref="CB249:CD249"/>
    <mergeCell ref="CE249:CG249"/>
    <mergeCell ref="BV248:BX248"/>
    <mergeCell ref="AQ248:AW248"/>
    <mergeCell ref="AX248:AZ248"/>
    <mergeCell ref="BA248:BC248"/>
    <mergeCell ref="BD248:BF248"/>
    <mergeCell ref="S248:U248"/>
    <mergeCell ref="V248:X248"/>
    <mergeCell ref="Y248:AA248"/>
    <mergeCell ref="AB248:AD248"/>
    <mergeCell ref="BY247:CA247"/>
    <mergeCell ref="CB247:CD247"/>
    <mergeCell ref="CE247:CG247"/>
    <mergeCell ref="CH249:CJ249"/>
    <mergeCell ref="E250:I250"/>
    <mergeCell ref="J250:L250"/>
    <mergeCell ref="M250:O250"/>
    <mergeCell ref="P250:R250"/>
    <mergeCell ref="BG249:BI249"/>
    <mergeCell ref="BJ249:BL249"/>
    <mergeCell ref="BM249:BO249"/>
    <mergeCell ref="BP249:BR249"/>
    <mergeCell ref="BS249:BU249"/>
    <mergeCell ref="BV249:BX249"/>
    <mergeCell ref="AQ249:AW249"/>
    <mergeCell ref="AX249:AZ249"/>
    <mergeCell ref="BA249:BC249"/>
    <mergeCell ref="BD249:BF249"/>
    <mergeCell ref="S249:U249"/>
    <mergeCell ref="V249:X249"/>
    <mergeCell ref="Y249:AA249"/>
    <mergeCell ref="AB249:AD249"/>
    <mergeCell ref="BY250:CA250"/>
    <mergeCell ref="CH247:CJ247"/>
    <mergeCell ref="E248:I248"/>
    <mergeCell ref="J248:L248"/>
    <mergeCell ref="M248:O248"/>
    <mergeCell ref="P248:R248"/>
    <mergeCell ref="BG247:BI247"/>
    <mergeCell ref="BJ247:BL247"/>
    <mergeCell ref="BM247:BO247"/>
    <mergeCell ref="BP247:BR247"/>
    <mergeCell ref="BS247:BU247"/>
    <mergeCell ref="BV247:BX247"/>
    <mergeCell ref="AQ247:AW247"/>
    <mergeCell ref="AX247:AZ247"/>
    <mergeCell ref="BA247:BC247"/>
    <mergeCell ref="BD247:BF247"/>
    <mergeCell ref="S247:U247"/>
    <mergeCell ref="V247:X247"/>
    <mergeCell ref="Y247:AA247"/>
    <mergeCell ref="AB247:AD247"/>
    <mergeCell ref="BY248:CA248"/>
    <mergeCell ref="CB248:CD248"/>
    <mergeCell ref="CE248:CG248"/>
    <mergeCell ref="CH248:CJ248"/>
    <mergeCell ref="E247:I247"/>
    <mergeCell ref="J247:L247"/>
    <mergeCell ref="M247:O247"/>
    <mergeCell ref="P247:R247"/>
    <mergeCell ref="BG248:BI248"/>
    <mergeCell ref="BJ248:BL248"/>
    <mergeCell ref="BM248:BO248"/>
    <mergeCell ref="BP248:BR248"/>
    <mergeCell ref="BS248:BU248"/>
    <mergeCell ref="CB246:CD246"/>
    <mergeCell ref="CE246:CG246"/>
    <mergeCell ref="CH246:CJ246"/>
    <mergeCell ref="E245:I245"/>
    <mergeCell ref="J245:L245"/>
    <mergeCell ref="M245:O245"/>
    <mergeCell ref="P245:R245"/>
    <mergeCell ref="BG246:BI246"/>
    <mergeCell ref="BJ246:BL246"/>
    <mergeCell ref="BM246:BO246"/>
    <mergeCell ref="BP246:BR246"/>
    <mergeCell ref="BS246:BU246"/>
    <mergeCell ref="BV246:BX246"/>
    <mergeCell ref="AQ246:AW246"/>
    <mergeCell ref="AX246:AZ246"/>
    <mergeCell ref="BA246:BC246"/>
    <mergeCell ref="BD246:BF246"/>
    <mergeCell ref="S246:U246"/>
    <mergeCell ref="V246:X246"/>
    <mergeCell ref="Y246:AA246"/>
    <mergeCell ref="AB246:AD246"/>
    <mergeCell ref="BY245:CA245"/>
    <mergeCell ref="CB245:CD245"/>
    <mergeCell ref="CE245:CG245"/>
    <mergeCell ref="BV244:BX244"/>
    <mergeCell ref="AQ244:AW244"/>
    <mergeCell ref="AX244:AZ244"/>
    <mergeCell ref="BA244:BC244"/>
    <mergeCell ref="BD244:BF244"/>
    <mergeCell ref="S244:U244"/>
    <mergeCell ref="V244:X244"/>
    <mergeCell ref="Y244:AA244"/>
    <mergeCell ref="AB244:AD244"/>
    <mergeCell ref="BY243:CA243"/>
    <mergeCell ref="CB243:CD243"/>
    <mergeCell ref="CE243:CG243"/>
    <mergeCell ref="CH245:CJ245"/>
    <mergeCell ref="E246:I246"/>
    <mergeCell ref="J246:L246"/>
    <mergeCell ref="M246:O246"/>
    <mergeCell ref="P246:R246"/>
    <mergeCell ref="BG245:BI245"/>
    <mergeCell ref="BJ245:BL245"/>
    <mergeCell ref="BM245:BO245"/>
    <mergeCell ref="BP245:BR245"/>
    <mergeCell ref="BS245:BU245"/>
    <mergeCell ref="BV245:BX245"/>
    <mergeCell ref="AQ245:AW245"/>
    <mergeCell ref="AX245:AZ245"/>
    <mergeCell ref="BA245:BC245"/>
    <mergeCell ref="BD245:BF245"/>
    <mergeCell ref="S245:U245"/>
    <mergeCell ref="V245:X245"/>
    <mergeCell ref="Y245:AA245"/>
    <mergeCell ref="AB245:AD245"/>
    <mergeCell ref="BY246:CA246"/>
    <mergeCell ref="CH243:CJ243"/>
    <mergeCell ref="E244:I244"/>
    <mergeCell ref="J244:L244"/>
    <mergeCell ref="M244:O244"/>
    <mergeCell ref="P244:R244"/>
    <mergeCell ref="BG243:BI243"/>
    <mergeCell ref="BJ243:BL243"/>
    <mergeCell ref="BM243:BO243"/>
    <mergeCell ref="BP243:BR243"/>
    <mergeCell ref="BS243:BU243"/>
    <mergeCell ref="BV243:BX243"/>
    <mergeCell ref="AQ243:AW243"/>
    <mergeCell ref="AX243:AZ243"/>
    <mergeCell ref="BA243:BC243"/>
    <mergeCell ref="BD243:BF243"/>
    <mergeCell ref="S243:U243"/>
    <mergeCell ref="V243:X243"/>
    <mergeCell ref="Y243:AA243"/>
    <mergeCell ref="AB243:AD243"/>
    <mergeCell ref="BY244:CA244"/>
    <mergeCell ref="CB244:CD244"/>
    <mergeCell ref="CE244:CG244"/>
    <mergeCell ref="CH244:CJ244"/>
    <mergeCell ref="E243:I243"/>
    <mergeCell ref="J243:L243"/>
    <mergeCell ref="M243:O243"/>
    <mergeCell ref="P243:R243"/>
    <mergeCell ref="BG244:BI244"/>
    <mergeCell ref="BJ244:BL244"/>
    <mergeCell ref="BM244:BO244"/>
    <mergeCell ref="BP244:BR244"/>
    <mergeCell ref="BS244:BU244"/>
    <mergeCell ref="CB242:CD242"/>
    <mergeCell ref="CE242:CG242"/>
    <mergeCell ref="CH242:CJ242"/>
    <mergeCell ref="E241:I241"/>
    <mergeCell ref="J241:L241"/>
    <mergeCell ref="M241:O241"/>
    <mergeCell ref="P241:R241"/>
    <mergeCell ref="BG242:BI242"/>
    <mergeCell ref="BJ242:BL242"/>
    <mergeCell ref="BM242:BO242"/>
    <mergeCell ref="BP242:BR242"/>
    <mergeCell ref="BS242:BU242"/>
    <mergeCell ref="BV242:BX242"/>
    <mergeCell ref="AQ242:AW242"/>
    <mergeCell ref="AX242:AZ242"/>
    <mergeCell ref="BA242:BC242"/>
    <mergeCell ref="BD242:BF242"/>
    <mergeCell ref="S242:U242"/>
    <mergeCell ref="V242:X242"/>
    <mergeCell ref="Y242:AA242"/>
    <mergeCell ref="AB242:AD242"/>
    <mergeCell ref="BY241:CA241"/>
    <mergeCell ref="CB241:CD241"/>
    <mergeCell ref="CE241:CG241"/>
    <mergeCell ref="BV240:BX240"/>
    <mergeCell ref="AQ240:AW240"/>
    <mergeCell ref="AX240:AZ240"/>
    <mergeCell ref="BA240:BC240"/>
    <mergeCell ref="BD240:BF240"/>
    <mergeCell ref="S240:U240"/>
    <mergeCell ref="V240:X240"/>
    <mergeCell ref="Y240:AA240"/>
    <mergeCell ref="AB240:AD240"/>
    <mergeCell ref="BY239:CA239"/>
    <mergeCell ref="CB239:CD239"/>
    <mergeCell ref="CE239:CG239"/>
    <mergeCell ref="CH241:CJ241"/>
    <mergeCell ref="E242:I242"/>
    <mergeCell ref="J242:L242"/>
    <mergeCell ref="M242:O242"/>
    <mergeCell ref="P242:R242"/>
    <mergeCell ref="BG241:BI241"/>
    <mergeCell ref="BJ241:BL241"/>
    <mergeCell ref="BM241:BO241"/>
    <mergeCell ref="BP241:BR241"/>
    <mergeCell ref="BS241:BU241"/>
    <mergeCell ref="BV241:BX241"/>
    <mergeCell ref="AQ241:AW241"/>
    <mergeCell ref="AX241:AZ241"/>
    <mergeCell ref="BA241:BC241"/>
    <mergeCell ref="BD241:BF241"/>
    <mergeCell ref="S241:U241"/>
    <mergeCell ref="V241:X241"/>
    <mergeCell ref="Y241:AA241"/>
    <mergeCell ref="AB241:AD241"/>
    <mergeCell ref="BY242:CA242"/>
    <mergeCell ref="CH239:CJ239"/>
    <mergeCell ref="E240:I240"/>
    <mergeCell ref="J240:L240"/>
    <mergeCell ref="M240:O240"/>
    <mergeCell ref="P240:R240"/>
    <mergeCell ref="BG239:BI239"/>
    <mergeCell ref="BJ239:BL239"/>
    <mergeCell ref="BM239:BO239"/>
    <mergeCell ref="BP239:BR239"/>
    <mergeCell ref="BS239:BU239"/>
    <mergeCell ref="BV239:BX239"/>
    <mergeCell ref="AQ239:AW239"/>
    <mergeCell ref="AX239:AZ239"/>
    <mergeCell ref="BA239:BC239"/>
    <mergeCell ref="BD239:BF239"/>
    <mergeCell ref="S239:U239"/>
    <mergeCell ref="V239:X239"/>
    <mergeCell ref="Y239:AA239"/>
    <mergeCell ref="AB239:AD239"/>
    <mergeCell ref="BY240:CA240"/>
    <mergeCell ref="CB240:CD240"/>
    <mergeCell ref="CE240:CG240"/>
    <mergeCell ref="CH240:CJ240"/>
    <mergeCell ref="E239:I239"/>
    <mergeCell ref="J239:L239"/>
    <mergeCell ref="M239:O239"/>
    <mergeCell ref="P239:R239"/>
    <mergeCell ref="BG240:BI240"/>
    <mergeCell ref="BJ240:BL240"/>
    <mergeCell ref="BM240:BO240"/>
    <mergeCell ref="BP240:BR240"/>
    <mergeCell ref="BS240:BU240"/>
    <mergeCell ref="CB238:CD238"/>
    <mergeCell ref="CE238:CG238"/>
    <mergeCell ref="CH238:CJ238"/>
    <mergeCell ref="E237:I237"/>
    <mergeCell ref="J237:L237"/>
    <mergeCell ref="M237:O237"/>
    <mergeCell ref="P237:R237"/>
    <mergeCell ref="BG238:BI238"/>
    <mergeCell ref="BJ238:BL238"/>
    <mergeCell ref="BM238:BO238"/>
    <mergeCell ref="BP238:BR238"/>
    <mergeCell ref="BS238:BU238"/>
    <mergeCell ref="BV238:BX238"/>
    <mergeCell ref="AQ238:AW238"/>
    <mergeCell ref="AX238:AZ238"/>
    <mergeCell ref="BA238:BC238"/>
    <mergeCell ref="BD238:BF238"/>
    <mergeCell ref="S238:U238"/>
    <mergeCell ref="V238:X238"/>
    <mergeCell ref="Y238:AA238"/>
    <mergeCell ref="AB238:AD238"/>
    <mergeCell ref="BY237:CA237"/>
    <mergeCell ref="CB237:CD237"/>
    <mergeCell ref="CE237:CG237"/>
    <mergeCell ref="BV236:BX236"/>
    <mergeCell ref="AQ236:AW236"/>
    <mergeCell ref="AX236:AZ236"/>
    <mergeCell ref="BA236:BC236"/>
    <mergeCell ref="BD236:BF236"/>
    <mergeCell ref="S236:U236"/>
    <mergeCell ref="V236:X236"/>
    <mergeCell ref="Y236:AA236"/>
    <mergeCell ref="AB236:AD236"/>
    <mergeCell ref="BY235:CA235"/>
    <mergeCell ref="CB235:CD235"/>
    <mergeCell ref="CE235:CG235"/>
    <mergeCell ref="CH237:CJ237"/>
    <mergeCell ref="E238:I238"/>
    <mergeCell ref="J238:L238"/>
    <mergeCell ref="M238:O238"/>
    <mergeCell ref="P238:R238"/>
    <mergeCell ref="BG237:BI237"/>
    <mergeCell ref="BJ237:BL237"/>
    <mergeCell ref="BM237:BO237"/>
    <mergeCell ref="BP237:BR237"/>
    <mergeCell ref="BS237:BU237"/>
    <mergeCell ref="BV237:BX237"/>
    <mergeCell ref="AQ237:AW237"/>
    <mergeCell ref="AX237:AZ237"/>
    <mergeCell ref="BA237:BC237"/>
    <mergeCell ref="BD237:BF237"/>
    <mergeCell ref="S237:U237"/>
    <mergeCell ref="V237:X237"/>
    <mergeCell ref="Y237:AA237"/>
    <mergeCell ref="AB237:AD237"/>
    <mergeCell ref="BY238:CA238"/>
    <mergeCell ref="CH235:CJ235"/>
    <mergeCell ref="E236:I236"/>
    <mergeCell ref="J236:L236"/>
    <mergeCell ref="M236:O236"/>
    <mergeCell ref="P236:R236"/>
    <mergeCell ref="BG235:BI235"/>
    <mergeCell ref="BJ235:BL235"/>
    <mergeCell ref="BM235:BO235"/>
    <mergeCell ref="BP235:BR235"/>
    <mergeCell ref="BS235:BU235"/>
    <mergeCell ref="BV235:BX235"/>
    <mergeCell ref="AQ235:AW235"/>
    <mergeCell ref="AX235:AZ235"/>
    <mergeCell ref="BA235:BC235"/>
    <mergeCell ref="BD235:BF235"/>
    <mergeCell ref="S235:U235"/>
    <mergeCell ref="V235:X235"/>
    <mergeCell ref="Y235:AA235"/>
    <mergeCell ref="AB235:AD235"/>
    <mergeCell ref="BY236:CA236"/>
    <mergeCell ref="CB236:CD236"/>
    <mergeCell ref="CE236:CG236"/>
    <mergeCell ref="CH236:CJ236"/>
    <mergeCell ref="E235:I235"/>
    <mergeCell ref="J235:L235"/>
    <mergeCell ref="M235:O235"/>
    <mergeCell ref="P235:R235"/>
    <mergeCell ref="BG236:BI236"/>
    <mergeCell ref="BJ236:BL236"/>
    <mergeCell ref="BM236:BO236"/>
    <mergeCell ref="BP236:BR236"/>
    <mergeCell ref="BS236:BU236"/>
    <mergeCell ref="AB233:AD233"/>
    <mergeCell ref="BY234:CA234"/>
    <mergeCell ref="CB234:CD234"/>
    <mergeCell ref="CE234:CG234"/>
    <mergeCell ref="CH234:CJ234"/>
    <mergeCell ref="J233:L233"/>
    <mergeCell ref="M233:O233"/>
    <mergeCell ref="P233:R233"/>
    <mergeCell ref="BG234:BI234"/>
    <mergeCell ref="BJ234:BL234"/>
    <mergeCell ref="BM234:BO234"/>
    <mergeCell ref="BP234:BR234"/>
    <mergeCell ref="BS234:BU234"/>
    <mergeCell ref="BV234:BX234"/>
    <mergeCell ref="AQ234:AW234"/>
    <mergeCell ref="AX234:AZ234"/>
    <mergeCell ref="BA234:BC234"/>
    <mergeCell ref="BD234:BF234"/>
    <mergeCell ref="S234:U234"/>
    <mergeCell ref="V234:X234"/>
    <mergeCell ref="Y234:AA234"/>
    <mergeCell ref="AB234:AD234"/>
    <mergeCell ref="BY233:CA233"/>
    <mergeCell ref="CB233:CD233"/>
    <mergeCell ref="CE233:CG233"/>
    <mergeCell ref="BV232:BX232"/>
    <mergeCell ref="AQ232:AW232"/>
    <mergeCell ref="AX232:AZ232"/>
    <mergeCell ref="BA232:BC232"/>
    <mergeCell ref="BD232:BF232"/>
    <mergeCell ref="S232:U232"/>
    <mergeCell ref="V232:X232"/>
    <mergeCell ref="Y232:AA232"/>
    <mergeCell ref="AB232:AD232"/>
    <mergeCell ref="BG229:BI229"/>
    <mergeCell ref="BJ229:BL229"/>
    <mergeCell ref="BM229:BO229"/>
    <mergeCell ref="AB229:AD229"/>
    <mergeCell ref="AQ229:AW229"/>
    <mergeCell ref="CH233:CJ233"/>
    <mergeCell ref="E234:I234"/>
    <mergeCell ref="J234:L234"/>
    <mergeCell ref="M234:O234"/>
    <mergeCell ref="P234:R234"/>
    <mergeCell ref="BG233:BI233"/>
    <mergeCell ref="BJ233:BL233"/>
    <mergeCell ref="BM233:BO233"/>
    <mergeCell ref="BP233:BR233"/>
    <mergeCell ref="BS233:BU233"/>
    <mergeCell ref="BV233:BX233"/>
    <mergeCell ref="AQ233:AW233"/>
    <mergeCell ref="AX233:AZ233"/>
    <mergeCell ref="BA233:BC233"/>
    <mergeCell ref="BD233:BF233"/>
    <mergeCell ref="S233:U233"/>
    <mergeCell ref="V233:X233"/>
    <mergeCell ref="Y233:AA233"/>
    <mergeCell ref="CB231:CD231"/>
    <mergeCell ref="CE231:CG231"/>
    <mergeCell ref="CH231:CJ231"/>
    <mergeCell ref="B232:D254"/>
    <mergeCell ref="E232:I232"/>
    <mergeCell ref="J232:L232"/>
    <mergeCell ref="M232:O232"/>
    <mergeCell ref="P232:R232"/>
    <mergeCell ref="BJ231:BL231"/>
    <mergeCell ref="BM231:BO231"/>
    <mergeCell ref="BP231:BR231"/>
    <mergeCell ref="BS231:BU231"/>
    <mergeCell ref="BV231:BX231"/>
    <mergeCell ref="BY231:CA231"/>
    <mergeCell ref="AQ231:AW231"/>
    <mergeCell ref="AX231:AZ231"/>
    <mergeCell ref="BA231:BC231"/>
    <mergeCell ref="BD231:BF231"/>
    <mergeCell ref="BG231:BI231"/>
    <mergeCell ref="V231:X231"/>
    <mergeCell ref="Y231:AA231"/>
    <mergeCell ref="AB231:AD231"/>
    <mergeCell ref="BY232:CA232"/>
    <mergeCell ref="CB232:CD232"/>
    <mergeCell ref="CE232:CG232"/>
    <mergeCell ref="CH232:CJ232"/>
    <mergeCell ref="E233:I233"/>
    <mergeCell ref="BG232:BI232"/>
    <mergeCell ref="BJ232:BL232"/>
    <mergeCell ref="BM232:BO232"/>
    <mergeCell ref="BP232:BR232"/>
    <mergeCell ref="BS232:BU232"/>
    <mergeCell ref="CN225:CP225"/>
    <mergeCell ref="B229:D231"/>
    <mergeCell ref="E229:I231"/>
    <mergeCell ref="J229:L231"/>
    <mergeCell ref="S229:U229"/>
    <mergeCell ref="V229:X229"/>
    <mergeCell ref="Y229:AA229"/>
    <mergeCell ref="BP225:BR225"/>
    <mergeCell ref="BS225:BU225"/>
    <mergeCell ref="BV225:BX225"/>
    <mergeCell ref="BY225:CA225"/>
    <mergeCell ref="CB225:CD225"/>
    <mergeCell ref="CE225:CG225"/>
    <mergeCell ref="AX225:AZ225"/>
    <mergeCell ref="BA225:BC225"/>
    <mergeCell ref="BD225:BF225"/>
    <mergeCell ref="BG225:BI225"/>
    <mergeCell ref="BJ225:BL225"/>
    <mergeCell ref="BM225:BO225"/>
    <mergeCell ref="CH229:CJ229"/>
    <mergeCell ref="AX230:BL230"/>
    <mergeCell ref="CB230:CJ230"/>
    <mergeCell ref="S231:U231"/>
    <mergeCell ref="BP229:BR229"/>
    <mergeCell ref="BS229:BU229"/>
    <mergeCell ref="BV229:BX229"/>
    <mergeCell ref="BY229:CA229"/>
    <mergeCell ref="CB229:CD229"/>
    <mergeCell ref="CE229:CG229"/>
    <mergeCell ref="AX229:AZ229"/>
    <mergeCell ref="BA229:BC229"/>
    <mergeCell ref="BD229:BF229"/>
    <mergeCell ref="CB224:CD224"/>
    <mergeCell ref="CE224:CG224"/>
    <mergeCell ref="CH224:CJ224"/>
    <mergeCell ref="CK224:CM224"/>
    <mergeCell ref="BD224:BF224"/>
    <mergeCell ref="BG224:BI224"/>
    <mergeCell ref="BJ224:BL224"/>
    <mergeCell ref="BM224:BO224"/>
    <mergeCell ref="BP224:BR224"/>
    <mergeCell ref="BS224:BU224"/>
    <mergeCell ref="AL224:AN224"/>
    <mergeCell ref="AO224:AQ224"/>
    <mergeCell ref="AR224:AT224"/>
    <mergeCell ref="AU224:AW224"/>
    <mergeCell ref="AX224:AZ224"/>
    <mergeCell ref="BA224:BC224"/>
    <mergeCell ref="CH225:CJ225"/>
    <mergeCell ref="CK225:CM225"/>
    <mergeCell ref="CK223:CM223"/>
    <mergeCell ref="CN223:CP223"/>
    <mergeCell ref="V224:W225"/>
    <mergeCell ref="X224:Y224"/>
    <mergeCell ref="Z224:AB224"/>
    <mergeCell ref="AC224:AE224"/>
    <mergeCell ref="AF224:AH224"/>
    <mergeCell ref="AI224:AK224"/>
    <mergeCell ref="BM223:BO223"/>
    <mergeCell ref="BP223:BR223"/>
    <mergeCell ref="BS223:BU223"/>
    <mergeCell ref="BV223:BX223"/>
    <mergeCell ref="BY223:CA223"/>
    <mergeCell ref="CB223:CD223"/>
    <mergeCell ref="AU223:AW223"/>
    <mergeCell ref="AX223:AZ223"/>
    <mergeCell ref="BA223:BC223"/>
    <mergeCell ref="BD223:BF223"/>
    <mergeCell ref="BG223:BI223"/>
    <mergeCell ref="BJ223:BL223"/>
    <mergeCell ref="CN224:CP224"/>
    <mergeCell ref="X225:Y225"/>
    <mergeCell ref="Z225:AB225"/>
    <mergeCell ref="AC225:AE225"/>
    <mergeCell ref="AF225:AH225"/>
    <mergeCell ref="AI225:AK225"/>
    <mergeCell ref="AL225:AN225"/>
    <mergeCell ref="AO225:AQ225"/>
    <mergeCell ref="AR225:AT225"/>
    <mergeCell ref="AU225:AW225"/>
    <mergeCell ref="BV224:BX224"/>
    <mergeCell ref="BY224:CA224"/>
    <mergeCell ref="BY222:CA222"/>
    <mergeCell ref="CB222:CD222"/>
    <mergeCell ref="CE222:CG222"/>
    <mergeCell ref="CH222:CJ222"/>
    <mergeCell ref="BA222:BC222"/>
    <mergeCell ref="BD222:BF222"/>
    <mergeCell ref="BG222:BI222"/>
    <mergeCell ref="BJ222:BL222"/>
    <mergeCell ref="BM222:BO222"/>
    <mergeCell ref="BP222:BR222"/>
    <mergeCell ref="AI222:AK222"/>
    <mergeCell ref="AL222:AN222"/>
    <mergeCell ref="AO222:AQ222"/>
    <mergeCell ref="AR222:AT222"/>
    <mergeCell ref="AU222:AW222"/>
    <mergeCell ref="AX222:AZ222"/>
    <mergeCell ref="CE223:CG223"/>
    <mergeCell ref="CH223:CJ223"/>
    <mergeCell ref="CK221:CM221"/>
    <mergeCell ref="CN221:CP221"/>
    <mergeCell ref="B222:U225"/>
    <mergeCell ref="V222:W223"/>
    <mergeCell ref="X222:Y222"/>
    <mergeCell ref="Z222:AB222"/>
    <mergeCell ref="AC222:AE222"/>
    <mergeCell ref="AF222:AH222"/>
    <mergeCell ref="BM221:BO221"/>
    <mergeCell ref="BP221:BR221"/>
    <mergeCell ref="BS221:BU221"/>
    <mergeCell ref="BV221:BX221"/>
    <mergeCell ref="BY221:CA221"/>
    <mergeCell ref="CB221:CD221"/>
    <mergeCell ref="AU221:AW221"/>
    <mergeCell ref="AX221:AZ221"/>
    <mergeCell ref="BA221:BC221"/>
    <mergeCell ref="BD221:BF221"/>
    <mergeCell ref="BG221:BI221"/>
    <mergeCell ref="BJ221:BL221"/>
    <mergeCell ref="CK222:CM222"/>
    <mergeCell ref="CN222:CP222"/>
    <mergeCell ref="X223:Y223"/>
    <mergeCell ref="Z223:AB223"/>
    <mergeCell ref="AC223:AE223"/>
    <mergeCell ref="AF223:AH223"/>
    <mergeCell ref="AI223:AK223"/>
    <mergeCell ref="AL223:AN223"/>
    <mergeCell ref="AO223:AQ223"/>
    <mergeCell ref="AR223:AT223"/>
    <mergeCell ref="BS222:BU222"/>
    <mergeCell ref="BV222:BX222"/>
    <mergeCell ref="BY220:CA220"/>
    <mergeCell ref="CB220:CD220"/>
    <mergeCell ref="CE220:CG220"/>
    <mergeCell ref="CH220:CJ220"/>
    <mergeCell ref="BA220:BC220"/>
    <mergeCell ref="BD220:BF220"/>
    <mergeCell ref="BG220:BI220"/>
    <mergeCell ref="BJ220:BL220"/>
    <mergeCell ref="BM220:BO220"/>
    <mergeCell ref="BP220:BR220"/>
    <mergeCell ref="AI220:AK220"/>
    <mergeCell ref="AL220:AN220"/>
    <mergeCell ref="AO220:AQ220"/>
    <mergeCell ref="AR220:AT220"/>
    <mergeCell ref="AU220:AW220"/>
    <mergeCell ref="AX220:AZ220"/>
    <mergeCell ref="CE221:CG221"/>
    <mergeCell ref="CH221:CJ221"/>
    <mergeCell ref="CH219:CJ219"/>
    <mergeCell ref="CK219:CM219"/>
    <mergeCell ref="CN219:CP219"/>
    <mergeCell ref="V220:W221"/>
    <mergeCell ref="X220:Y220"/>
    <mergeCell ref="Z220:AB220"/>
    <mergeCell ref="AC220:AE220"/>
    <mergeCell ref="AF220:AH220"/>
    <mergeCell ref="BJ219:BL219"/>
    <mergeCell ref="BM219:BO219"/>
    <mergeCell ref="BP219:BR219"/>
    <mergeCell ref="BS219:BU219"/>
    <mergeCell ref="BV219:BX219"/>
    <mergeCell ref="BY219:CA219"/>
    <mergeCell ref="AR219:AT219"/>
    <mergeCell ref="AU219:AW219"/>
    <mergeCell ref="AX219:AZ219"/>
    <mergeCell ref="BA219:BC219"/>
    <mergeCell ref="BD219:BF219"/>
    <mergeCell ref="BG219:BI219"/>
    <mergeCell ref="CK220:CM220"/>
    <mergeCell ref="CN220:CP220"/>
    <mergeCell ref="X221:Y221"/>
    <mergeCell ref="Z221:AB221"/>
    <mergeCell ref="AC221:AE221"/>
    <mergeCell ref="AF221:AH221"/>
    <mergeCell ref="AI221:AK221"/>
    <mergeCell ref="AL221:AN221"/>
    <mergeCell ref="AO221:AQ221"/>
    <mergeCell ref="AR221:AT221"/>
    <mergeCell ref="BS220:BU220"/>
    <mergeCell ref="BV220:BX220"/>
    <mergeCell ref="AO219:AQ219"/>
    <mergeCell ref="BP218:BR218"/>
    <mergeCell ref="BS218:BU218"/>
    <mergeCell ref="BV218:BX218"/>
    <mergeCell ref="BY218:CA218"/>
    <mergeCell ref="CB218:CD218"/>
    <mergeCell ref="CE218:CG218"/>
    <mergeCell ref="AX218:AZ218"/>
    <mergeCell ref="BA218:BC218"/>
    <mergeCell ref="BD218:BF218"/>
    <mergeCell ref="BG218:BI218"/>
    <mergeCell ref="BJ218:BL218"/>
    <mergeCell ref="BM218:BO218"/>
    <mergeCell ref="AF218:AH218"/>
    <mergeCell ref="AI218:AK218"/>
    <mergeCell ref="AL218:AN218"/>
    <mergeCell ref="AO218:AQ218"/>
    <mergeCell ref="AR218:AT218"/>
    <mergeCell ref="AU218:AW218"/>
    <mergeCell ref="CB219:CD219"/>
    <mergeCell ref="CE219:CG219"/>
    <mergeCell ref="CK217:CM217"/>
    <mergeCell ref="CN217:CP217"/>
    <mergeCell ref="B218:F221"/>
    <mergeCell ref="G218:K221"/>
    <mergeCell ref="L218:U221"/>
    <mergeCell ref="V218:W219"/>
    <mergeCell ref="X218:Y218"/>
    <mergeCell ref="Z218:AB218"/>
    <mergeCell ref="AC218:AE218"/>
    <mergeCell ref="BP217:BR217"/>
    <mergeCell ref="BS217:BU217"/>
    <mergeCell ref="BV217:BX217"/>
    <mergeCell ref="BY217:CA217"/>
    <mergeCell ref="CB217:CD217"/>
    <mergeCell ref="CE217:CG217"/>
    <mergeCell ref="AX217:AZ217"/>
    <mergeCell ref="BA217:BC217"/>
    <mergeCell ref="BD217:BF217"/>
    <mergeCell ref="BG217:BI217"/>
    <mergeCell ref="BJ217:BL217"/>
    <mergeCell ref="BM217:BO217"/>
    <mergeCell ref="V216:W217"/>
    <mergeCell ref="AI216:AK216"/>
    <mergeCell ref="CH218:CJ218"/>
    <mergeCell ref="CK218:CM218"/>
    <mergeCell ref="CN218:CP218"/>
    <mergeCell ref="X219:Y219"/>
    <mergeCell ref="Z219:AB219"/>
    <mergeCell ref="AC219:AE219"/>
    <mergeCell ref="AF219:AH219"/>
    <mergeCell ref="AI219:AK219"/>
    <mergeCell ref="AL219:AN219"/>
    <mergeCell ref="X217:Y217"/>
    <mergeCell ref="Z217:AB217"/>
    <mergeCell ref="AC217:AE217"/>
    <mergeCell ref="AF217:AH217"/>
    <mergeCell ref="AI217:AK217"/>
    <mergeCell ref="AL217:AN217"/>
    <mergeCell ref="AO217:AQ217"/>
    <mergeCell ref="AR217:AT217"/>
    <mergeCell ref="AU217:AW217"/>
    <mergeCell ref="BV216:BX216"/>
    <mergeCell ref="BY216:CA216"/>
    <mergeCell ref="CB216:CD216"/>
    <mergeCell ref="CE216:CG216"/>
    <mergeCell ref="CH216:CJ216"/>
    <mergeCell ref="CK216:CM216"/>
    <mergeCell ref="BD216:BF216"/>
    <mergeCell ref="BG216:BI216"/>
    <mergeCell ref="BJ216:BL216"/>
    <mergeCell ref="BM216:BO216"/>
    <mergeCell ref="BP216:BR216"/>
    <mergeCell ref="BS216:BU216"/>
    <mergeCell ref="AL216:AN216"/>
    <mergeCell ref="AO216:AQ216"/>
    <mergeCell ref="AR216:AT216"/>
    <mergeCell ref="AU216:AW216"/>
    <mergeCell ref="AX216:AZ216"/>
    <mergeCell ref="BA216:BC216"/>
    <mergeCell ref="X216:Y216"/>
    <mergeCell ref="Z216:AB216"/>
    <mergeCell ref="AC216:AE216"/>
    <mergeCell ref="AF216:AH216"/>
    <mergeCell ref="CH217:CJ217"/>
    <mergeCell ref="CE215:CG215"/>
    <mergeCell ref="CH215:CJ215"/>
    <mergeCell ref="CK215:CM215"/>
    <mergeCell ref="CN215:CP215"/>
    <mergeCell ref="BG215:BI215"/>
    <mergeCell ref="BJ215:BL215"/>
    <mergeCell ref="BM215:BO215"/>
    <mergeCell ref="BP215:BR215"/>
    <mergeCell ref="BS215:BU215"/>
    <mergeCell ref="BV215:BX215"/>
    <mergeCell ref="AO215:AQ215"/>
    <mergeCell ref="AR215:AT215"/>
    <mergeCell ref="AU215:AW215"/>
    <mergeCell ref="AX215:AZ215"/>
    <mergeCell ref="BA215:BC215"/>
    <mergeCell ref="BD215:BF215"/>
    <mergeCell ref="CN216:CP216"/>
    <mergeCell ref="BS214:BU214"/>
    <mergeCell ref="BV214:BX214"/>
    <mergeCell ref="BY214:CA214"/>
    <mergeCell ref="CB214:CD214"/>
    <mergeCell ref="AU214:AW214"/>
    <mergeCell ref="AX214:AZ214"/>
    <mergeCell ref="BA214:BC214"/>
    <mergeCell ref="BD214:BF214"/>
    <mergeCell ref="BG214:BI214"/>
    <mergeCell ref="BJ214:BL214"/>
    <mergeCell ref="AC214:AE214"/>
    <mergeCell ref="AF214:AH214"/>
    <mergeCell ref="AI214:AK214"/>
    <mergeCell ref="AL214:AN214"/>
    <mergeCell ref="AO214:AQ214"/>
    <mergeCell ref="AR214:AT214"/>
    <mergeCell ref="BY215:CA215"/>
    <mergeCell ref="CB215:CD215"/>
    <mergeCell ref="CK213:CM213"/>
    <mergeCell ref="CN213:CP213"/>
    <mergeCell ref="B214:F217"/>
    <mergeCell ref="G214:K217"/>
    <mergeCell ref="L214:U217"/>
    <mergeCell ref="V214:W215"/>
    <mergeCell ref="X214:Y214"/>
    <mergeCell ref="Z214:AB214"/>
    <mergeCell ref="BM213:BO213"/>
    <mergeCell ref="BP213:BR213"/>
    <mergeCell ref="BS213:BU213"/>
    <mergeCell ref="BV213:BX213"/>
    <mergeCell ref="BY213:CA213"/>
    <mergeCell ref="CB213:CD213"/>
    <mergeCell ref="AU213:AW213"/>
    <mergeCell ref="AX213:AZ213"/>
    <mergeCell ref="BA213:BC213"/>
    <mergeCell ref="BD213:BF213"/>
    <mergeCell ref="BG213:BI213"/>
    <mergeCell ref="BJ213:BL213"/>
    <mergeCell ref="CE214:CG214"/>
    <mergeCell ref="CH214:CJ214"/>
    <mergeCell ref="CK214:CM214"/>
    <mergeCell ref="CN214:CP214"/>
    <mergeCell ref="X215:Y215"/>
    <mergeCell ref="Z215:AB215"/>
    <mergeCell ref="AC215:AE215"/>
    <mergeCell ref="AF215:AH215"/>
    <mergeCell ref="AI215:AK215"/>
    <mergeCell ref="AL215:AN215"/>
    <mergeCell ref="BM214:BO214"/>
    <mergeCell ref="BP214:BR214"/>
    <mergeCell ref="BY212:CA212"/>
    <mergeCell ref="CB212:CD212"/>
    <mergeCell ref="CE212:CG212"/>
    <mergeCell ref="CH212:CJ212"/>
    <mergeCell ref="BA212:BC212"/>
    <mergeCell ref="BD212:BF212"/>
    <mergeCell ref="BG212:BI212"/>
    <mergeCell ref="BJ212:BL212"/>
    <mergeCell ref="BM212:BO212"/>
    <mergeCell ref="BP212:BR212"/>
    <mergeCell ref="AI212:AK212"/>
    <mergeCell ref="AL212:AN212"/>
    <mergeCell ref="AO212:AQ212"/>
    <mergeCell ref="AR212:AT212"/>
    <mergeCell ref="AU212:AW212"/>
    <mergeCell ref="AX212:AZ212"/>
    <mergeCell ref="CE213:CG213"/>
    <mergeCell ref="CH213:CJ213"/>
    <mergeCell ref="CH211:CJ211"/>
    <mergeCell ref="CK211:CM211"/>
    <mergeCell ref="CN211:CP211"/>
    <mergeCell ref="V212:W213"/>
    <mergeCell ref="X212:Y212"/>
    <mergeCell ref="Z212:AB212"/>
    <mergeCell ref="AC212:AE212"/>
    <mergeCell ref="AF212:AH212"/>
    <mergeCell ref="BJ211:BL211"/>
    <mergeCell ref="BM211:BO211"/>
    <mergeCell ref="BP211:BR211"/>
    <mergeCell ref="BS211:BU211"/>
    <mergeCell ref="BV211:BX211"/>
    <mergeCell ref="BY211:CA211"/>
    <mergeCell ref="AR211:AT211"/>
    <mergeCell ref="AU211:AW211"/>
    <mergeCell ref="AX211:AZ211"/>
    <mergeCell ref="BA211:BC211"/>
    <mergeCell ref="BD211:BF211"/>
    <mergeCell ref="BG211:BI211"/>
    <mergeCell ref="CK212:CM212"/>
    <mergeCell ref="CN212:CP212"/>
    <mergeCell ref="X213:Y213"/>
    <mergeCell ref="Z213:AB213"/>
    <mergeCell ref="AC213:AE213"/>
    <mergeCell ref="AF213:AH213"/>
    <mergeCell ref="AI213:AK213"/>
    <mergeCell ref="AL213:AN213"/>
    <mergeCell ref="AO213:AQ213"/>
    <mergeCell ref="AR213:AT213"/>
    <mergeCell ref="BS212:BU212"/>
    <mergeCell ref="BV212:BX212"/>
    <mergeCell ref="AO211:AQ211"/>
    <mergeCell ref="BP210:BR210"/>
    <mergeCell ref="BS210:BU210"/>
    <mergeCell ref="BV210:BX210"/>
    <mergeCell ref="BY210:CA210"/>
    <mergeCell ref="CB210:CD210"/>
    <mergeCell ref="CE210:CG210"/>
    <mergeCell ref="AX210:AZ210"/>
    <mergeCell ref="BA210:BC210"/>
    <mergeCell ref="BD210:BF210"/>
    <mergeCell ref="BG210:BI210"/>
    <mergeCell ref="BJ210:BL210"/>
    <mergeCell ref="BM210:BO210"/>
    <mergeCell ref="AF210:AH210"/>
    <mergeCell ref="AI210:AK210"/>
    <mergeCell ref="AL210:AN210"/>
    <mergeCell ref="AO210:AQ210"/>
    <mergeCell ref="AR210:AT210"/>
    <mergeCell ref="AU210:AW210"/>
    <mergeCell ref="CB211:CD211"/>
    <mergeCell ref="CE211:CG211"/>
    <mergeCell ref="CK209:CM209"/>
    <mergeCell ref="CN209:CP209"/>
    <mergeCell ref="B210:F213"/>
    <mergeCell ref="G210:K213"/>
    <mergeCell ref="L210:U213"/>
    <mergeCell ref="V210:W211"/>
    <mergeCell ref="X210:Y210"/>
    <mergeCell ref="Z210:AB210"/>
    <mergeCell ref="AC210:AE210"/>
    <mergeCell ref="BP209:BR209"/>
    <mergeCell ref="BS209:BU209"/>
    <mergeCell ref="BV209:BX209"/>
    <mergeCell ref="BY209:CA209"/>
    <mergeCell ref="CB209:CD209"/>
    <mergeCell ref="CE209:CG209"/>
    <mergeCell ref="AX209:AZ209"/>
    <mergeCell ref="BA209:BC209"/>
    <mergeCell ref="BD209:BF209"/>
    <mergeCell ref="BG209:BI209"/>
    <mergeCell ref="BJ209:BL209"/>
    <mergeCell ref="BM209:BO209"/>
    <mergeCell ref="V208:W209"/>
    <mergeCell ref="AI208:AK208"/>
    <mergeCell ref="CH210:CJ210"/>
    <mergeCell ref="CK210:CM210"/>
    <mergeCell ref="CN210:CP210"/>
    <mergeCell ref="X211:Y211"/>
    <mergeCell ref="Z211:AB211"/>
    <mergeCell ref="AC211:AE211"/>
    <mergeCell ref="AF211:AH211"/>
    <mergeCell ref="AI211:AK211"/>
    <mergeCell ref="AL211:AN211"/>
    <mergeCell ref="X209:Y209"/>
    <mergeCell ref="Z209:AB209"/>
    <mergeCell ref="AC209:AE209"/>
    <mergeCell ref="AF209:AH209"/>
    <mergeCell ref="AI209:AK209"/>
    <mergeCell ref="AL209:AN209"/>
    <mergeCell ref="AO209:AQ209"/>
    <mergeCell ref="AR209:AT209"/>
    <mergeCell ref="AU209:AW209"/>
    <mergeCell ref="BV208:BX208"/>
    <mergeCell ref="BY208:CA208"/>
    <mergeCell ref="CB208:CD208"/>
    <mergeCell ref="CE208:CG208"/>
    <mergeCell ref="CH208:CJ208"/>
    <mergeCell ref="CK208:CM208"/>
    <mergeCell ref="BD208:BF208"/>
    <mergeCell ref="BG208:BI208"/>
    <mergeCell ref="BJ208:BL208"/>
    <mergeCell ref="BM208:BO208"/>
    <mergeCell ref="BP208:BR208"/>
    <mergeCell ref="BS208:BU208"/>
    <mergeCell ref="AL208:AN208"/>
    <mergeCell ref="AO208:AQ208"/>
    <mergeCell ref="AR208:AT208"/>
    <mergeCell ref="AU208:AW208"/>
    <mergeCell ref="AX208:AZ208"/>
    <mergeCell ref="BA208:BC208"/>
    <mergeCell ref="X208:Y208"/>
    <mergeCell ref="Z208:AB208"/>
    <mergeCell ref="AC208:AE208"/>
    <mergeCell ref="AF208:AH208"/>
    <mergeCell ref="CH209:CJ209"/>
    <mergeCell ref="CE207:CG207"/>
    <mergeCell ref="CH207:CJ207"/>
    <mergeCell ref="CK207:CM207"/>
    <mergeCell ref="CN207:CP207"/>
    <mergeCell ref="BG207:BI207"/>
    <mergeCell ref="BJ207:BL207"/>
    <mergeCell ref="BM207:BO207"/>
    <mergeCell ref="BP207:BR207"/>
    <mergeCell ref="BS207:BU207"/>
    <mergeCell ref="BV207:BX207"/>
    <mergeCell ref="AO207:AQ207"/>
    <mergeCell ref="AR207:AT207"/>
    <mergeCell ref="AU207:AW207"/>
    <mergeCell ref="AX207:AZ207"/>
    <mergeCell ref="BA207:BC207"/>
    <mergeCell ref="BD207:BF207"/>
    <mergeCell ref="CN208:CP208"/>
    <mergeCell ref="BS206:BU206"/>
    <mergeCell ref="BV206:BX206"/>
    <mergeCell ref="BY206:CA206"/>
    <mergeCell ref="CB206:CD206"/>
    <mergeCell ref="AU206:AW206"/>
    <mergeCell ref="AX206:AZ206"/>
    <mergeCell ref="BA206:BC206"/>
    <mergeCell ref="BD206:BF206"/>
    <mergeCell ref="BG206:BI206"/>
    <mergeCell ref="BJ206:BL206"/>
    <mergeCell ref="AC206:AE206"/>
    <mergeCell ref="AF206:AH206"/>
    <mergeCell ref="AI206:AK206"/>
    <mergeCell ref="AL206:AN206"/>
    <mergeCell ref="AO206:AQ206"/>
    <mergeCell ref="AR206:AT206"/>
    <mergeCell ref="BY207:CA207"/>
    <mergeCell ref="CB207:CD207"/>
    <mergeCell ref="CK205:CM205"/>
    <mergeCell ref="CN205:CP205"/>
    <mergeCell ref="B206:F209"/>
    <mergeCell ref="G206:K209"/>
    <mergeCell ref="L206:U209"/>
    <mergeCell ref="V206:W207"/>
    <mergeCell ref="X206:Y206"/>
    <mergeCell ref="Z206:AB206"/>
    <mergeCell ref="BM205:BO205"/>
    <mergeCell ref="BP205:BR205"/>
    <mergeCell ref="BS205:BU205"/>
    <mergeCell ref="BV205:BX205"/>
    <mergeCell ref="BY205:CA205"/>
    <mergeCell ref="CB205:CD205"/>
    <mergeCell ref="AU205:AW205"/>
    <mergeCell ref="AX205:AZ205"/>
    <mergeCell ref="BA205:BC205"/>
    <mergeCell ref="BD205:BF205"/>
    <mergeCell ref="BG205:BI205"/>
    <mergeCell ref="BJ205:BL205"/>
    <mergeCell ref="CE206:CG206"/>
    <mergeCell ref="CH206:CJ206"/>
    <mergeCell ref="CK206:CM206"/>
    <mergeCell ref="CN206:CP206"/>
    <mergeCell ref="X207:Y207"/>
    <mergeCell ref="Z207:AB207"/>
    <mergeCell ref="AC207:AE207"/>
    <mergeCell ref="AF207:AH207"/>
    <mergeCell ref="AI207:AK207"/>
    <mergeCell ref="AL207:AN207"/>
    <mergeCell ref="BM206:BO206"/>
    <mergeCell ref="BP206:BR206"/>
    <mergeCell ref="BY204:CA204"/>
    <mergeCell ref="CB204:CD204"/>
    <mergeCell ref="CE204:CG204"/>
    <mergeCell ref="CH204:CJ204"/>
    <mergeCell ref="BA204:BC204"/>
    <mergeCell ref="BD204:BF204"/>
    <mergeCell ref="BG204:BI204"/>
    <mergeCell ref="BJ204:BL204"/>
    <mergeCell ref="BM204:BO204"/>
    <mergeCell ref="BP204:BR204"/>
    <mergeCell ref="AI204:AK204"/>
    <mergeCell ref="AL204:AN204"/>
    <mergeCell ref="AO204:AQ204"/>
    <mergeCell ref="AR204:AT204"/>
    <mergeCell ref="AU204:AW204"/>
    <mergeCell ref="AX204:AZ204"/>
    <mergeCell ref="CE205:CG205"/>
    <mergeCell ref="CH205:CJ205"/>
    <mergeCell ref="CH203:CJ203"/>
    <mergeCell ref="CK203:CM203"/>
    <mergeCell ref="CN203:CP203"/>
    <mergeCell ref="V204:W205"/>
    <mergeCell ref="X204:Y204"/>
    <mergeCell ref="Z204:AB204"/>
    <mergeCell ref="AC204:AE204"/>
    <mergeCell ref="AF204:AH204"/>
    <mergeCell ref="BJ203:BL203"/>
    <mergeCell ref="BM203:BO203"/>
    <mergeCell ref="BP203:BR203"/>
    <mergeCell ref="BS203:BU203"/>
    <mergeCell ref="BV203:BX203"/>
    <mergeCell ref="BY203:CA203"/>
    <mergeCell ref="AR203:AT203"/>
    <mergeCell ref="AU203:AW203"/>
    <mergeCell ref="AX203:AZ203"/>
    <mergeCell ref="BA203:BC203"/>
    <mergeCell ref="BD203:BF203"/>
    <mergeCell ref="BG203:BI203"/>
    <mergeCell ref="CK204:CM204"/>
    <mergeCell ref="CN204:CP204"/>
    <mergeCell ref="X205:Y205"/>
    <mergeCell ref="Z205:AB205"/>
    <mergeCell ref="AC205:AE205"/>
    <mergeCell ref="AF205:AH205"/>
    <mergeCell ref="AI205:AK205"/>
    <mergeCell ref="AL205:AN205"/>
    <mergeCell ref="AO205:AQ205"/>
    <mergeCell ref="AR205:AT205"/>
    <mergeCell ref="BS204:BU204"/>
    <mergeCell ref="BV204:BX204"/>
    <mergeCell ref="AO203:AQ203"/>
    <mergeCell ref="BP202:BR202"/>
    <mergeCell ref="BS202:BU202"/>
    <mergeCell ref="BV202:BX202"/>
    <mergeCell ref="BY202:CA202"/>
    <mergeCell ref="CB202:CD202"/>
    <mergeCell ref="CE202:CG202"/>
    <mergeCell ref="AX202:AZ202"/>
    <mergeCell ref="BA202:BC202"/>
    <mergeCell ref="BD202:BF202"/>
    <mergeCell ref="BG202:BI202"/>
    <mergeCell ref="BJ202:BL202"/>
    <mergeCell ref="BM202:BO202"/>
    <mergeCell ref="AF202:AH202"/>
    <mergeCell ref="AI202:AK202"/>
    <mergeCell ref="AL202:AN202"/>
    <mergeCell ref="AO202:AQ202"/>
    <mergeCell ref="AR202:AT202"/>
    <mergeCell ref="AU202:AW202"/>
    <mergeCell ref="CB203:CD203"/>
    <mergeCell ref="CE203:CG203"/>
    <mergeCell ref="CK201:CM201"/>
    <mergeCell ref="CN201:CP201"/>
    <mergeCell ref="B202:F205"/>
    <mergeCell ref="G202:K205"/>
    <mergeCell ref="L202:U205"/>
    <mergeCell ref="V202:W203"/>
    <mergeCell ref="X202:Y202"/>
    <mergeCell ref="Z202:AB202"/>
    <mergeCell ref="AC202:AE202"/>
    <mergeCell ref="BP201:BR201"/>
    <mergeCell ref="BS201:BU201"/>
    <mergeCell ref="BV201:BX201"/>
    <mergeCell ref="BY201:CA201"/>
    <mergeCell ref="CB201:CD201"/>
    <mergeCell ref="CE201:CG201"/>
    <mergeCell ref="AX201:AZ201"/>
    <mergeCell ref="BA201:BC201"/>
    <mergeCell ref="BD201:BF201"/>
    <mergeCell ref="BG201:BI201"/>
    <mergeCell ref="BJ201:BL201"/>
    <mergeCell ref="BM201:BO201"/>
    <mergeCell ref="V200:W201"/>
    <mergeCell ref="AI200:AK200"/>
    <mergeCell ref="CH202:CJ202"/>
    <mergeCell ref="CK202:CM202"/>
    <mergeCell ref="CN202:CP202"/>
    <mergeCell ref="X203:Y203"/>
    <mergeCell ref="Z203:AB203"/>
    <mergeCell ref="AC203:AE203"/>
    <mergeCell ref="AF203:AH203"/>
    <mergeCell ref="AI203:AK203"/>
    <mergeCell ref="AL203:AN203"/>
    <mergeCell ref="X201:Y201"/>
    <mergeCell ref="Z201:AB201"/>
    <mergeCell ref="AC201:AE201"/>
    <mergeCell ref="AF201:AH201"/>
    <mergeCell ref="AI201:AK201"/>
    <mergeCell ref="AL201:AN201"/>
    <mergeCell ref="AO201:AQ201"/>
    <mergeCell ref="AR201:AT201"/>
    <mergeCell ref="AU201:AW201"/>
    <mergeCell ref="BV200:BX200"/>
    <mergeCell ref="BY200:CA200"/>
    <mergeCell ref="CB200:CD200"/>
    <mergeCell ref="CE200:CG200"/>
    <mergeCell ref="CH200:CJ200"/>
    <mergeCell ref="CK200:CM200"/>
    <mergeCell ref="BD200:BF200"/>
    <mergeCell ref="BG200:BI200"/>
    <mergeCell ref="BJ200:BL200"/>
    <mergeCell ref="BM200:BO200"/>
    <mergeCell ref="BP200:BR200"/>
    <mergeCell ref="BS200:BU200"/>
    <mergeCell ref="AL200:AN200"/>
    <mergeCell ref="AO200:AQ200"/>
    <mergeCell ref="AR200:AT200"/>
    <mergeCell ref="AU200:AW200"/>
    <mergeCell ref="AX200:AZ200"/>
    <mergeCell ref="BA200:BC200"/>
    <mergeCell ref="X200:Y200"/>
    <mergeCell ref="Z200:AB200"/>
    <mergeCell ref="AC200:AE200"/>
    <mergeCell ref="AF200:AH200"/>
    <mergeCell ref="CH201:CJ201"/>
    <mergeCell ref="CE199:CG199"/>
    <mergeCell ref="CH199:CJ199"/>
    <mergeCell ref="CK199:CM199"/>
    <mergeCell ref="CN199:CP199"/>
    <mergeCell ref="BG199:BI199"/>
    <mergeCell ref="BJ199:BL199"/>
    <mergeCell ref="BM199:BO199"/>
    <mergeCell ref="BP199:BR199"/>
    <mergeCell ref="BS199:BU199"/>
    <mergeCell ref="BV199:BX199"/>
    <mergeCell ref="AO199:AQ199"/>
    <mergeCell ref="AR199:AT199"/>
    <mergeCell ref="AU199:AW199"/>
    <mergeCell ref="AX199:AZ199"/>
    <mergeCell ref="BA199:BC199"/>
    <mergeCell ref="BD199:BF199"/>
    <mergeCell ref="CN200:CP200"/>
    <mergeCell ref="BS198:BU198"/>
    <mergeCell ref="BV198:BX198"/>
    <mergeCell ref="BY198:CA198"/>
    <mergeCell ref="CB198:CD198"/>
    <mergeCell ref="AU198:AW198"/>
    <mergeCell ref="AX198:AZ198"/>
    <mergeCell ref="BA198:BC198"/>
    <mergeCell ref="BD198:BF198"/>
    <mergeCell ref="BG198:BI198"/>
    <mergeCell ref="BJ198:BL198"/>
    <mergeCell ref="AC198:AE198"/>
    <mergeCell ref="AF198:AH198"/>
    <mergeCell ref="AI198:AK198"/>
    <mergeCell ref="AL198:AN198"/>
    <mergeCell ref="AO198:AQ198"/>
    <mergeCell ref="AR198:AT198"/>
    <mergeCell ref="BY199:CA199"/>
    <mergeCell ref="CB199:CD199"/>
    <mergeCell ref="CK197:CM197"/>
    <mergeCell ref="CN197:CP197"/>
    <mergeCell ref="B198:F201"/>
    <mergeCell ref="G198:K201"/>
    <mergeCell ref="L198:U201"/>
    <mergeCell ref="V198:W199"/>
    <mergeCell ref="X198:Y198"/>
    <mergeCell ref="Z198:AB198"/>
    <mergeCell ref="BM197:BO197"/>
    <mergeCell ref="BP197:BR197"/>
    <mergeCell ref="BS197:BU197"/>
    <mergeCell ref="BV197:BX197"/>
    <mergeCell ref="BY197:CA197"/>
    <mergeCell ref="CB197:CD197"/>
    <mergeCell ref="AU197:AW197"/>
    <mergeCell ref="AX197:AZ197"/>
    <mergeCell ref="BA197:BC197"/>
    <mergeCell ref="BD197:BF197"/>
    <mergeCell ref="BG197:BI197"/>
    <mergeCell ref="BJ197:BL197"/>
    <mergeCell ref="CE198:CG198"/>
    <mergeCell ref="CH198:CJ198"/>
    <mergeCell ref="CK198:CM198"/>
    <mergeCell ref="CN198:CP198"/>
    <mergeCell ref="X199:Y199"/>
    <mergeCell ref="Z199:AB199"/>
    <mergeCell ref="AC199:AE199"/>
    <mergeCell ref="AF199:AH199"/>
    <mergeCell ref="AI199:AK199"/>
    <mergeCell ref="AL199:AN199"/>
    <mergeCell ref="BM198:BO198"/>
    <mergeCell ref="BP198:BR198"/>
    <mergeCell ref="BY196:CA196"/>
    <mergeCell ref="CB196:CD196"/>
    <mergeCell ref="CE196:CG196"/>
    <mergeCell ref="CH196:CJ196"/>
    <mergeCell ref="BA196:BC196"/>
    <mergeCell ref="BD196:BF196"/>
    <mergeCell ref="BG196:BI196"/>
    <mergeCell ref="BJ196:BL196"/>
    <mergeCell ref="BM196:BO196"/>
    <mergeCell ref="BP196:BR196"/>
    <mergeCell ref="AI196:AK196"/>
    <mergeCell ref="AL196:AN196"/>
    <mergeCell ref="AO196:AQ196"/>
    <mergeCell ref="AR196:AT196"/>
    <mergeCell ref="AU196:AW196"/>
    <mergeCell ref="AX196:AZ196"/>
    <mergeCell ref="CE197:CG197"/>
    <mergeCell ref="CH197:CJ197"/>
    <mergeCell ref="CH195:CJ195"/>
    <mergeCell ref="CK195:CM195"/>
    <mergeCell ref="CN195:CP195"/>
    <mergeCell ref="V196:W197"/>
    <mergeCell ref="X196:Y196"/>
    <mergeCell ref="Z196:AB196"/>
    <mergeCell ref="AC196:AE196"/>
    <mergeCell ref="AF196:AH196"/>
    <mergeCell ref="BJ195:BL195"/>
    <mergeCell ref="BM195:BO195"/>
    <mergeCell ref="BP195:BR195"/>
    <mergeCell ref="BS195:BU195"/>
    <mergeCell ref="BV195:BX195"/>
    <mergeCell ref="BY195:CA195"/>
    <mergeCell ref="AR195:AT195"/>
    <mergeCell ref="AU195:AW195"/>
    <mergeCell ref="AX195:AZ195"/>
    <mergeCell ref="BA195:BC195"/>
    <mergeCell ref="BD195:BF195"/>
    <mergeCell ref="BG195:BI195"/>
    <mergeCell ref="CK196:CM196"/>
    <mergeCell ref="CN196:CP196"/>
    <mergeCell ref="X197:Y197"/>
    <mergeCell ref="Z197:AB197"/>
    <mergeCell ref="AC197:AE197"/>
    <mergeCell ref="AF197:AH197"/>
    <mergeCell ref="AI197:AK197"/>
    <mergeCell ref="AL197:AN197"/>
    <mergeCell ref="AO197:AQ197"/>
    <mergeCell ref="AR197:AT197"/>
    <mergeCell ref="BS196:BU196"/>
    <mergeCell ref="BV196:BX196"/>
    <mergeCell ref="AO195:AQ195"/>
    <mergeCell ref="BP194:BR194"/>
    <mergeCell ref="BS194:BU194"/>
    <mergeCell ref="BV194:BX194"/>
    <mergeCell ref="BY194:CA194"/>
    <mergeCell ref="CB194:CD194"/>
    <mergeCell ref="CE194:CG194"/>
    <mergeCell ref="AX194:AZ194"/>
    <mergeCell ref="BA194:BC194"/>
    <mergeCell ref="BD194:BF194"/>
    <mergeCell ref="BG194:BI194"/>
    <mergeCell ref="BJ194:BL194"/>
    <mergeCell ref="BM194:BO194"/>
    <mergeCell ref="AF194:AH194"/>
    <mergeCell ref="AI194:AK194"/>
    <mergeCell ref="AL194:AN194"/>
    <mergeCell ref="AO194:AQ194"/>
    <mergeCell ref="AR194:AT194"/>
    <mergeCell ref="AU194:AW194"/>
    <mergeCell ref="CB195:CD195"/>
    <mergeCell ref="CE195:CG195"/>
    <mergeCell ref="CK193:CM193"/>
    <mergeCell ref="CN193:CP193"/>
    <mergeCell ref="B194:F197"/>
    <mergeCell ref="G194:K197"/>
    <mergeCell ref="L194:U197"/>
    <mergeCell ref="V194:W195"/>
    <mergeCell ref="X194:Y194"/>
    <mergeCell ref="Z194:AB194"/>
    <mergeCell ref="AC194:AE194"/>
    <mergeCell ref="BP193:BR193"/>
    <mergeCell ref="BS193:BU193"/>
    <mergeCell ref="BV193:BX193"/>
    <mergeCell ref="BY193:CA193"/>
    <mergeCell ref="CB193:CD193"/>
    <mergeCell ref="CE193:CG193"/>
    <mergeCell ref="AX193:AZ193"/>
    <mergeCell ref="BA193:BC193"/>
    <mergeCell ref="BD193:BF193"/>
    <mergeCell ref="BG193:BI193"/>
    <mergeCell ref="BJ193:BL193"/>
    <mergeCell ref="BM193:BO193"/>
    <mergeCell ref="V192:W193"/>
    <mergeCell ref="AI192:AK192"/>
    <mergeCell ref="CH194:CJ194"/>
    <mergeCell ref="CK194:CM194"/>
    <mergeCell ref="CN194:CP194"/>
    <mergeCell ref="X195:Y195"/>
    <mergeCell ref="Z195:AB195"/>
    <mergeCell ref="AC195:AE195"/>
    <mergeCell ref="AF195:AH195"/>
    <mergeCell ref="AI195:AK195"/>
    <mergeCell ref="AL195:AN195"/>
    <mergeCell ref="X193:Y193"/>
    <mergeCell ref="Z193:AB193"/>
    <mergeCell ref="AC193:AE193"/>
    <mergeCell ref="AF193:AH193"/>
    <mergeCell ref="AI193:AK193"/>
    <mergeCell ref="AL193:AN193"/>
    <mergeCell ref="AO193:AQ193"/>
    <mergeCell ref="AR193:AT193"/>
    <mergeCell ref="AU193:AW193"/>
    <mergeCell ref="BV192:BX192"/>
    <mergeCell ref="BY192:CA192"/>
    <mergeCell ref="CB192:CD192"/>
    <mergeCell ref="CE192:CG192"/>
    <mergeCell ref="CH192:CJ192"/>
    <mergeCell ref="CK192:CM192"/>
    <mergeCell ref="BD192:BF192"/>
    <mergeCell ref="BG192:BI192"/>
    <mergeCell ref="BJ192:BL192"/>
    <mergeCell ref="BM192:BO192"/>
    <mergeCell ref="BP192:BR192"/>
    <mergeCell ref="BS192:BU192"/>
    <mergeCell ref="AL192:AN192"/>
    <mergeCell ref="AO192:AQ192"/>
    <mergeCell ref="AR192:AT192"/>
    <mergeCell ref="AU192:AW192"/>
    <mergeCell ref="AX192:AZ192"/>
    <mergeCell ref="BA192:BC192"/>
    <mergeCell ref="X192:Y192"/>
    <mergeCell ref="Z192:AB192"/>
    <mergeCell ref="AC192:AE192"/>
    <mergeCell ref="AF192:AH192"/>
    <mergeCell ref="CH193:CJ193"/>
    <mergeCell ref="CE191:CG191"/>
    <mergeCell ref="CH191:CJ191"/>
    <mergeCell ref="CK191:CM191"/>
    <mergeCell ref="CN191:CP191"/>
    <mergeCell ref="BG191:BI191"/>
    <mergeCell ref="BJ191:BL191"/>
    <mergeCell ref="BM191:BO191"/>
    <mergeCell ref="BP191:BR191"/>
    <mergeCell ref="BS191:BU191"/>
    <mergeCell ref="BV191:BX191"/>
    <mergeCell ref="AO191:AQ191"/>
    <mergeCell ref="AR191:AT191"/>
    <mergeCell ref="AU191:AW191"/>
    <mergeCell ref="AX191:AZ191"/>
    <mergeCell ref="BA191:BC191"/>
    <mergeCell ref="BD191:BF191"/>
    <mergeCell ref="CN192:CP192"/>
    <mergeCell ref="BS190:BU190"/>
    <mergeCell ref="BV190:BX190"/>
    <mergeCell ref="BY190:CA190"/>
    <mergeCell ref="CB190:CD190"/>
    <mergeCell ref="AU190:AW190"/>
    <mergeCell ref="AX190:AZ190"/>
    <mergeCell ref="BA190:BC190"/>
    <mergeCell ref="BD190:BF190"/>
    <mergeCell ref="BG190:BI190"/>
    <mergeCell ref="BJ190:BL190"/>
    <mergeCell ref="AC190:AE190"/>
    <mergeCell ref="AF190:AH190"/>
    <mergeCell ref="AI190:AK190"/>
    <mergeCell ref="AL190:AN190"/>
    <mergeCell ref="AO190:AQ190"/>
    <mergeCell ref="AR190:AT190"/>
    <mergeCell ref="BY191:CA191"/>
    <mergeCell ref="CB191:CD191"/>
    <mergeCell ref="CK189:CM189"/>
    <mergeCell ref="CN189:CP189"/>
    <mergeCell ref="B190:F193"/>
    <mergeCell ref="G190:K193"/>
    <mergeCell ref="L190:U193"/>
    <mergeCell ref="V190:W191"/>
    <mergeCell ref="X190:Y190"/>
    <mergeCell ref="Z190:AB190"/>
    <mergeCell ref="BM189:BO189"/>
    <mergeCell ref="BP189:BR189"/>
    <mergeCell ref="BS189:BU189"/>
    <mergeCell ref="BV189:BX189"/>
    <mergeCell ref="BY189:CA189"/>
    <mergeCell ref="CB189:CD189"/>
    <mergeCell ref="AU189:AW189"/>
    <mergeCell ref="AX189:AZ189"/>
    <mergeCell ref="BA189:BC189"/>
    <mergeCell ref="BD189:BF189"/>
    <mergeCell ref="BG189:BI189"/>
    <mergeCell ref="BJ189:BL189"/>
    <mergeCell ref="CE190:CG190"/>
    <mergeCell ref="CH190:CJ190"/>
    <mergeCell ref="CK190:CM190"/>
    <mergeCell ref="CN190:CP190"/>
    <mergeCell ref="X191:Y191"/>
    <mergeCell ref="Z191:AB191"/>
    <mergeCell ref="AC191:AE191"/>
    <mergeCell ref="AF191:AH191"/>
    <mergeCell ref="AI191:AK191"/>
    <mergeCell ref="AL191:AN191"/>
    <mergeCell ref="BM190:BO190"/>
    <mergeCell ref="BP190:BR190"/>
    <mergeCell ref="BY188:CA188"/>
    <mergeCell ref="CB188:CD188"/>
    <mergeCell ref="CE188:CG188"/>
    <mergeCell ref="CH188:CJ188"/>
    <mergeCell ref="BA188:BC188"/>
    <mergeCell ref="BD188:BF188"/>
    <mergeCell ref="BG188:BI188"/>
    <mergeCell ref="BJ188:BL188"/>
    <mergeCell ref="BM188:BO188"/>
    <mergeCell ref="BP188:BR188"/>
    <mergeCell ref="AI188:AK188"/>
    <mergeCell ref="AL188:AN188"/>
    <mergeCell ref="AO188:AQ188"/>
    <mergeCell ref="AR188:AT188"/>
    <mergeCell ref="AU188:AW188"/>
    <mergeCell ref="AX188:AZ188"/>
    <mergeCell ref="CE189:CG189"/>
    <mergeCell ref="CH189:CJ189"/>
    <mergeCell ref="CH187:CJ187"/>
    <mergeCell ref="CK187:CM187"/>
    <mergeCell ref="CN187:CP187"/>
    <mergeCell ref="V188:W189"/>
    <mergeCell ref="X188:Y188"/>
    <mergeCell ref="Z188:AB188"/>
    <mergeCell ref="AC188:AE188"/>
    <mergeCell ref="AF188:AH188"/>
    <mergeCell ref="BJ187:BL187"/>
    <mergeCell ref="BM187:BO187"/>
    <mergeCell ref="BP187:BR187"/>
    <mergeCell ref="BS187:BU187"/>
    <mergeCell ref="BV187:BX187"/>
    <mergeCell ref="BY187:CA187"/>
    <mergeCell ref="AR187:AT187"/>
    <mergeCell ref="AU187:AW187"/>
    <mergeCell ref="AX187:AZ187"/>
    <mergeCell ref="BA187:BC187"/>
    <mergeCell ref="BD187:BF187"/>
    <mergeCell ref="BG187:BI187"/>
    <mergeCell ref="CK188:CM188"/>
    <mergeCell ref="CN188:CP188"/>
    <mergeCell ref="X189:Y189"/>
    <mergeCell ref="Z189:AB189"/>
    <mergeCell ref="AC189:AE189"/>
    <mergeCell ref="AF189:AH189"/>
    <mergeCell ref="AI189:AK189"/>
    <mergeCell ref="AL189:AN189"/>
    <mergeCell ref="AO189:AQ189"/>
    <mergeCell ref="AR189:AT189"/>
    <mergeCell ref="BS188:BU188"/>
    <mergeCell ref="BV188:BX188"/>
    <mergeCell ref="AO187:AQ187"/>
    <mergeCell ref="BP186:BR186"/>
    <mergeCell ref="BS186:BU186"/>
    <mergeCell ref="BV186:BX186"/>
    <mergeCell ref="BY186:CA186"/>
    <mergeCell ref="CB186:CD186"/>
    <mergeCell ref="CE186:CG186"/>
    <mergeCell ref="AX186:AZ186"/>
    <mergeCell ref="BA186:BC186"/>
    <mergeCell ref="BD186:BF186"/>
    <mergeCell ref="BG186:BI186"/>
    <mergeCell ref="BJ186:BL186"/>
    <mergeCell ref="BM186:BO186"/>
    <mergeCell ref="AF186:AH186"/>
    <mergeCell ref="AI186:AK186"/>
    <mergeCell ref="AL186:AN186"/>
    <mergeCell ref="AO186:AQ186"/>
    <mergeCell ref="AR186:AT186"/>
    <mergeCell ref="AU186:AW186"/>
    <mergeCell ref="CB187:CD187"/>
    <mergeCell ref="CE187:CG187"/>
    <mergeCell ref="CK185:CM185"/>
    <mergeCell ref="CN185:CP185"/>
    <mergeCell ref="B186:F189"/>
    <mergeCell ref="G186:K189"/>
    <mergeCell ref="L186:U189"/>
    <mergeCell ref="V186:W187"/>
    <mergeCell ref="X186:Y186"/>
    <mergeCell ref="Z186:AB186"/>
    <mergeCell ref="AC186:AE186"/>
    <mergeCell ref="BP185:BR185"/>
    <mergeCell ref="BS185:BU185"/>
    <mergeCell ref="BV185:BX185"/>
    <mergeCell ref="BY185:CA185"/>
    <mergeCell ref="CB185:CD185"/>
    <mergeCell ref="CE185:CG185"/>
    <mergeCell ref="AX185:AZ185"/>
    <mergeCell ref="BA185:BC185"/>
    <mergeCell ref="BD185:BF185"/>
    <mergeCell ref="BG185:BI185"/>
    <mergeCell ref="BJ185:BL185"/>
    <mergeCell ref="BM185:BO185"/>
    <mergeCell ref="V184:W185"/>
    <mergeCell ref="AI184:AK184"/>
    <mergeCell ref="CH186:CJ186"/>
    <mergeCell ref="CK186:CM186"/>
    <mergeCell ref="CN186:CP186"/>
    <mergeCell ref="X187:Y187"/>
    <mergeCell ref="Z187:AB187"/>
    <mergeCell ref="AC187:AE187"/>
    <mergeCell ref="AF187:AH187"/>
    <mergeCell ref="AI187:AK187"/>
    <mergeCell ref="AL187:AN187"/>
    <mergeCell ref="X185:Y185"/>
    <mergeCell ref="Z185:AB185"/>
    <mergeCell ref="AC185:AE185"/>
    <mergeCell ref="AF185:AH185"/>
    <mergeCell ref="AI185:AK185"/>
    <mergeCell ref="AL185:AN185"/>
    <mergeCell ref="AO185:AQ185"/>
    <mergeCell ref="AR185:AT185"/>
    <mergeCell ref="AU185:AW185"/>
    <mergeCell ref="BV184:BX184"/>
    <mergeCell ref="BY184:CA184"/>
    <mergeCell ref="CB184:CD184"/>
    <mergeCell ref="CE184:CG184"/>
    <mergeCell ref="CH184:CJ184"/>
    <mergeCell ref="CK184:CM184"/>
    <mergeCell ref="BD184:BF184"/>
    <mergeCell ref="BG184:BI184"/>
    <mergeCell ref="BJ184:BL184"/>
    <mergeCell ref="BM184:BO184"/>
    <mergeCell ref="BP184:BR184"/>
    <mergeCell ref="BS184:BU184"/>
    <mergeCell ref="AL184:AN184"/>
    <mergeCell ref="AO184:AQ184"/>
    <mergeCell ref="AR184:AT184"/>
    <mergeCell ref="AU184:AW184"/>
    <mergeCell ref="AX184:AZ184"/>
    <mergeCell ref="BA184:BC184"/>
    <mergeCell ref="X184:Y184"/>
    <mergeCell ref="Z184:AB184"/>
    <mergeCell ref="AC184:AE184"/>
    <mergeCell ref="AF184:AH184"/>
    <mergeCell ref="CH185:CJ185"/>
    <mergeCell ref="CE183:CG183"/>
    <mergeCell ref="CH183:CJ183"/>
    <mergeCell ref="CK183:CM183"/>
    <mergeCell ref="CN183:CP183"/>
    <mergeCell ref="BG183:BI183"/>
    <mergeCell ref="BJ183:BL183"/>
    <mergeCell ref="BM183:BO183"/>
    <mergeCell ref="BP183:BR183"/>
    <mergeCell ref="BS183:BU183"/>
    <mergeCell ref="BV183:BX183"/>
    <mergeCell ref="AO183:AQ183"/>
    <mergeCell ref="AR183:AT183"/>
    <mergeCell ref="AU183:AW183"/>
    <mergeCell ref="AX183:AZ183"/>
    <mergeCell ref="BA183:BC183"/>
    <mergeCell ref="BD183:BF183"/>
    <mergeCell ref="CN184:CP184"/>
    <mergeCell ref="BS182:BU182"/>
    <mergeCell ref="BV182:BX182"/>
    <mergeCell ref="BY182:CA182"/>
    <mergeCell ref="CB182:CD182"/>
    <mergeCell ref="AU182:AW182"/>
    <mergeCell ref="AX182:AZ182"/>
    <mergeCell ref="BA182:BC182"/>
    <mergeCell ref="BD182:BF182"/>
    <mergeCell ref="BG182:BI182"/>
    <mergeCell ref="BJ182:BL182"/>
    <mergeCell ref="AC182:AE182"/>
    <mergeCell ref="AF182:AH182"/>
    <mergeCell ref="AI182:AK182"/>
    <mergeCell ref="AL182:AN182"/>
    <mergeCell ref="AO182:AQ182"/>
    <mergeCell ref="AR182:AT182"/>
    <mergeCell ref="BY183:CA183"/>
    <mergeCell ref="CB183:CD183"/>
    <mergeCell ref="CK181:CM181"/>
    <mergeCell ref="CN181:CP181"/>
    <mergeCell ref="B182:F185"/>
    <mergeCell ref="G182:K185"/>
    <mergeCell ref="L182:U185"/>
    <mergeCell ref="V182:W183"/>
    <mergeCell ref="X182:Y182"/>
    <mergeCell ref="Z182:AB182"/>
    <mergeCell ref="BM181:BO181"/>
    <mergeCell ref="BP181:BR181"/>
    <mergeCell ref="BS181:BU181"/>
    <mergeCell ref="BV181:BX181"/>
    <mergeCell ref="BY181:CA181"/>
    <mergeCell ref="CB181:CD181"/>
    <mergeCell ref="AU181:AW181"/>
    <mergeCell ref="AX181:AZ181"/>
    <mergeCell ref="BA181:BC181"/>
    <mergeCell ref="BD181:BF181"/>
    <mergeCell ref="BG181:BI181"/>
    <mergeCell ref="BJ181:BL181"/>
    <mergeCell ref="CE182:CG182"/>
    <mergeCell ref="CH182:CJ182"/>
    <mergeCell ref="CK182:CM182"/>
    <mergeCell ref="CN182:CP182"/>
    <mergeCell ref="X183:Y183"/>
    <mergeCell ref="Z183:AB183"/>
    <mergeCell ref="AC183:AE183"/>
    <mergeCell ref="AF183:AH183"/>
    <mergeCell ref="AI183:AK183"/>
    <mergeCell ref="AL183:AN183"/>
    <mergeCell ref="BM182:BO182"/>
    <mergeCell ref="BP182:BR182"/>
    <mergeCell ref="BY180:CA180"/>
    <mergeCell ref="CB180:CD180"/>
    <mergeCell ref="CE180:CG180"/>
    <mergeCell ref="CH180:CJ180"/>
    <mergeCell ref="BA180:BC180"/>
    <mergeCell ref="BD180:BF180"/>
    <mergeCell ref="BG180:BI180"/>
    <mergeCell ref="BJ180:BL180"/>
    <mergeCell ref="BM180:BO180"/>
    <mergeCell ref="BP180:BR180"/>
    <mergeCell ref="AI180:AK180"/>
    <mergeCell ref="AL180:AN180"/>
    <mergeCell ref="AO180:AQ180"/>
    <mergeCell ref="AR180:AT180"/>
    <mergeCell ref="AU180:AW180"/>
    <mergeCell ref="AX180:AZ180"/>
    <mergeCell ref="CE181:CG181"/>
    <mergeCell ref="CH181:CJ181"/>
    <mergeCell ref="CH179:CJ179"/>
    <mergeCell ref="CK179:CM179"/>
    <mergeCell ref="CN179:CP179"/>
    <mergeCell ref="V180:W181"/>
    <mergeCell ref="X180:Y180"/>
    <mergeCell ref="Z180:AB180"/>
    <mergeCell ref="AC180:AE180"/>
    <mergeCell ref="AF180:AH180"/>
    <mergeCell ref="BJ179:BL179"/>
    <mergeCell ref="BM179:BO179"/>
    <mergeCell ref="BP179:BR179"/>
    <mergeCell ref="BS179:BU179"/>
    <mergeCell ref="BV179:BX179"/>
    <mergeCell ref="BY179:CA179"/>
    <mergeCell ref="AR179:AT179"/>
    <mergeCell ref="AU179:AW179"/>
    <mergeCell ref="AX179:AZ179"/>
    <mergeCell ref="BA179:BC179"/>
    <mergeCell ref="BD179:BF179"/>
    <mergeCell ref="BG179:BI179"/>
    <mergeCell ref="CK180:CM180"/>
    <mergeCell ref="CN180:CP180"/>
    <mergeCell ref="X181:Y181"/>
    <mergeCell ref="Z181:AB181"/>
    <mergeCell ref="AC181:AE181"/>
    <mergeCell ref="AF181:AH181"/>
    <mergeCell ref="AI181:AK181"/>
    <mergeCell ref="AL181:AN181"/>
    <mergeCell ref="AO181:AQ181"/>
    <mergeCell ref="AR181:AT181"/>
    <mergeCell ref="BS180:BU180"/>
    <mergeCell ref="BV180:BX180"/>
    <mergeCell ref="AL179:AN179"/>
    <mergeCell ref="AO179:AQ179"/>
    <mergeCell ref="BP178:BR178"/>
    <mergeCell ref="BS178:BU178"/>
    <mergeCell ref="BV178:BX178"/>
    <mergeCell ref="BY178:CA178"/>
    <mergeCell ref="CB178:CD178"/>
    <mergeCell ref="CE178:CG178"/>
    <mergeCell ref="AX178:AZ178"/>
    <mergeCell ref="BA178:BC178"/>
    <mergeCell ref="BD178:BF178"/>
    <mergeCell ref="BG178:BI178"/>
    <mergeCell ref="BJ178:BL178"/>
    <mergeCell ref="BM178:BO178"/>
    <mergeCell ref="AF178:AH178"/>
    <mergeCell ref="AI178:AK178"/>
    <mergeCell ref="AL178:AN178"/>
    <mergeCell ref="AO178:AQ178"/>
    <mergeCell ref="AR178:AT178"/>
    <mergeCell ref="AU178:AW178"/>
    <mergeCell ref="CB179:CD179"/>
    <mergeCell ref="CE179:CG179"/>
    <mergeCell ref="CH177:CJ177"/>
    <mergeCell ref="CK177:CM177"/>
    <mergeCell ref="CN177:CP177"/>
    <mergeCell ref="B178:F181"/>
    <mergeCell ref="G178:K181"/>
    <mergeCell ref="L178:U181"/>
    <mergeCell ref="V178:W179"/>
    <mergeCell ref="X178:Y178"/>
    <mergeCell ref="Z178:AB178"/>
    <mergeCell ref="AC178:AE178"/>
    <mergeCell ref="BP177:BR177"/>
    <mergeCell ref="BS177:BU177"/>
    <mergeCell ref="BV177:BX177"/>
    <mergeCell ref="BY177:CA177"/>
    <mergeCell ref="CB177:CD177"/>
    <mergeCell ref="CE177:CG177"/>
    <mergeCell ref="AX177:AZ177"/>
    <mergeCell ref="BA177:BC177"/>
    <mergeCell ref="BD177:BF177"/>
    <mergeCell ref="BG177:BI177"/>
    <mergeCell ref="BJ177:BL177"/>
    <mergeCell ref="BM177:BO177"/>
    <mergeCell ref="V176:W177"/>
    <mergeCell ref="AI176:AK176"/>
    <mergeCell ref="CH178:CJ178"/>
    <mergeCell ref="CK178:CM178"/>
    <mergeCell ref="CN178:CP178"/>
    <mergeCell ref="X179:Y179"/>
    <mergeCell ref="Z179:AB179"/>
    <mergeCell ref="AC179:AE179"/>
    <mergeCell ref="AF179:AH179"/>
    <mergeCell ref="AI179:AK179"/>
    <mergeCell ref="CK175:CM175"/>
    <mergeCell ref="CN175:CP175"/>
    <mergeCell ref="BG175:BI175"/>
    <mergeCell ref="BJ175:BL175"/>
    <mergeCell ref="BM175:BO175"/>
    <mergeCell ref="BP175:BR175"/>
    <mergeCell ref="BS175:BU175"/>
    <mergeCell ref="BV175:BX175"/>
    <mergeCell ref="AO175:AQ175"/>
    <mergeCell ref="AR175:AT175"/>
    <mergeCell ref="AU175:AW175"/>
    <mergeCell ref="AX175:AZ175"/>
    <mergeCell ref="BA175:BC175"/>
    <mergeCell ref="BD175:BF175"/>
    <mergeCell ref="CN176:CP176"/>
    <mergeCell ref="X177:Y177"/>
    <mergeCell ref="Z177:AB177"/>
    <mergeCell ref="AC177:AE177"/>
    <mergeCell ref="AF177:AH177"/>
    <mergeCell ref="AI177:AK177"/>
    <mergeCell ref="AL177:AN177"/>
    <mergeCell ref="AO177:AQ177"/>
    <mergeCell ref="AR177:AT177"/>
    <mergeCell ref="AU177:AW177"/>
    <mergeCell ref="BV176:BX176"/>
    <mergeCell ref="BY176:CA176"/>
    <mergeCell ref="CB176:CD176"/>
    <mergeCell ref="CE176:CG176"/>
    <mergeCell ref="CH176:CJ176"/>
    <mergeCell ref="CK176:CM176"/>
    <mergeCell ref="BD176:BF176"/>
    <mergeCell ref="BG176:BI176"/>
    <mergeCell ref="CE174:CG174"/>
    <mergeCell ref="CH174:CJ174"/>
    <mergeCell ref="CK174:CM174"/>
    <mergeCell ref="CN174:CP174"/>
    <mergeCell ref="X175:Y175"/>
    <mergeCell ref="Z175:AB175"/>
    <mergeCell ref="AC175:AE175"/>
    <mergeCell ref="AF175:AH175"/>
    <mergeCell ref="AI175:AK175"/>
    <mergeCell ref="AL175:AN175"/>
    <mergeCell ref="BM174:BO174"/>
    <mergeCell ref="BP174:BR174"/>
    <mergeCell ref="BS174:BU174"/>
    <mergeCell ref="BV174:BX174"/>
    <mergeCell ref="BY174:CA174"/>
    <mergeCell ref="CB174:CD174"/>
    <mergeCell ref="AU174:AW174"/>
    <mergeCell ref="AX174:AZ174"/>
    <mergeCell ref="BA174:BC174"/>
    <mergeCell ref="BD174:BF174"/>
    <mergeCell ref="BG174:BI174"/>
    <mergeCell ref="BJ174:BL174"/>
    <mergeCell ref="AC174:AE174"/>
    <mergeCell ref="AF174:AH174"/>
    <mergeCell ref="AI174:AK174"/>
    <mergeCell ref="AL174:AN174"/>
    <mergeCell ref="AO174:AQ174"/>
    <mergeCell ref="AR174:AT174"/>
    <mergeCell ref="BY175:CA175"/>
    <mergeCell ref="CB175:CD175"/>
    <mergeCell ref="CE175:CG175"/>
    <mergeCell ref="CH175:CJ175"/>
    <mergeCell ref="B174:F177"/>
    <mergeCell ref="G174:K177"/>
    <mergeCell ref="L174:U177"/>
    <mergeCell ref="V174:W175"/>
    <mergeCell ref="X174:Y174"/>
    <mergeCell ref="Z174:AB174"/>
    <mergeCell ref="BM173:BO173"/>
    <mergeCell ref="BP173:BR173"/>
    <mergeCell ref="BS173:BU173"/>
    <mergeCell ref="BV173:BX173"/>
    <mergeCell ref="BY173:CA173"/>
    <mergeCell ref="CB173:CD173"/>
    <mergeCell ref="AU173:AW173"/>
    <mergeCell ref="AX173:AZ173"/>
    <mergeCell ref="BA173:BC173"/>
    <mergeCell ref="BD173:BF173"/>
    <mergeCell ref="BG173:BI173"/>
    <mergeCell ref="BJ173:BL173"/>
    <mergeCell ref="BJ176:BL176"/>
    <mergeCell ref="BM176:BO176"/>
    <mergeCell ref="BP176:BR176"/>
    <mergeCell ref="BS176:BU176"/>
    <mergeCell ref="AL176:AN176"/>
    <mergeCell ref="AO176:AQ176"/>
    <mergeCell ref="AR176:AT176"/>
    <mergeCell ref="AU176:AW176"/>
    <mergeCell ref="AX176:AZ176"/>
    <mergeCell ref="BA176:BC176"/>
    <mergeCell ref="X176:Y176"/>
    <mergeCell ref="Z176:AB176"/>
    <mergeCell ref="AC176:AE176"/>
    <mergeCell ref="AF176:AH176"/>
    <mergeCell ref="CH172:CJ172"/>
    <mergeCell ref="BA172:BC172"/>
    <mergeCell ref="BD172:BF172"/>
    <mergeCell ref="BG172:BI172"/>
    <mergeCell ref="BJ172:BL172"/>
    <mergeCell ref="BM172:BO172"/>
    <mergeCell ref="BP172:BR172"/>
    <mergeCell ref="AI172:AK172"/>
    <mergeCell ref="AL172:AN172"/>
    <mergeCell ref="AO172:AQ172"/>
    <mergeCell ref="AR172:AT172"/>
    <mergeCell ref="AU172:AW172"/>
    <mergeCell ref="AX172:AZ172"/>
    <mergeCell ref="CE173:CG173"/>
    <mergeCell ref="CH173:CJ173"/>
    <mergeCell ref="CK173:CM173"/>
    <mergeCell ref="CN173:CP173"/>
    <mergeCell ref="CN171:CP171"/>
    <mergeCell ref="V172:W173"/>
    <mergeCell ref="X172:Y172"/>
    <mergeCell ref="Z172:AB172"/>
    <mergeCell ref="AC172:AE172"/>
    <mergeCell ref="AF172:AH172"/>
    <mergeCell ref="BJ171:BL171"/>
    <mergeCell ref="BM171:BO171"/>
    <mergeCell ref="BP171:BR171"/>
    <mergeCell ref="BS171:BU171"/>
    <mergeCell ref="BV171:BX171"/>
    <mergeCell ref="BY171:CA171"/>
    <mergeCell ref="AR171:AT171"/>
    <mergeCell ref="AU171:AW171"/>
    <mergeCell ref="AX171:AZ171"/>
    <mergeCell ref="BA171:BC171"/>
    <mergeCell ref="BD171:BF171"/>
    <mergeCell ref="BG171:BI171"/>
    <mergeCell ref="CK172:CM172"/>
    <mergeCell ref="CN172:CP172"/>
    <mergeCell ref="X173:Y173"/>
    <mergeCell ref="Z173:AB173"/>
    <mergeCell ref="AC173:AE173"/>
    <mergeCell ref="AF173:AH173"/>
    <mergeCell ref="AI173:AK173"/>
    <mergeCell ref="AL173:AN173"/>
    <mergeCell ref="AO173:AQ173"/>
    <mergeCell ref="AR173:AT173"/>
    <mergeCell ref="BS172:BU172"/>
    <mergeCell ref="BV172:BX172"/>
    <mergeCell ref="BY172:CA172"/>
    <mergeCell ref="CB172:CD172"/>
    <mergeCell ref="CH170:CJ170"/>
    <mergeCell ref="CK170:CM170"/>
    <mergeCell ref="CN170:CP170"/>
    <mergeCell ref="X171:Y171"/>
    <mergeCell ref="Z171:AB171"/>
    <mergeCell ref="AC171:AE171"/>
    <mergeCell ref="AF171:AH171"/>
    <mergeCell ref="AI171:AK171"/>
    <mergeCell ref="AL171:AN171"/>
    <mergeCell ref="AO171:AQ171"/>
    <mergeCell ref="BP170:BR170"/>
    <mergeCell ref="BS170:BU170"/>
    <mergeCell ref="BV170:BX170"/>
    <mergeCell ref="BY170:CA170"/>
    <mergeCell ref="CB170:CD170"/>
    <mergeCell ref="CE170:CG170"/>
    <mergeCell ref="AX170:AZ170"/>
    <mergeCell ref="BA170:BC170"/>
    <mergeCell ref="BD170:BF170"/>
    <mergeCell ref="BG170:BI170"/>
    <mergeCell ref="BJ170:BL170"/>
    <mergeCell ref="BM170:BO170"/>
    <mergeCell ref="AF170:AH170"/>
    <mergeCell ref="AI170:AK170"/>
    <mergeCell ref="AL170:AN170"/>
    <mergeCell ref="AO170:AQ170"/>
    <mergeCell ref="AR170:AT170"/>
    <mergeCell ref="AU170:AW170"/>
    <mergeCell ref="CB171:CD171"/>
    <mergeCell ref="CE171:CG171"/>
    <mergeCell ref="CH171:CJ171"/>
    <mergeCell ref="CK171:CM171"/>
    <mergeCell ref="B170:F173"/>
    <mergeCell ref="G170:K173"/>
    <mergeCell ref="L170:U173"/>
    <mergeCell ref="V170:W171"/>
    <mergeCell ref="X170:Y170"/>
    <mergeCell ref="Z170:AB170"/>
    <mergeCell ref="AC170:AE170"/>
    <mergeCell ref="BP169:BR169"/>
    <mergeCell ref="BS169:BU169"/>
    <mergeCell ref="BV169:BX169"/>
    <mergeCell ref="BY169:CA169"/>
    <mergeCell ref="CB169:CD169"/>
    <mergeCell ref="CE169:CG169"/>
    <mergeCell ref="AX169:AZ169"/>
    <mergeCell ref="BA169:BC169"/>
    <mergeCell ref="BD169:BF169"/>
    <mergeCell ref="BG169:BI169"/>
    <mergeCell ref="BJ169:BL169"/>
    <mergeCell ref="BM169:BO169"/>
    <mergeCell ref="V168:W169"/>
    <mergeCell ref="AI168:AK168"/>
    <mergeCell ref="CE172:CG172"/>
    <mergeCell ref="BJ168:BL168"/>
    <mergeCell ref="BM168:BO168"/>
    <mergeCell ref="BP168:BR168"/>
    <mergeCell ref="BS168:BU168"/>
    <mergeCell ref="AL168:AN168"/>
    <mergeCell ref="AO168:AQ168"/>
    <mergeCell ref="AR168:AT168"/>
    <mergeCell ref="AU168:AW168"/>
    <mergeCell ref="AX168:AZ168"/>
    <mergeCell ref="BA168:BC168"/>
    <mergeCell ref="X168:Y168"/>
    <mergeCell ref="Z168:AB168"/>
    <mergeCell ref="AC168:AE168"/>
    <mergeCell ref="AF168:AH168"/>
    <mergeCell ref="CH169:CJ169"/>
    <mergeCell ref="CK169:CM169"/>
    <mergeCell ref="CN169:CP169"/>
    <mergeCell ref="CK167:CM167"/>
    <mergeCell ref="CN167:CP167"/>
    <mergeCell ref="BG167:BI167"/>
    <mergeCell ref="BJ167:BL167"/>
    <mergeCell ref="BM167:BO167"/>
    <mergeCell ref="BP167:BR167"/>
    <mergeCell ref="BS167:BU167"/>
    <mergeCell ref="BV167:BX167"/>
    <mergeCell ref="AO167:AQ167"/>
    <mergeCell ref="AR167:AT167"/>
    <mergeCell ref="AU167:AW167"/>
    <mergeCell ref="AX167:AZ167"/>
    <mergeCell ref="BA167:BC167"/>
    <mergeCell ref="BD167:BF167"/>
    <mergeCell ref="CN168:CP168"/>
    <mergeCell ref="X169:Y169"/>
    <mergeCell ref="Z169:AB169"/>
    <mergeCell ref="AC169:AE169"/>
    <mergeCell ref="AF169:AH169"/>
    <mergeCell ref="AI169:AK169"/>
    <mergeCell ref="AL169:AN169"/>
    <mergeCell ref="AO169:AQ169"/>
    <mergeCell ref="AR169:AT169"/>
    <mergeCell ref="AU169:AW169"/>
    <mergeCell ref="BV168:BX168"/>
    <mergeCell ref="BY168:CA168"/>
    <mergeCell ref="CB168:CD168"/>
    <mergeCell ref="CE168:CG168"/>
    <mergeCell ref="CH168:CJ168"/>
    <mergeCell ref="CK168:CM168"/>
    <mergeCell ref="BD168:BF168"/>
    <mergeCell ref="BG168:BI168"/>
    <mergeCell ref="CE166:CG166"/>
    <mergeCell ref="CH166:CJ166"/>
    <mergeCell ref="CK166:CM166"/>
    <mergeCell ref="CN166:CP166"/>
    <mergeCell ref="X167:Y167"/>
    <mergeCell ref="Z167:AB167"/>
    <mergeCell ref="AC167:AE167"/>
    <mergeCell ref="AF167:AH167"/>
    <mergeCell ref="AI167:AK167"/>
    <mergeCell ref="AL167:AN167"/>
    <mergeCell ref="BM166:BO166"/>
    <mergeCell ref="BP166:BR166"/>
    <mergeCell ref="BS166:BU166"/>
    <mergeCell ref="BV166:BX166"/>
    <mergeCell ref="BY166:CA166"/>
    <mergeCell ref="CB166:CD166"/>
    <mergeCell ref="AU166:AW166"/>
    <mergeCell ref="AX166:AZ166"/>
    <mergeCell ref="BA166:BC166"/>
    <mergeCell ref="BD166:BF166"/>
    <mergeCell ref="BG166:BI166"/>
    <mergeCell ref="BJ166:BL166"/>
    <mergeCell ref="AC166:AE166"/>
    <mergeCell ref="AF166:AH166"/>
    <mergeCell ref="AI166:AK166"/>
    <mergeCell ref="AL166:AN166"/>
    <mergeCell ref="AO166:AQ166"/>
    <mergeCell ref="AR166:AT166"/>
    <mergeCell ref="BY167:CA167"/>
    <mergeCell ref="CB167:CD167"/>
    <mergeCell ref="CE167:CG167"/>
    <mergeCell ref="CH167:CJ167"/>
    <mergeCell ref="CE165:CG165"/>
    <mergeCell ref="CH165:CJ165"/>
    <mergeCell ref="CK165:CM165"/>
    <mergeCell ref="CN165:CP165"/>
    <mergeCell ref="B166:F169"/>
    <mergeCell ref="G166:K169"/>
    <mergeCell ref="L166:U169"/>
    <mergeCell ref="V166:W167"/>
    <mergeCell ref="X166:Y166"/>
    <mergeCell ref="Z166:AB166"/>
    <mergeCell ref="BM165:BO165"/>
    <mergeCell ref="BP165:BR165"/>
    <mergeCell ref="BS165:BU165"/>
    <mergeCell ref="BV165:BX165"/>
    <mergeCell ref="BY165:CA165"/>
    <mergeCell ref="CB165:CD165"/>
    <mergeCell ref="AU165:AW165"/>
    <mergeCell ref="AX165:AZ165"/>
    <mergeCell ref="BA165:BC165"/>
    <mergeCell ref="BD165:BF165"/>
    <mergeCell ref="BG165:BI165"/>
    <mergeCell ref="BJ165:BL165"/>
    <mergeCell ref="AC165:AE165"/>
    <mergeCell ref="AF165:AH165"/>
    <mergeCell ref="AI165:AK165"/>
    <mergeCell ref="L163:U165"/>
    <mergeCell ref="V163:W165"/>
    <mergeCell ref="CE163:CG163"/>
    <mergeCell ref="CH163:CJ163"/>
    <mergeCell ref="CK163:CM163"/>
    <mergeCell ref="CN163:CP163"/>
    <mergeCell ref="BM164:CP164"/>
    <mergeCell ref="BM163:BO163"/>
    <mergeCell ref="BP163:BR163"/>
    <mergeCell ref="BS163:BU163"/>
    <mergeCell ref="BV163:BX163"/>
    <mergeCell ref="BY163:CA163"/>
    <mergeCell ref="CB163:CD163"/>
    <mergeCell ref="AU163:AW163"/>
    <mergeCell ref="AX163:AZ163"/>
    <mergeCell ref="BA163:BC163"/>
    <mergeCell ref="BD163:BF163"/>
    <mergeCell ref="BG163:BI163"/>
    <mergeCell ref="BJ163:BL163"/>
    <mergeCell ref="AC163:AE163"/>
    <mergeCell ref="AF163:AH163"/>
    <mergeCell ref="AI163:AK163"/>
    <mergeCell ref="AL163:AN163"/>
    <mergeCell ref="AO163:AQ163"/>
    <mergeCell ref="AR163:AT163"/>
    <mergeCell ref="X163:Y165"/>
    <mergeCell ref="BH157:BI157"/>
    <mergeCell ref="BJ157:BK157"/>
    <mergeCell ref="BL157:BM157"/>
    <mergeCell ref="BN157:BO157"/>
    <mergeCell ref="Z163:AB165"/>
    <mergeCell ref="BP159:BQ159"/>
    <mergeCell ref="BR159:BS159"/>
    <mergeCell ref="BT159:BU159"/>
    <mergeCell ref="BV159:BW159"/>
    <mergeCell ref="BX159:BY159"/>
    <mergeCell ref="BZ159:CA159"/>
    <mergeCell ref="BD159:BE159"/>
    <mergeCell ref="BF159:BG159"/>
    <mergeCell ref="BH159:BI159"/>
    <mergeCell ref="BJ159:BK159"/>
    <mergeCell ref="BL159:BM159"/>
    <mergeCell ref="BN159:BO159"/>
    <mergeCell ref="AR159:AS159"/>
    <mergeCell ref="AT159:AU159"/>
    <mergeCell ref="AV159:AW159"/>
    <mergeCell ref="AX159:AY159"/>
    <mergeCell ref="AZ159:BA159"/>
    <mergeCell ref="BB159:BC159"/>
    <mergeCell ref="B158:AI159"/>
    <mergeCell ref="AJ158:AK158"/>
    <mergeCell ref="AL158:AM158"/>
    <mergeCell ref="AN158:AO158"/>
    <mergeCell ref="AL165:AN165"/>
    <mergeCell ref="AO165:AQ165"/>
    <mergeCell ref="AR165:AT165"/>
    <mergeCell ref="B163:F165"/>
    <mergeCell ref="G163:K165"/>
    <mergeCell ref="DV158:DX159"/>
    <mergeCell ref="DY158:EA159"/>
    <mergeCell ref="AJ159:AK159"/>
    <mergeCell ref="AL159:AM159"/>
    <mergeCell ref="AN159:AO159"/>
    <mergeCell ref="AP159:AQ159"/>
    <mergeCell ref="CN158:CP158"/>
    <mergeCell ref="CQ158:CS159"/>
    <mergeCell ref="DJ158:DL159"/>
    <mergeCell ref="DM158:DO159"/>
    <mergeCell ref="CN159:CP159"/>
    <mergeCell ref="BZ158:CA158"/>
    <mergeCell ref="CB158:CC158"/>
    <mergeCell ref="CD158:CE158"/>
    <mergeCell ref="CF158:CG158"/>
    <mergeCell ref="CH158:CJ159"/>
    <mergeCell ref="CK158:CM158"/>
    <mergeCell ref="CB159:CC159"/>
    <mergeCell ref="CD159:CE159"/>
    <mergeCell ref="CF159:CG159"/>
    <mergeCell ref="CK159:CM159"/>
    <mergeCell ref="BN158:BO158"/>
    <mergeCell ref="DP156:DR157"/>
    <mergeCell ref="DS156:DU157"/>
    <mergeCell ref="DV156:DX157"/>
    <mergeCell ref="BH158:BI158"/>
    <mergeCell ref="BJ158:BK158"/>
    <mergeCell ref="BL158:BM158"/>
    <mergeCell ref="AP158:AQ158"/>
    <mergeCell ref="AR158:AS158"/>
    <mergeCell ref="AT158:AU158"/>
    <mergeCell ref="AV158:AW158"/>
    <mergeCell ref="AX158:AY158"/>
    <mergeCell ref="AZ158:BA158"/>
    <mergeCell ref="BP158:BQ158"/>
    <mergeCell ref="BR158:BS158"/>
    <mergeCell ref="BT158:BU158"/>
    <mergeCell ref="BV158:BW158"/>
    <mergeCell ref="BX158:BY158"/>
    <mergeCell ref="BB158:BC158"/>
    <mergeCell ref="BD158:BE158"/>
    <mergeCell ref="BF158:BG158"/>
    <mergeCell ref="AP156:AQ156"/>
    <mergeCell ref="AR156:AS156"/>
    <mergeCell ref="AT156:AU156"/>
    <mergeCell ref="AV156:AW156"/>
    <mergeCell ref="AX156:AY156"/>
    <mergeCell ref="AZ156:BA156"/>
    <mergeCell ref="BP157:BQ157"/>
    <mergeCell ref="BR157:BS157"/>
    <mergeCell ref="BT157:BU157"/>
    <mergeCell ref="BV157:BW157"/>
    <mergeCell ref="DP158:DR159"/>
    <mergeCell ref="DS158:DU159"/>
    <mergeCell ref="DY156:EA157"/>
    <mergeCell ref="AJ157:AK157"/>
    <mergeCell ref="AL157:AM157"/>
    <mergeCell ref="AN157:AO157"/>
    <mergeCell ref="AP157:AQ157"/>
    <mergeCell ref="CN156:CP156"/>
    <mergeCell ref="CQ156:CS157"/>
    <mergeCell ref="DJ156:DL157"/>
    <mergeCell ref="DM156:DO157"/>
    <mergeCell ref="CN157:CP157"/>
    <mergeCell ref="BZ156:CA156"/>
    <mergeCell ref="CB156:CC156"/>
    <mergeCell ref="CD156:CE156"/>
    <mergeCell ref="CF156:CG156"/>
    <mergeCell ref="CH156:CJ157"/>
    <mergeCell ref="CK156:CM156"/>
    <mergeCell ref="CB157:CC157"/>
    <mergeCell ref="CD157:CE157"/>
    <mergeCell ref="CF157:CG157"/>
    <mergeCell ref="CK157:CM157"/>
    <mergeCell ref="BN156:BO156"/>
    <mergeCell ref="BP156:BQ156"/>
    <mergeCell ref="BR156:BS156"/>
    <mergeCell ref="BT156:BU156"/>
    <mergeCell ref="BV156:BW156"/>
    <mergeCell ref="BX156:BY156"/>
    <mergeCell ref="BB156:BC156"/>
    <mergeCell ref="BD156:BE156"/>
    <mergeCell ref="BF156:BG156"/>
    <mergeCell ref="BH156:BI156"/>
    <mergeCell ref="BJ156:BK156"/>
    <mergeCell ref="BL156:BM156"/>
    <mergeCell ref="B156:AI157"/>
    <mergeCell ref="AJ156:AK156"/>
    <mergeCell ref="AL156:AM156"/>
    <mergeCell ref="AN156:AO156"/>
    <mergeCell ref="BP155:BQ155"/>
    <mergeCell ref="BR155:BS155"/>
    <mergeCell ref="BT155:BU155"/>
    <mergeCell ref="BV155:BW155"/>
    <mergeCell ref="BX155:BY155"/>
    <mergeCell ref="BZ155:CA155"/>
    <mergeCell ref="BD155:BE155"/>
    <mergeCell ref="BF155:BG155"/>
    <mergeCell ref="BH155:BI155"/>
    <mergeCell ref="BJ155:BK155"/>
    <mergeCell ref="BL155:BM155"/>
    <mergeCell ref="BN155:BO155"/>
    <mergeCell ref="AR155:AS155"/>
    <mergeCell ref="AT155:AU155"/>
    <mergeCell ref="AV155:AW155"/>
    <mergeCell ref="AX155:AY155"/>
    <mergeCell ref="AZ155:BA155"/>
    <mergeCell ref="BB155:BC155"/>
    <mergeCell ref="BX157:BY157"/>
    <mergeCell ref="BZ157:CA157"/>
    <mergeCell ref="BD157:BE157"/>
    <mergeCell ref="BF157:BG157"/>
    <mergeCell ref="AR157:AS157"/>
    <mergeCell ref="AT157:AU157"/>
    <mergeCell ref="AV157:AW157"/>
    <mergeCell ref="AX157:AY157"/>
    <mergeCell ref="AZ157:BA157"/>
    <mergeCell ref="BB157:BC157"/>
    <mergeCell ref="DP154:DR155"/>
    <mergeCell ref="DS154:DU155"/>
    <mergeCell ref="DV154:DX155"/>
    <mergeCell ref="DY154:EA155"/>
    <mergeCell ref="AJ155:AK155"/>
    <mergeCell ref="AL155:AM155"/>
    <mergeCell ref="AN155:AO155"/>
    <mergeCell ref="AP155:AQ155"/>
    <mergeCell ref="CN154:CP154"/>
    <mergeCell ref="CQ154:CS155"/>
    <mergeCell ref="DJ154:DL155"/>
    <mergeCell ref="DM154:DO155"/>
    <mergeCell ref="CN155:CP155"/>
    <mergeCell ref="BZ154:CA154"/>
    <mergeCell ref="CB154:CC154"/>
    <mergeCell ref="CD154:CE154"/>
    <mergeCell ref="CF154:CG154"/>
    <mergeCell ref="CH154:CJ155"/>
    <mergeCell ref="CK154:CM154"/>
    <mergeCell ref="CB155:CC155"/>
    <mergeCell ref="CD155:CE155"/>
    <mergeCell ref="CF155:CG155"/>
    <mergeCell ref="CK155:CM155"/>
    <mergeCell ref="BN154:BO154"/>
    <mergeCell ref="BP154:BQ154"/>
    <mergeCell ref="BR154:BS154"/>
    <mergeCell ref="BT154:BU154"/>
    <mergeCell ref="BV154:BW154"/>
    <mergeCell ref="BX154:BY154"/>
    <mergeCell ref="BB154:BC154"/>
    <mergeCell ref="BD154:BE154"/>
    <mergeCell ref="BF154:BG154"/>
    <mergeCell ref="BH154:BI154"/>
    <mergeCell ref="BJ154:BK154"/>
    <mergeCell ref="BL154:BM154"/>
    <mergeCell ref="AP154:AQ154"/>
    <mergeCell ref="AR154:AS154"/>
    <mergeCell ref="AT154:AU154"/>
    <mergeCell ref="AV154:AW154"/>
    <mergeCell ref="AX154:AY154"/>
    <mergeCell ref="AZ154:BA154"/>
    <mergeCell ref="B154:AI155"/>
    <mergeCell ref="AJ154:AK154"/>
    <mergeCell ref="AL154:AM154"/>
    <mergeCell ref="AN154:AO154"/>
    <mergeCell ref="BN153:BO153"/>
    <mergeCell ref="BP153:BQ153"/>
    <mergeCell ref="BR153:BS153"/>
    <mergeCell ref="BT153:BU153"/>
    <mergeCell ref="BV153:BW153"/>
    <mergeCell ref="BX153:BY153"/>
    <mergeCell ref="BB153:BC153"/>
    <mergeCell ref="BD153:BE153"/>
    <mergeCell ref="BF153:BG153"/>
    <mergeCell ref="BH153:BI153"/>
    <mergeCell ref="BJ153:BK153"/>
    <mergeCell ref="BL153:BM153"/>
    <mergeCell ref="AP153:AQ153"/>
    <mergeCell ref="AR153:AS153"/>
    <mergeCell ref="AT153:AU153"/>
    <mergeCell ref="AV153:AW153"/>
    <mergeCell ref="AX153:AY153"/>
    <mergeCell ref="AZ153:BA153"/>
    <mergeCell ref="DM152:DO153"/>
    <mergeCell ref="DP152:DR153"/>
    <mergeCell ref="DS152:DU153"/>
    <mergeCell ref="BJ152:BK152"/>
    <mergeCell ref="DV152:DX153"/>
    <mergeCell ref="DY152:EA153"/>
    <mergeCell ref="AJ153:AK153"/>
    <mergeCell ref="AL153:AM153"/>
    <mergeCell ref="AN153:AO153"/>
    <mergeCell ref="CK152:CM152"/>
    <mergeCell ref="CN152:CP152"/>
    <mergeCell ref="CQ152:CS153"/>
    <mergeCell ref="DJ152:DL153"/>
    <mergeCell ref="CK153:CM153"/>
    <mergeCell ref="CN153:CP153"/>
    <mergeCell ref="BX152:BY152"/>
    <mergeCell ref="BZ152:CA152"/>
    <mergeCell ref="CB152:CC152"/>
    <mergeCell ref="CD152:CE152"/>
    <mergeCell ref="CF152:CG152"/>
    <mergeCell ref="CH152:CJ153"/>
    <mergeCell ref="BZ153:CA153"/>
    <mergeCell ref="CB153:CC153"/>
    <mergeCell ref="CD153:CE153"/>
    <mergeCell ref="CF153:CG153"/>
    <mergeCell ref="BL152:BM152"/>
    <mergeCell ref="BN152:BO152"/>
    <mergeCell ref="BP152:BQ152"/>
    <mergeCell ref="BR152:BS152"/>
    <mergeCell ref="BT152:BU152"/>
    <mergeCell ref="BV152:BW152"/>
    <mergeCell ref="AZ152:BA152"/>
    <mergeCell ref="BB152:BC152"/>
    <mergeCell ref="BD152:BE152"/>
    <mergeCell ref="BF152:BG152"/>
    <mergeCell ref="BH152:BI152"/>
    <mergeCell ref="AE152:AF153"/>
    <mergeCell ref="AG152:AI153"/>
    <mergeCell ref="AJ152:AK152"/>
    <mergeCell ref="AL152:AM152"/>
    <mergeCell ref="B152:D153"/>
    <mergeCell ref="E152:I153"/>
    <mergeCell ref="J152:N153"/>
    <mergeCell ref="O152:X153"/>
    <mergeCell ref="Y152:AB153"/>
    <mergeCell ref="AC152:AD153"/>
    <mergeCell ref="BN151:BO151"/>
    <mergeCell ref="B150:D151"/>
    <mergeCell ref="E150:I151"/>
    <mergeCell ref="J150:N151"/>
    <mergeCell ref="O150:X151"/>
    <mergeCell ref="Y150:AB151"/>
    <mergeCell ref="AC150:AD151"/>
    <mergeCell ref="BT150:BU150"/>
    <mergeCell ref="BV150:BW150"/>
    <mergeCell ref="AZ150:BA150"/>
    <mergeCell ref="BB150:BC150"/>
    <mergeCell ref="BP151:BQ151"/>
    <mergeCell ref="BR151:BS151"/>
    <mergeCell ref="BT151:BU151"/>
    <mergeCell ref="BV151:BW151"/>
    <mergeCell ref="BX151:BY151"/>
    <mergeCell ref="BB151:BC151"/>
    <mergeCell ref="BD151:BE151"/>
    <mergeCell ref="BF151:BG151"/>
    <mergeCell ref="BH151:BI151"/>
    <mergeCell ref="BJ151:BK151"/>
    <mergeCell ref="BL151:BM151"/>
    <mergeCell ref="AZ151:BA151"/>
    <mergeCell ref="AN152:AO152"/>
    <mergeCell ref="AP152:AQ152"/>
    <mergeCell ref="AR152:AS152"/>
    <mergeCell ref="AT152:AU152"/>
    <mergeCell ref="AV152:AW152"/>
    <mergeCell ref="AX152:AY152"/>
    <mergeCell ref="AE148:AF149"/>
    <mergeCell ref="AG148:AI149"/>
    <mergeCell ref="AJ148:AK148"/>
    <mergeCell ref="AL148:AM148"/>
    <mergeCell ref="DM150:DO151"/>
    <mergeCell ref="DP150:DR151"/>
    <mergeCell ref="DS150:DU151"/>
    <mergeCell ref="DV150:DX151"/>
    <mergeCell ref="DY150:EA151"/>
    <mergeCell ref="AJ151:AK151"/>
    <mergeCell ref="AL151:AM151"/>
    <mergeCell ref="AN151:AO151"/>
    <mergeCell ref="CK150:CM150"/>
    <mergeCell ref="CN150:CP150"/>
    <mergeCell ref="CQ150:CS151"/>
    <mergeCell ref="DJ150:DL151"/>
    <mergeCell ref="CK151:CM151"/>
    <mergeCell ref="CN151:CP151"/>
    <mergeCell ref="BX150:BY150"/>
    <mergeCell ref="BZ150:CA150"/>
    <mergeCell ref="CB150:CC150"/>
    <mergeCell ref="CD150:CE150"/>
    <mergeCell ref="CF150:CG150"/>
    <mergeCell ref="CH150:CJ151"/>
    <mergeCell ref="BZ151:CA151"/>
    <mergeCell ref="CB151:CC151"/>
    <mergeCell ref="CD151:CE151"/>
    <mergeCell ref="CF151:CG151"/>
    <mergeCell ref="BL150:BM150"/>
    <mergeCell ref="BN150:BO150"/>
    <mergeCell ref="BP150:BQ150"/>
    <mergeCell ref="BR150:BS150"/>
    <mergeCell ref="BD150:BE150"/>
    <mergeCell ref="BF150:BG150"/>
    <mergeCell ref="BH150:BI150"/>
    <mergeCell ref="BJ150:BK150"/>
    <mergeCell ref="AN150:AO150"/>
    <mergeCell ref="AP150:AQ150"/>
    <mergeCell ref="AR150:AS150"/>
    <mergeCell ref="AT150:AU150"/>
    <mergeCell ref="AV150:AW150"/>
    <mergeCell ref="AX150:AY150"/>
    <mergeCell ref="AE150:AF151"/>
    <mergeCell ref="AG150:AI151"/>
    <mergeCell ref="AJ150:AK150"/>
    <mergeCell ref="AL150:AM150"/>
    <mergeCell ref="AP151:AQ151"/>
    <mergeCell ref="AR151:AS151"/>
    <mergeCell ref="AT151:AU151"/>
    <mergeCell ref="AV151:AW151"/>
    <mergeCell ref="AX151:AY151"/>
    <mergeCell ref="BN149:BO149"/>
    <mergeCell ref="BP149:BQ149"/>
    <mergeCell ref="BR149:BS149"/>
    <mergeCell ref="BT149:BU149"/>
    <mergeCell ref="BV149:BW149"/>
    <mergeCell ref="BX149:BY149"/>
    <mergeCell ref="BB149:BC149"/>
    <mergeCell ref="BD149:BE149"/>
    <mergeCell ref="BF149:BG149"/>
    <mergeCell ref="BH149:BI149"/>
    <mergeCell ref="BJ149:BK149"/>
    <mergeCell ref="BL149:BM149"/>
    <mergeCell ref="AP149:AQ149"/>
    <mergeCell ref="AR149:AS149"/>
    <mergeCell ref="AT149:AU149"/>
    <mergeCell ref="AV149:AW149"/>
    <mergeCell ref="AX149:AY149"/>
    <mergeCell ref="AZ149:BA149"/>
    <mergeCell ref="B148:D149"/>
    <mergeCell ref="E148:I149"/>
    <mergeCell ref="J148:N149"/>
    <mergeCell ref="O148:X149"/>
    <mergeCell ref="Y148:AB149"/>
    <mergeCell ref="AC148:AD149"/>
    <mergeCell ref="DM148:DO149"/>
    <mergeCell ref="DP148:DR149"/>
    <mergeCell ref="DS148:DU149"/>
    <mergeCell ref="DV148:DX149"/>
    <mergeCell ref="DY148:EA149"/>
    <mergeCell ref="AJ149:AK149"/>
    <mergeCell ref="AL149:AM149"/>
    <mergeCell ref="AN149:AO149"/>
    <mergeCell ref="CK148:CM148"/>
    <mergeCell ref="CN148:CP148"/>
    <mergeCell ref="CQ148:CS149"/>
    <mergeCell ref="DJ148:DL149"/>
    <mergeCell ref="CK149:CM149"/>
    <mergeCell ref="CN149:CP149"/>
    <mergeCell ref="BX148:BY148"/>
    <mergeCell ref="BZ148:CA148"/>
    <mergeCell ref="CB148:CC148"/>
    <mergeCell ref="CD148:CE148"/>
    <mergeCell ref="CF148:CG148"/>
    <mergeCell ref="CH148:CJ149"/>
    <mergeCell ref="BZ149:CA149"/>
    <mergeCell ref="CB149:CC149"/>
    <mergeCell ref="CD149:CE149"/>
    <mergeCell ref="CF149:CG149"/>
    <mergeCell ref="BL148:BM148"/>
    <mergeCell ref="BN148:BO148"/>
    <mergeCell ref="BX147:BY147"/>
    <mergeCell ref="BB147:BC147"/>
    <mergeCell ref="BD147:BE147"/>
    <mergeCell ref="BF147:BG147"/>
    <mergeCell ref="BH147:BI147"/>
    <mergeCell ref="BJ147:BK147"/>
    <mergeCell ref="BL147:BM147"/>
    <mergeCell ref="AZ147:BA147"/>
    <mergeCell ref="BD146:BE146"/>
    <mergeCell ref="BF146:BG146"/>
    <mergeCell ref="BH146:BI146"/>
    <mergeCell ref="BJ146:BK146"/>
    <mergeCell ref="BD148:BE148"/>
    <mergeCell ref="BF148:BG148"/>
    <mergeCell ref="BH148:BI148"/>
    <mergeCell ref="BJ148:BK148"/>
    <mergeCell ref="AN148:AO148"/>
    <mergeCell ref="AP148:AQ148"/>
    <mergeCell ref="AR148:AS148"/>
    <mergeCell ref="AT148:AU148"/>
    <mergeCell ref="AV148:AW148"/>
    <mergeCell ref="AX148:AY148"/>
    <mergeCell ref="BP148:BQ148"/>
    <mergeCell ref="BR148:BS148"/>
    <mergeCell ref="BT148:BU148"/>
    <mergeCell ref="BV148:BW148"/>
    <mergeCell ref="AZ148:BA148"/>
    <mergeCell ref="BB148:BC148"/>
    <mergeCell ref="DM146:DO147"/>
    <mergeCell ref="DP146:DR147"/>
    <mergeCell ref="DS146:DU147"/>
    <mergeCell ref="DV146:DX147"/>
    <mergeCell ref="DY146:EA147"/>
    <mergeCell ref="AJ147:AK147"/>
    <mergeCell ref="AL147:AM147"/>
    <mergeCell ref="AN147:AO147"/>
    <mergeCell ref="CK146:CM146"/>
    <mergeCell ref="CN146:CP146"/>
    <mergeCell ref="CQ146:CS147"/>
    <mergeCell ref="DJ146:DL147"/>
    <mergeCell ref="CK147:CM147"/>
    <mergeCell ref="CN147:CP147"/>
    <mergeCell ref="BX146:BY146"/>
    <mergeCell ref="BZ146:CA146"/>
    <mergeCell ref="CB146:CC146"/>
    <mergeCell ref="CD146:CE146"/>
    <mergeCell ref="CF146:CG146"/>
    <mergeCell ref="CH146:CJ147"/>
    <mergeCell ref="BZ147:CA147"/>
    <mergeCell ref="CB147:CC147"/>
    <mergeCell ref="CD147:CE147"/>
    <mergeCell ref="CF147:CG147"/>
    <mergeCell ref="BL146:BM146"/>
    <mergeCell ref="BN146:BO146"/>
    <mergeCell ref="BP146:BQ146"/>
    <mergeCell ref="BR146:BS146"/>
    <mergeCell ref="BT146:BU146"/>
    <mergeCell ref="BV146:BW146"/>
    <mergeCell ref="AZ146:BA146"/>
    <mergeCell ref="BB146:BC146"/>
    <mergeCell ref="BV144:BW144"/>
    <mergeCell ref="AZ144:BA144"/>
    <mergeCell ref="BB144:BC144"/>
    <mergeCell ref="BN145:BO145"/>
    <mergeCell ref="BP145:BQ145"/>
    <mergeCell ref="BR145:BS145"/>
    <mergeCell ref="BT145:BU145"/>
    <mergeCell ref="BV145:BW145"/>
    <mergeCell ref="AE144:AF145"/>
    <mergeCell ref="AG144:AI145"/>
    <mergeCell ref="AJ144:AK144"/>
    <mergeCell ref="AL144:AM144"/>
    <mergeCell ref="B146:D147"/>
    <mergeCell ref="E146:I147"/>
    <mergeCell ref="J146:N147"/>
    <mergeCell ref="O146:X147"/>
    <mergeCell ref="Y146:AB147"/>
    <mergeCell ref="AC146:AD147"/>
    <mergeCell ref="BN147:BO147"/>
    <mergeCell ref="BP147:BQ147"/>
    <mergeCell ref="BR147:BS147"/>
    <mergeCell ref="BT147:BU147"/>
    <mergeCell ref="BV147:BW147"/>
    <mergeCell ref="BL145:BM145"/>
    <mergeCell ref="AP145:AQ145"/>
    <mergeCell ref="AR145:AS145"/>
    <mergeCell ref="AT145:AU145"/>
    <mergeCell ref="AV145:AW145"/>
    <mergeCell ref="AX145:AY145"/>
    <mergeCell ref="AZ145:BA145"/>
    <mergeCell ref="B144:D145"/>
    <mergeCell ref="E144:I145"/>
    <mergeCell ref="J144:N145"/>
    <mergeCell ref="O144:X145"/>
    <mergeCell ref="Y144:AB145"/>
    <mergeCell ref="AC144:AD145"/>
    <mergeCell ref="AN146:AO146"/>
    <mergeCell ref="AP146:AQ146"/>
    <mergeCell ref="AR146:AS146"/>
    <mergeCell ref="AT146:AU146"/>
    <mergeCell ref="AV146:AW146"/>
    <mergeCell ref="AX146:AY146"/>
    <mergeCell ref="AE146:AF147"/>
    <mergeCell ref="AG146:AI147"/>
    <mergeCell ref="AJ146:AK146"/>
    <mergeCell ref="AL146:AM146"/>
    <mergeCell ref="AP147:AQ147"/>
    <mergeCell ref="AR147:AS147"/>
    <mergeCell ref="AT147:AU147"/>
    <mergeCell ref="AV147:AW147"/>
    <mergeCell ref="AX147:AY147"/>
    <mergeCell ref="DM144:DO145"/>
    <mergeCell ref="DP144:DR145"/>
    <mergeCell ref="DS144:DU145"/>
    <mergeCell ref="DV144:DX145"/>
    <mergeCell ref="DY144:EA145"/>
    <mergeCell ref="AJ145:AK145"/>
    <mergeCell ref="AL145:AM145"/>
    <mergeCell ref="AN145:AO145"/>
    <mergeCell ref="CK144:CM144"/>
    <mergeCell ref="CN144:CP144"/>
    <mergeCell ref="CQ144:CS145"/>
    <mergeCell ref="DJ144:DL145"/>
    <mergeCell ref="CK145:CM145"/>
    <mergeCell ref="CN145:CP145"/>
    <mergeCell ref="BX144:BY144"/>
    <mergeCell ref="BZ144:CA144"/>
    <mergeCell ref="CB144:CC144"/>
    <mergeCell ref="CD144:CE144"/>
    <mergeCell ref="CF144:CG144"/>
    <mergeCell ref="CH144:CJ145"/>
    <mergeCell ref="BZ145:CA145"/>
    <mergeCell ref="CB145:CC145"/>
    <mergeCell ref="CD145:CE145"/>
    <mergeCell ref="CF145:CG145"/>
    <mergeCell ref="BL144:BM144"/>
    <mergeCell ref="BN144:BO144"/>
    <mergeCell ref="BX145:BY145"/>
    <mergeCell ref="BB145:BC145"/>
    <mergeCell ref="BD145:BE145"/>
    <mergeCell ref="BF145:BG145"/>
    <mergeCell ref="BH145:BI145"/>
    <mergeCell ref="BJ145:BK145"/>
    <mergeCell ref="BJ143:BK143"/>
    <mergeCell ref="BL143:BM143"/>
    <mergeCell ref="BN143:BO143"/>
    <mergeCell ref="BP143:BQ143"/>
    <mergeCell ref="BR143:BS143"/>
    <mergeCell ref="BT143:BU143"/>
    <mergeCell ref="AX143:AY143"/>
    <mergeCell ref="AZ143:BA143"/>
    <mergeCell ref="BB143:BC143"/>
    <mergeCell ref="BD143:BE143"/>
    <mergeCell ref="BF143:BG143"/>
    <mergeCell ref="BH143:BI143"/>
    <mergeCell ref="BD144:BE144"/>
    <mergeCell ref="BF144:BG144"/>
    <mergeCell ref="BH144:BI144"/>
    <mergeCell ref="BJ144:BK144"/>
    <mergeCell ref="AN144:AO144"/>
    <mergeCell ref="AP144:AQ144"/>
    <mergeCell ref="AR144:AS144"/>
    <mergeCell ref="AT144:AU144"/>
    <mergeCell ref="AV144:AW144"/>
    <mergeCell ref="AX144:AY144"/>
    <mergeCell ref="BP144:BQ144"/>
    <mergeCell ref="BR144:BS144"/>
    <mergeCell ref="BT144:BU144"/>
    <mergeCell ref="CQ142:CS143"/>
    <mergeCell ref="CT142:CU142"/>
    <mergeCell ref="CK143:CM143"/>
    <mergeCell ref="CN143:CP143"/>
    <mergeCell ref="BX142:BY142"/>
    <mergeCell ref="BZ142:CA142"/>
    <mergeCell ref="CB142:CC142"/>
    <mergeCell ref="CD142:CE142"/>
    <mergeCell ref="CF142:CG142"/>
    <mergeCell ref="CH142:CJ143"/>
    <mergeCell ref="BL142:BM142"/>
    <mergeCell ref="BN142:BO142"/>
    <mergeCell ref="BP142:BQ142"/>
    <mergeCell ref="BR142:BS142"/>
    <mergeCell ref="BT142:BU142"/>
    <mergeCell ref="BV142:BW142"/>
    <mergeCell ref="BV143:BW143"/>
    <mergeCell ref="BX143:BY143"/>
    <mergeCell ref="BZ143:CA143"/>
    <mergeCell ref="CB143:CC143"/>
    <mergeCell ref="CD143:CE143"/>
    <mergeCell ref="CF143:CG143"/>
    <mergeCell ref="AN142:AO142"/>
    <mergeCell ref="AP142:AQ142"/>
    <mergeCell ref="AR142:AS142"/>
    <mergeCell ref="AT142:AU142"/>
    <mergeCell ref="AV142:AW142"/>
    <mergeCell ref="AX142:AY142"/>
    <mergeCell ref="AE142:AF143"/>
    <mergeCell ref="AG142:AI143"/>
    <mergeCell ref="AJ142:AK142"/>
    <mergeCell ref="AL142:AM142"/>
    <mergeCell ref="B142:D143"/>
    <mergeCell ref="E142:I143"/>
    <mergeCell ref="J142:N143"/>
    <mergeCell ref="O142:X143"/>
    <mergeCell ref="Y142:AB143"/>
    <mergeCell ref="AC142:AD143"/>
    <mergeCell ref="DY142:EA143"/>
    <mergeCell ref="AJ143:AK143"/>
    <mergeCell ref="AL143:AM143"/>
    <mergeCell ref="AN143:AO143"/>
    <mergeCell ref="AP143:AQ143"/>
    <mergeCell ref="AR143:AS143"/>
    <mergeCell ref="AT143:AU143"/>
    <mergeCell ref="AV143:AW143"/>
    <mergeCell ref="CW142:DA142"/>
    <mergeCell ref="DJ142:DL143"/>
    <mergeCell ref="DM142:DO143"/>
    <mergeCell ref="DP142:DR143"/>
    <mergeCell ref="DS142:DU143"/>
    <mergeCell ref="DV142:DX143"/>
    <mergeCell ref="CK142:CM142"/>
    <mergeCell ref="CN142:CP142"/>
    <mergeCell ref="BJ141:BK141"/>
    <mergeCell ref="BL141:BM141"/>
    <mergeCell ref="BN141:BO141"/>
    <mergeCell ref="BP141:BQ141"/>
    <mergeCell ref="BR141:BS141"/>
    <mergeCell ref="BT141:BU141"/>
    <mergeCell ref="AX141:AY141"/>
    <mergeCell ref="AZ141:BA141"/>
    <mergeCell ref="BB141:BC141"/>
    <mergeCell ref="BD141:BE141"/>
    <mergeCell ref="BF141:BG141"/>
    <mergeCell ref="BH141:BI141"/>
    <mergeCell ref="AZ142:BA142"/>
    <mergeCell ref="BB142:BC142"/>
    <mergeCell ref="BD142:BE142"/>
    <mergeCell ref="BF142:BG142"/>
    <mergeCell ref="BH142:BI142"/>
    <mergeCell ref="BJ142:BK142"/>
    <mergeCell ref="CQ140:CS141"/>
    <mergeCell ref="CT140:CU140"/>
    <mergeCell ref="CK141:CM141"/>
    <mergeCell ref="CN141:CP141"/>
    <mergeCell ref="BX140:BY140"/>
    <mergeCell ref="BZ140:CA140"/>
    <mergeCell ref="CB140:CC140"/>
    <mergeCell ref="CD140:CE140"/>
    <mergeCell ref="CF140:CG140"/>
    <mergeCell ref="CH140:CJ141"/>
    <mergeCell ref="BL140:BM140"/>
    <mergeCell ref="BN140:BO140"/>
    <mergeCell ref="BP140:BQ140"/>
    <mergeCell ref="BR140:BS140"/>
    <mergeCell ref="BT140:BU140"/>
    <mergeCell ref="BV140:BW140"/>
    <mergeCell ref="BV141:BW141"/>
    <mergeCell ref="BX141:BY141"/>
    <mergeCell ref="BZ141:CA141"/>
    <mergeCell ref="CB141:CC141"/>
    <mergeCell ref="CD141:CE141"/>
    <mergeCell ref="CF141:CG141"/>
    <mergeCell ref="AN140:AO140"/>
    <mergeCell ref="AP140:AQ140"/>
    <mergeCell ref="AR140:AS140"/>
    <mergeCell ref="AT140:AU140"/>
    <mergeCell ref="AV140:AW140"/>
    <mergeCell ref="AX140:AY140"/>
    <mergeCell ref="AE140:AF141"/>
    <mergeCell ref="AG140:AI141"/>
    <mergeCell ref="AJ140:AK140"/>
    <mergeCell ref="AL140:AM140"/>
    <mergeCell ref="B140:D141"/>
    <mergeCell ref="E140:I141"/>
    <mergeCell ref="J140:N141"/>
    <mergeCell ref="O140:X141"/>
    <mergeCell ref="Y140:AB141"/>
    <mergeCell ref="AC140:AD141"/>
    <mergeCell ref="DY140:EA141"/>
    <mergeCell ref="AJ141:AK141"/>
    <mergeCell ref="AL141:AM141"/>
    <mergeCell ref="AN141:AO141"/>
    <mergeCell ref="AP141:AQ141"/>
    <mergeCell ref="AR141:AS141"/>
    <mergeCell ref="AT141:AU141"/>
    <mergeCell ref="AV141:AW141"/>
    <mergeCell ref="CW140:DA140"/>
    <mergeCell ref="DJ140:DL141"/>
    <mergeCell ref="DM140:DO141"/>
    <mergeCell ref="DP140:DR141"/>
    <mergeCell ref="DS140:DU141"/>
    <mergeCell ref="DV140:DX141"/>
    <mergeCell ref="CK140:CM140"/>
    <mergeCell ref="CN140:CP140"/>
    <mergeCell ref="BJ139:BK139"/>
    <mergeCell ref="BL139:BM139"/>
    <mergeCell ref="BN139:BO139"/>
    <mergeCell ref="BP139:BQ139"/>
    <mergeCell ref="BR139:BS139"/>
    <mergeCell ref="BT139:BU139"/>
    <mergeCell ref="AX139:AY139"/>
    <mergeCell ref="AZ139:BA139"/>
    <mergeCell ref="BB139:BC139"/>
    <mergeCell ref="BD139:BE139"/>
    <mergeCell ref="BF139:BG139"/>
    <mergeCell ref="BH139:BI139"/>
    <mergeCell ref="AZ140:BA140"/>
    <mergeCell ref="BB140:BC140"/>
    <mergeCell ref="BD140:BE140"/>
    <mergeCell ref="BF140:BG140"/>
    <mergeCell ref="BH140:BI140"/>
    <mergeCell ref="BJ140:BK140"/>
    <mergeCell ref="CQ138:CS139"/>
    <mergeCell ref="CT138:CU138"/>
    <mergeCell ref="CK139:CM139"/>
    <mergeCell ref="CN139:CP139"/>
    <mergeCell ref="BX138:BY138"/>
    <mergeCell ref="BZ138:CA138"/>
    <mergeCell ref="CB138:CC138"/>
    <mergeCell ref="CD138:CE138"/>
    <mergeCell ref="CF138:CG138"/>
    <mergeCell ref="CH138:CJ139"/>
    <mergeCell ref="BL138:BM138"/>
    <mergeCell ref="BN138:BO138"/>
    <mergeCell ref="BP138:BQ138"/>
    <mergeCell ref="BR138:BS138"/>
    <mergeCell ref="BT138:BU138"/>
    <mergeCell ref="BV138:BW138"/>
    <mergeCell ref="BV139:BW139"/>
    <mergeCell ref="BX139:BY139"/>
    <mergeCell ref="BZ139:CA139"/>
    <mergeCell ref="CB139:CC139"/>
    <mergeCell ref="CD139:CE139"/>
    <mergeCell ref="CF139:CG139"/>
    <mergeCell ref="AN138:AO138"/>
    <mergeCell ref="AP138:AQ138"/>
    <mergeCell ref="AR138:AS138"/>
    <mergeCell ref="AT138:AU138"/>
    <mergeCell ref="AV138:AW138"/>
    <mergeCell ref="AX138:AY138"/>
    <mergeCell ref="AE138:AF139"/>
    <mergeCell ref="AG138:AI139"/>
    <mergeCell ref="AJ138:AK138"/>
    <mergeCell ref="AL138:AM138"/>
    <mergeCell ref="B138:D139"/>
    <mergeCell ref="E138:I139"/>
    <mergeCell ref="J138:N139"/>
    <mergeCell ref="O138:X139"/>
    <mergeCell ref="Y138:AB139"/>
    <mergeCell ref="AC138:AD139"/>
    <mergeCell ref="DY138:EA139"/>
    <mergeCell ref="AJ139:AK139"/>
    <mergeCell ref="AL139:AM139"/>
    <mergeCell ref="AN139:AO139"/>
    <mergeCell ref="AP139:AQ139"/>
    <mergeCell ref="AR139:AS139"/>
    <mergeCell ref="AT139:AU139"/>
    <mergeCell ref="AV139:AW139"/>
    <mergeCell ref="CW138:DA138"/>
    <mergeCell ref="DJ138:DL139"/>
    <mergeCell ref="DM138:DO139"/>
    <mergeCell ref="DP138:DR139"/>
    <mergeCell ref="DS138:DU139"/>
    <mergeCell ref="DV138:DX139"/>
    <mergeCell ref="CK138:CM138"/>
    <mergeCell ref="CN138:CP138"/>
    <mergeCell ref="BJ137:BK137"/>
    <mergeCell ref="BL137:BM137"/>
    <mergeCell ref="BN137:BO137"/>
    <mergeCell ref="BP137:BQ137"/>
    <mergeCell ref="BR137:BS137"/>
    <mergeCell ref="BT137:BU137"/>
    <mergeCell ref="AX137:AY137"/>
    <mergeCell ref="AZ137:BA137"/>
    <mergeCell ref="BB137:BC137"/>
    <mergeCell ref="BD137:BE137"/>
    <mergeCell ref="BF137:BG137"/>
    <mergeCell ref="BH137:BI137"/>
    <mergeCell ref="AZ138:BA138"/>
    <mergeCell ref="BB138:BC138"/>
    <mergeCell ref="BD138:BE138"/>
    <mergeCell ref="BF138:BG138"/>
    <mergeCell ref="BH138:BI138"/>
    <mergeCell ref="BJ138:BK138"/>
    <mergeCell ref="CQ136:CS137"/>
    <mergeCell ref="CT136:CU136"/>
    <mergeCell ref="CK137:CM137"/>
    <mergeCell ref="CN137:CP137"/>
    <mergeCell ref="BX136:BY136"/>
    <mergeCell ref="BZ136:CA136"/>
    <mergeCell ref="CB136:CC136"/>
    <mergeCell ref="CD136:CE136"/>
    <mergeCell ref="CF136:CG136"/>
    <mergeCell ref="CH136:CJ137"/>
    <mergeCell ref="BL136:BM136"/>
    <mergeCell ref="BN136:BO136"/>
    <mergeCell ref="BP136:BQ136"/>
    <mergeCell ref="BR136:BS136"/>
    <mergeCell ref="BT136:BU136"/>
    <mergeCell ref="BV136:BW136"/>
    <mergeCell ref="BV137:BW137"/>
    <mergeCell ref="BX137:BY137"/>
    <mergeCell ref="BZ137:CA137"/>
    <mergeCell ref="CB137:CC137"/>
    <mergeCell ref="CD137:CE137"/>
    <mergeCell ref="CF137:CG137"/>
    <mergeCell ref="AN136:AO136"/>
    <mergeCell ref="AP136:AQ136"/>
    <mergeCell ref="AR136:AS136"/>
    <mergeCell ref="AT136:AU136"/>
    <mergeCell ref="AV136:AW136"/>
    <mergeCell ref="AX136:AY136"/>
    <mergeCell ref="AE136:AF137"/>
    <mergeCell ref="AG136:AI137"/>
    <mergeCell ref="AJ136:AK136"/>
    <mergeCell ref="AL136:AM136"/>
    <mergeCell ref="B136:D137"/>
    <mergeCell ref="E136:I137"/>
    <mergeCell ref="J136:N137"/>
    <mergeCell ref="O136:X137"/>
    <mergeCell ref="Y136:AB137"/>
    <mergeCell ref="AC136:AD137"/>
    <mergeCell ref="DY136:EA137"/>
    <mergeCell ref="AJ137:AK137"/>
    <mergeCell ref="AL137:AM137"/>
    <mergeCell ref="AN137:AO137"/>
    <mergeCell ref="AP137:AQ137"/>
    <mergeCell ref="AR137:AS137"/>
    <mergeCell ref="AT137:AU137"/>
    <mergeCell ref="AV137:AW137"/>
    <mergeCell ref="CW136:DA136"/>
    <mergeCell ref="DJ136:DL137"/>
    <mergeCell ref="DM136:DO137"/>
    <mergeCell ref="DP136:DR137"/>
    <mergeCell ref="DS136:DU137"/>
    <mergeCell ref="DV136:DX137"/>
    <mergeCell ref="CK136:CM136"/>
    <mergeCell ref="CN136:CP136"/>
    <mergeCell ref="BJ135:BK135"/>
    <mergeCell ref="BL135:BM135"/>
    <mergeCell ref="BN135:BO135"/>
    <mergeCell ref="BP135:BQ135"/>
    <mergeCell ref="BR135:BS135"/>
    <mergeCell ref="BT135:BU135"/>
    <mergeCell ref="AX135:AY135"/>
    <mergeCell ref="AZ135:BA135"/>
    <mergeCell ref="BB135:BC135"/>
    <mergeCell ref="BD135:BE135"/>
    <mergeCell ref="BF135:BG135"/>
    <mergeCell ref="BH135:BI135"/>
    <mergeCell ref="AZ136:BA136"/>
    <mergeCell ref="BB136:BC136"/>
    <mergeCell ref="BD136:BE136"/>
    <mergeCell ref="BF136:BG136"/>
    <mergeCell ref="BH136:BI136"/>
    <mergeCell ref="BJ136:BK136"/>
    <mergeCell ref="CQ134:CS135"/>
    <mergeCell ref="CT134:CU134"/>
    <mergeCell ref="CK135:CM135"/>
    <mergeCell ref="CN135:CP135"/>
    <mergeCell ref="BX134:BY134"/>
    <mergeCell ref="BZ134:CA134"/>
    <mergeCell ref="CB134:CC134"/>
    <mergeCell ref="CD134:CE134"/>
    <mergeCell ref="CF134:CG134"/>
    <mergeCell ref="CH134:CJ135"/>
    <mergeCell ref="BL134:BM134"/>
    <mergeCell ref="BN134:BO134"/>
    <mergeCell ref="BP134:BQ134"/>
    <mergeCell ref="BR134:BS134"/>
    <mergeCell ref="BT134:BU134"/>
    <mergeCell ref="BV134:BW134"/>
    <mergeCell ref="BV135:BW135"/>
    <mergeCell ref="BX135:BY135"/>
    <mergeCell ref="BZ135:CA135"/>
    <mergeCell ref="CB135:CC135"/>
    <mergeCell ref="CD135:CE135"/>
    <mergeCell ref="CF135:CG135"/>
    <mergeCell ref="AN134:AO134"/>
    <mergeCell ref="AP134:AQ134"/>
    <mergeCell ref="AR134:AS134"/>
    <mergeCell ref="AT134:AU134"/>
    <mergeCell ref="AV134:AW134"/>
    <mergeCell ref="AX134:AY134"/>
    <mergeCell ref="AE134:AF135"/>
    <mergeCell ref="AG134:AI135"/>
    <mergeCell ref="AJ134:AK134"/>
    <mergeCell ref="AL134:AM134"/>
    <mergeCell ref="B134:D135"/>
    <mergeCell ref="E134:I135"/>
    <mergeCell ref="J134:N135"/>
    <mergeCell ref="O134:X135"/>
    <mergeCell ref="Y134:AB135"/>
    <mergeCell ref="AC134:AD135"/>
    <mergeCell ref="DY134:EA135"/>
    <mergeCell ref="AJ135:AK135"/>
    <mergeCell ref="AL135:AM135"/>
    <mergeCell ref="AN135:AO135"/>
    <mergeCell ref="AP135:AQ135"/>
    <mergeCell ref="AR135:AS135"/>
    <mergeCell ref="AT135:AU135"/>
    <mergeCell ref="AV135:AW135"/>
    <mergeCell ref="CW134:DA134"/>
    <mergeCell ref="DJ134:DL135"/>
    <mergeCell ref="DM134:DO135"/>
    <mergeCell ref="DP134:DR135"/>
    <mergeCell ref="DS134:DU135"/>
    <mergeCell ref="DV134:DX135"/>
    <mergeCell ref="CK134:CM134"/>
    <mergeCell ref="CN134:CP134"/>
    <mergeCell ref="BJ133:BK133"/>
    <mergeCell ref="BL133:BM133"/>
    <mergeCell ref="BN133:BO133"/>
    <mergeCell ref="BP133:BQ133"/>
    <mergeCell ref="BR133:BS133"/>
    <mergeCell ref="BT133:BU133"/>
    <mergeCell ref="AX133:AY133"/>
    <mergeCell ref="AZ133:BA133"/>
    <mergeCell ref="BB133:BC133"/>
    <mergeCell ref="BD133:BE133"/>
    <mergeCell ref="BF133:BG133"/>
    <mergeCell ref="BH133:BI133"/>
    <mergeCell ref="AZ134:BA134"/>
    <mergeCell ref="BB134:BC134"/>
    <mergeCell ref="BD134:BE134"/>
    <mergeCell ref="BF134:BG134"/>
    <mergeCell ref="BH134:BI134"/>
    <mergeCell ref="BJ134:BK134"/>
    <mergeCell ref="CQ132:CS133"/>
    <mergeCell ref="CT132:CU132"/>
    <mergeCell ref="CK133:CM133"/>
    <mergeCell ref="CN133:CP133"/>
    <mergeCell ref="BX132:BY132"/>
    <mergeCell ref="BZ132:CA132"/>
    <mergeCell ref="CB132:CC132"/>
    <mergeCell ref="CD132:CE132"/>
    <mergeCell ref="CF132:CG132"/>
    <mergeCell ref="CH132:CJ133"/>
    <mergeCell ref="BL132:BM132"/>
    <mergeCell ref="BN132:BO132"/>
    <mergeCell ref="BP132:BQ132"/>
    <mergeCell ref="BR132:BS132"/>
    <mergeCell ref="BT132:BU132"/>
    <mergeCell ref="BV132:BW132"/>
    <mergeCell ref="BV133:BW133"/>
    <mergeCell ref="BX133:BY133"/>
    <mergeCell ref="BZ133:CA133"/>
    <mergeCell ref="CB133:CC133"/>
    <mergeCell ref="CD133:CE133"/>
    <mergeCell ref="CF133:CG133"/>
    <mergeCell ref="AN132:AO132"/>
    <mergeCell ref="AP132:AQ132"/>
    <mergeCell ref="AR132:AS132"/>
    <mergeCell ref="AT132:AU132"/>
    <mergeCell ref="AV132:AW132"/>
    <mergeCell ref="AX132:AY132"/>
    <mergeCell ref="AE132:AF133"/>
    <mergeCell ref="AG132:AI133"/>
    <mergeCell ref="AJ132:AK132"/>
    <mergeCell ref="AL132:AM132"/>
    <mergeCell ref="B132:D133"/>
    <mergeCell ref="E132:I133"/>
    <mergeCell ref="J132:N133"/>
    <mergeCell ref="O132:X133"/>
    <mergeCell ref="Y132:AB133"/>
    <mergeCell ref="AC132:AD133"/>
    <mergeCell ref="DY132:EA133"/>
    <mergeCell ref="AJ133:AK133"/>
    <mergeCell ref="AL133:AM133"/>
    <mergeCell ref="AN133:AO133"/>
    <mergeCell ref="AP133:AQ133"/>
    <mergeCell ref="AR133:AS133"/>
    <mergeCell ref="AT133:AU133"/>
    <mergeCell ref="AV133:AW133"/>
    <mergeCell ref="CW132:DA132"/>
    <mergeCell ref="DJ132:DL133"/>
    <mergeCell ref="DM132:DO133"/>
    <mergeCell ref="DP132:DR133"/>
    <mergeCell ref="DS132:DU133"/>
    <mergeCell ref="DV132:DX133"/>
    <mergeCell ref="CK132:CM132"/>
    <mergeCell ref="CN132:CP132"/>
    <mergeCell ref="BJ131:BK131"/>
    <mergeCell ref="BL131:BM131"/>
    <mergeCell ref="BN131:BO131"/>
    <mergeCell ref="BP131:BQ131"/>
    <mergeCell ref="BR131:BS131"/>
    <mergeCell ref="BT131:BU131"/>
    <mergeCell ref="AX131:AY131"/>
    <mergeCell ref="AZ131:BA131"/>
    <mergeCell ref="BB131:BC131"/>
    <mergeCell ref="BD131:BE131"/>
    <mergeCell ref="BF131:BG131"/>
    <mergeCell ref="BH131:BI131"/>
    <mergeCell ref="AZ132:BA132"/>
    <mergeCell ref="BB132:BC132"/>
    <mergeCell ref="BD132:BE132"/>
    <mergeCell ref="BF132:BG132"/>
    <mergeCell ref="BH132:BI132"/>
    <mergeCell ref="BJ132:BK132"/>
    <mergeCell ref="CQ130:CS131"/>
    <mergeCell ref="CT130:CU130"/>
    <mergeCell ref="CK131:CM131"/>
    <mergeCell ref="CN131:CP131"/>
    <mergeCell ref="BX130:BY130"/>
    <mergeCell ref="BZ130:CA130"/>
    <mergeCell ref="CB130:CC130"/>
    <mergeCell ref="CD130:CE130"/>
    <mergeCell ref="CF130:CG130"/>
    <mergeCell ref="CH130:CJ131"/>
    <mergeCell ref="BL130:BM130"/>
    <mergeCell ref="BN130:BO130"/>
    <mergeCell ref="BP130:BQ130"/>
    <mergeCell ref="BR130:BS130"/>
    <mergeCell ref="BT130:BU130"/>
    <mergeCell ref="BV130:BW130"/>
    <mergeCell ref="BV131:BW131"/>
    <mergeCell ref="BX131:BY131"/>
    <mergeCell ref="BZ131:CA131"/>
    <mergeCell ref="CB131:CC131"/>
    <mergeCell ref="CD131:CE131"/>
    <mergeCell ref="CF131:CG131"/>
    <mergeCell ref="AN130:AO130"/>
    <mergeCell ref="AP130:AQ130"/>
    <mergeCell ref="AR130:AS130"/>
    <mergeCell ref="AT130:AU130"/>
    <mergeCell ref="AV130:AW130"/>
    <mergeCell ref="AX130:AY130"/>
    <mergeCell ref="AE130:AF131"/>
    <mergeCell ref="AG130:AI131"/>
    <mergeCell ref="AJ130:AK130"/>
    <mergeCell ref="AL130:AM130"/>
    <mergeCell ref="B130:D131"/>
    <mergeCell ref="E130:I131"/>
    <mergeCell ref="J130:N131"/>
    <mergeCell ref="O130:X131"/>
    <mergeCell ref="Y130:AB131"/>
    <mergeCell ref="AC130:AD131"/>
    <mergeCell ref="DY130:EA131"/>
    <mergeCell ref="AJ131:AK131"/>
    <mergeCell ref="AL131:AM131"/>
    <mergeCell ref="AN131:AO131"/>
    <mergeCell ref="AP131:AQ131"/>
    <mergeCell ref="AR131:AS131"/>
    <mergeCell ref="AT131:AU131"/>
    <mergeCell ref="AV131:AW131"/>
    <mergeCell ref="CW130:DA130"/>
    <mergeCell ref="DJ130:DL131"/>
    <mergeCell ref="DM130:DO131"/>
    <mergeCell ref="DP130:DR131"/>
    <mergeCell ref="DS130:DU131"/>
    <mergeCell ref="DV130:DX131"/>
    <mergeCell ref="CK130:CM130"/>
    <mergeCell ref="CN130:CP130"/>
    <mergeCell ref="BJ129:BK129"/>
    <mergeCell ref="BL129:BM129"/>
    <mergeCell ref="BN129:BO129"/>
    <mergeCell ref="BP129:BQ129"/>
    <mergeCell ref="BR129:BS129"/>
    <mergeCell ref="BT129:BU129"/>
    <mergeCell ref="AX129:AY129"/>
    <mergeCell ref="AZ129:BA129"/>
    <mergeCell ref="BB129:BC129"/>
    <mergeCell ref="BD129:BE129"/>
    <mergeCell ref="BF129:BG129"/>
    <mergeCell ref="BH129:BI129"/>
    <mergeCell ref="AZ130:BA130"/>
    <mergeCell ref="BB130:BC130"/>
    <mergeCell ref="BD130:BE130"/>
    <mergeCell ref="BF130:BG130"/>
    <mergeCell ref="BH130:BI130"/>
    <mergeCell ref="BJ130:BK130"/>
    <mergeCell ref="CQ128:CS129"/>
    <mergeCell ref="CT128:CU128"/>
    <mergeCell ref="CK129:CM129"/>
    <mergeCell ref="CN129:CP129"/>
    <mergeCell ref="BX128:BY128"/>
    <mergeCell ref="BZ128:CA128"/>
    <mergeCell ref="CB128:CC128"/>
    <mergeCell ref="CD128:CE128"/>
    <mergeCell ref="CF128:CG128"/>
    <mergeCell ref="CH128:CJ129"/>
    <mergeCell ref="BL128:BM128"/>
    <mergeCell ref="BN128:BO128"/>
    <mergeCell ref="BP128:BQ128"/>
    <mergeCell ref="BR128:BS128"/>
    <mergeCell ref="BT128:BU128"/>
    <mergeCell ref="BV128:BW128"/>
    <mergeCell ref="BV129:BW129"/>
    <mergeCell ref="BX129:BY129"/>
    <mergeCell ref="BZ129:CA129"/>
    <mergeCell ref="CB129:CC129"/>
    <mergeCell ref="CD129:CE129"/>
    <mergeCell ref="CF129:CG129"/>
    <mergeCell ref="AN128:AO128"/>
    <mergeCell ref="AP128:AQ128"/>
    <mergeCell ref="AR128:AS128"/>
    <mergeCell ref="AT128:AU128"/>
    <mergeCell ref="AV128:AW128"/>
    <mergeCell ref="AX128:AY128"/>
    <mergeCell ref="AE128:AF129"/>
    <mergeCell ref="AG128:AI129"/>
    <mergeCell ref="AJ128:AK128"/>
    <mergeCell ref="AL128:AM128"/>
    <mergeCell ref="B128:D129"/>
    <mergeCell ref="E128:I129"/>
    <mergeCell ref="J128:N129"/>
    <mergeCell ref="O128:X129"/>
    <mergeCell ref="Y128:AB129"/>
    <mergeCell ref="AC128:AD129"/>
    <mergeCell ref="DY128:EA129"/>
    <mergeCell ref="AJ129:AK129"/>
    <mergeCell ref="AL129:AM129"/>
    <mergeCell ref="AN129:AO129"/>
    <mergeCell ref="AP129:AQ129"/>
    <mergeCell ref="AR129:AS129"/>
    <mergeCell ref="AT129:AU129"/>
    <mergeCell ref="AV129:AW129"/>
    <mergeCell ref="CW128:DA128"/>
    <mergeCell ref="DJ128:DL129"/>
    <mergeCell ref="DM128:DO129"/>
    <mergeCell ref="DP128:DR129"/>
    <mergeCell ref="DS128:DU129"/>
    <mergeCell ref="DV128:DX129"/>
    <mergeCell ref="CK128:CM128"/>
    <mergeCell ref="CN128:CP128"/>
    <mergeCell ref="BJ127:BK127"/>
    <mergeCell ref="BL127:BM127"/>
    <mergeCell ref="BN127:BO127"/>
    <mergeCell ref="BP127:BQ127"/>
    <mergeCell ref="BR127:BS127"/>
    <mergeCell ref="BT127:BU127"/>
    <mergeCell ref="AX127:AY127"/>
    <mergeCell ref="AZ127:BA127"/>
    <mergeCell ref="BB127:BC127"/>
    <mergeCell ref="BD127:BE127"/>
    <mergeCell ref="BF127:BG127"/>
    <mergeCell ref="BH127:BI127"/>
    <mergeCell ref="AZ128:BA128"/>
    <mergeCell ref="BB128:BC128"/>
    <mergeCell ref="BD128:BE128"/>
    <mergeCell ref="BF128:BG128"/>
    <mergeCell ref="BH128:BI128"/>
    <mergeCell ref="BJ128:BK128"/>
    <mergeCell ref="CQ126:CS127"/>
    <mergeCell ref="CT126:CU126"/>
    <mergeCell ref="CK127:CM127"/>
    <mergeCell ref="CN127:CP127"/>
    <mergeCell ref="BX126:BY126"/>
    <mergeCell ref="BZ126:CA126"/>
    <mergeCell ref="CB126:CC126"/>
    <mergeCell ref="CD126:CE126"/>
    <mergeCell ref="CF126:CG126"/>
    <mergeCell ref="CH126:CJ127"/>
    <mergeCell ref="BL126:BM126"/>
    <mergeCell ref="BN126:BO126"/>
    <mergeCell ref="BP126:BQ126"/>
    <mergeCell ref="BR126:BS126"/>
    <mergeCell ref="BT126:BU126"/>
    <mergeCell ref="BV126:BW126"/>
    <mergeCell ref="BV127:BW127"/>
    <mergeCell ref="BX127:BY127"/>
    <mergeCell ref="BZ127:CA127"/>
    <mergeCell ref="CB127:CC127"/>
    <mergeCell ref="CD127:CE127"/>
    <mergeCell ref="CF127:CG127"/>
    <mergeCell ref="AN126:AO126"/>
    <mergeCell ref="AP126:AQ126"/>
    <mergeCell ref="AR126:AS126"/>
    <mergeCell ref="AT126:AU126"/>
    <mergeCell ref="AV126:AW126"/>
    <mergeCell ref="AX126:AY126"/>
    <mergeCell ref="AE126:AF127"/>
    <mergeCell ref="AG126:AI127"/>
    <mergeCell ref="AJ126:AK126"/>
    <mergeCell ref="AL126:AM126"/>
    <mergeCell ref="B126:D127"/>
    <mergeCell ref="E126:I127"/>
    <mergeCell ref="J126:N127"/>
    <mergeCell ref="O126:X127"/>
    <mergeCell ref="Y126:AB127"/>
    <mergeCell ref="AC126:AD127"/>
    <mergeCell ref="DY126:EA127"/>
    <mergeCell ref="AJ127:AK127"/>
    <mergeCell ref="AL127:AM127"/>
    <mergeCell ref="AN127:AO127"/>
    <mergeCell ref="AP127:AQ127"/>
    <mergeCell ref="AR127:AS127"/>
    <mergeCell ref="AT127:AU127"/>
    <mergeCell ref="AV127:AW127"/>
    <mergeCell ref="CW126:DA126"/>
    <mergeCell ref="DJ126:DL127"/>
    <mergeCell ref="DM126:DO127"/>
    <mergeCell ref="DP126:DR127"/>
    <mergeCell ref="DS126:DU127"/>
    <mergeCell ref="DV126:DX127"/>
    <mergeCell ref="CK126:CM126"/>
    <mergeCell ref="CN126:CP126"/>
    <mergeCell ref="BJ125:BK125"/>
    <mergeCell ref="BL125:BM125"/>
    <mergeCell ref="BN125:BO125"/>
    <mergeCell ref="BP125:BQ125"/>
    <mergeCell ref="BR125:BS125"/>
    <mergeCell ref="BT125:BU125"/>
    <mergeCell ref="AX125:AY125"/>
    <mergeCell ref="AZ125:BA125"/>
    <mergeCell ref="BB125:BC125"/>
    <mergeCell ref="BD125:BE125"/>
    <mergeCell ref="BF125:BG125"/>
    <mergeCell ref="BH125:BI125"/>
    <mergeCell ref="AZ126:BA126"/>
    <mergeCell ref="BB126:BC126"/>
    <mergeCell ref="BD126:BE126"/>
    <mergeCell ref="BF126:BG126"/>
    <mergeCell ref="BH126:BI126"/>
    <mergeCell ref="BJ126:BK126"/>
    <mergeCell ref="CQ124:CS125"/>
    <mergeCell ref="CT124:CU124"/>
    <mergeCell ref="CK125:CM125"/>
    <mergeCell ref="CN125:CP125"/>
    <mergeCell ref="BX124:BY124"/>
    <mergeCell ref="BZ124:CA124"/>
    <mergeCell ref="CB124:CC124"/>
    <mergeCell ref="CD124:CE124"/>
    <mergeCell ref="CF124:CG124"/>
    <mergeCell ref="CH124:CJ125"/>
    <mergeCell ref="BL124:BM124"/>
    <mergeCell ref="BN124:BO124"/>
    <mergeCell ref="BP124:BQ124"/>
    <mergeCell ref="BR124:BS124"/>
    <mergeCell ref="BT124:BU124"/>
    <mergeCell ref="BV124:BW124"/>
    <mergeCell ref="BV125:BW125"/>
    <mergeCell ref="BX125:BY125"/>
    <mergeCell ref="BZ125:CA125"/>
    <mergeCell ref="CB125:CC125"/>
    <mergeCell ref="CD125:CE125"/>
    <mergeCell ref="CF125:CG125"/>
    <mergeCell ref="AN124:AO124"/>
    <mergeCell ref="AP124:AQ124"/>
    <mergeCell ref="AR124:AS124"/>
    <mergeCell ref="AT124:AU124"/>
    <mergeCell ref="AV124:AW124"/>
    <mergeCell ref="AX124:AY124"/>
    <mergeCell ref="AE124:AF125"/>
    <mergeCell ref="AG124:AI125"/>
    <mergeCell ref="AJ124:AK124"/>
    <mergeCell ref="AL124:AM124"/>
    <mergeCell ref="B124:D125"/>
    <mergeCell ref="E124:I125"/>
    <mergeCell ref="J124:N125"/>
    <mergeCell ref="O124:X125"/>
    <mergeCell ref="Y124:AB125"/>
    <mergeCell ref="AC124:AD125"/>
    <mergeCell ref="DY124:EA125"/>
    <mergeCell ref="AJ125:AK125"/>
    <mergeCell ref="AL125:AM125"/>
    <mergeCell ref="AN125:AO125"/>
    <mergeCell ref="AP125:AQ125"/>
    <mergeCell ref="AR125:AS125"/>
    <mergeCell ref="AT125:AU125"/>
    <mergeCell ref="AV125:AW125"/>
    <mergeCell ref="CW124:DA124"/>
    <mergeCell ref="DJ124:DL125"/>
    <mergeCell ref="DM124:DO125"/>
    <mergeCell ref="DP124:DR125"/>
    <mergeCell ref="DS124:DU125"/>
    <mergeCell ref="DV124:DX125"/>
    <mergeCell ref="CK124:CM124"/>
    <mergeCell ref="CN124:CP124"/>
    <mergeCell ref="BJ123:BK123"/>
    <mergeCell ref="BL123:BM123"/>
    <mergeCell ref="BN123:BO123"/>
    <mergeCell ref="BP123:BQ123"/>
    <mergeCell ref="BR123:BS123"/>
    <mergeCell ref="BT123:BU123"/>
    <mergeCell ref="AX123:AY123"/>
    <mergeCell ref="AZ123:BA123"/>
    <mergeCell ref="BB123:BC123"/>
    <mergeCell ref="BD123:BE123"/>
    <mergeCell ref="BF123:BG123"/>
    <mergeCell ref="BH123:BI123"/>
    <mergeCell ref="AZ124:BA124"/>
    <mergeCell ref="BB124:BC124"/>
    <mergeCell ref="BD124:BE124"/>
    <mergeCell ref="BF124:BG124"/>
    <mergeCell ref="BH124:BI124"/>
    <mergeCell ref="BJ124:BK124"/>
    <mergeCell ref="CQ122:CS123"/>
    <mergeCell ref="CT122:CU122"/>
    <mergeCell ref="CK123:CM123"/>
    <mergeCell ref="CN123:CP123"/>
    <mergeCell ref="BX122:BY122"/>
    <mergeCell ref="BZ122:CA122"/>
    <mergeCell ref="CB122:CC122"/>
    <mergeCell ref="CD122:CE122"/>
    <mergeCell ref="CF122:CG122"/>
    <mergeCell ref="CH122:CJ123"/>
    <mergeCell ref="BL122:BM122"/>
    <mergeCell ref="BN122:BO122"/>
    <mergeCell ref="BP122:BQ122"/>
    <mergeCell ref="BR122:BS122"/>
    <mergeCell ref="BT122:BU122"/>
    <mergeCell ref="BV122:BW122"/>
    <mergeCell ref="BV123:BW123"/>
    <mergeCell ref="BX123:BY123"/>
    <mergeCell ref="BZ123:CA123"/>
    <mergeCell ref="CB123:CC123"/>
    <mergeCell ref="CD123:CE123"/>
    <mergeCell ref="CF123:CG123"/>
    <mergeCell ref="AN122:AO122"/>
    <mergeCell ref="AP122:AQ122"/>
    <mergeCell ref="AR122:AS122"/>
    <mergeCell ref="AT122:AU122"/>
    <mergeCell ref="AV122:AW122"/>
    <mergeCell ref="AX122:AY122"/>
    <mergeCell ref="AE122:AF123"/>
    <mergeCell ref="AG122:AI123"/>
    <mergeCell ref="AJ122:AK122"/>
    <mergeCell ref="AL122:AM122"/>
    <mergeCell ref="B122:D123"/>
    <mergeCell ref="E122:I123"/>
    <mergeCell ref="J122:N123"/>
    <mergeCell ref="O122:X123"/>
    <mergeCell ref="Y122:AB123"/>
    <mergeCell ref="AC122:AD123"/>
    <mergeCell ref="DY122:EA123"/>
    <mergeCell ref="AJ123:AK123"/>
    <mergeCell ref="AL123:AM123"/>
    <mergeCell ref="AN123:AO123"/>
    <mergeCell ref="AP123:AQ123"/>
    <mergeCell ref="AR123:AS123"/>
    <mergeCell ref="AT123:AU123"/>
    <mergeCell ref="AV123:AW123"/>
    <mergeCell ref="CW122:DA122"/>
    <mergeCell ref="DJ122:DL123"/>
    <mergeCell ref="DM122:DO123"/>
    <mergeCell ref="DP122:DR123"/>
    <mergeCell ref="DS122:DU123"/>
    <mergeCell ref="DV122:DX123"/>
    <mergeCell ref="CK122:CM122"/>
    <mergeCell ref="CN122:CP122"/>
    <mergeCell ref="BJ121:BK121"/>
    <mergeCell ref="BL121:BM121"/>
    <mergeCell ref="BN121:BO121"/>
    <mergeCell ref="BP121:BQ121"/>
    <mergeCell ref="BR121:BS121"/>
    <mergeCell ref="BT121:BU121"/>
    <mergeCell ref="AX121:AY121"/>
    <mergeCell ref="AZ121:BA121"/>
    <mergeCell ref="BB121:BC121"/>
    <mergeCell ref="BD121:BE121"/>
    <mergeCell ref="BF121:BG121"/>
    <mergeCell ref="BH121:BI121"/>
    <mergeCell ref="AZ122:BA122"/>
    <mergeCell ref="BB122:BC122"/>
    <mergeCell ref="BD122:BE122"/>
    <mergeCell ref="BF122:BG122"/>
    <mergeCell ref="BH122:BI122"/>
    <mergeCell ref="BJ122:BK122"/>
    <mergeCell ref="CQ120:CS121"/>
    <mergeCell ref="CT120:CU120"/>
    <mergeCell ref="CK121:CM121"/>
    <mergeCell ref="CN121:CP121"/>
    <mergeCell ref="BX120:BY120"/>
    <mergeCell ref="BZ120:CA120"/>
    <mergeCell ref="CB120:CC120"/>
    <mergeCell ref="CD120:CE120"/>
    <mergeCell ref="CF120:CG120"/>
    <mergeCell ref="CH120:CJ121"/>
    <mergeCell ref="BL120:BM120"/>
    <mergeCell ref="BN120:BO120"/>
    <mergeCell ref="BP120:BQ120"/>
    <mergeCell ref="BR120:BS120"/>
    <mergeCell ref="BT120:BU120"/>
    <mergeCell ref="BV120:BW120"/>
    <mergeCell ref="BV121:BW121"/>
    <mergeCell ref="BX121:BY121"/>
    <mergeCell ref="BZ121:CA121"/>
    <mergeCell ref="CB121:CC121"/>
    <mergeCell ref="CD121:CE121"/>
    <mergeCell ref="CF121:CG121"/>
    <mergeCell ref="AN120:AO120"/>
    <mergeCell ref="AP120:AQ120"/>
    <mergeCell ref="AR120:AS120"/>
    <mergeCell ref="AT120:AU120"/>
    <mergeCell ref="AV120:AW120"/>
    <mergeCell ref="AX120:AY120"/>
    <mergeCell ref="AE120:AF121"/>
    <mergeCell ref="AG120:AI121"/>
    <mergeCell ref="AJ120:AK120"/>
    <mergeCell ref="AL120:AM120"/>
    <mergeCell ref="B120:D121"/>
    <mergeCell ref="E120:I121"/>
    <mergeCell ref="J120:N121"/>
    <mergeCell ref="O120:X121"/>
    <mergeCell ref="Y120:AB121"/>
    <mergeCell ref="AC120:AD121"/>
    <mergeCell ref="DY120:EA121"/>
    <mergeCell ref="AJ121:AK121"/>
    <mergeCell ref="AL121:AM121"/>
    <mergeCell ref="AN121:AO121"/>
    <mergeCell ref="AP121:AQ121"/>
    <mergeCell ref="AR121:AS121"/>
    <mergeCell ref="AT121:AU121"/>
    <mergeCell ref="AV121:AW121"/>
    <mergeCell ref="CW120:DA120"/>
    <mergeCell ref="DJ120:DL121"/>
    <mergeCell ref="DM120:DO121"/>
    <mergeCell ref="DP120:DR121"/>
    <mergeCell ref="DS120:DU121"/>
    <mergeCell ref="DV120:DX121"/>
    <mergeCell ref="CK120:CM120"/>
    <mergeCell ref="CN120:CP120"/>
    <mergeCell ref="BJ119:BK119"/>
    <mergeCell ref="BL119:BM119"/>
    <mergeCell ref="BN119:BO119"/>
    <mergeCell ref="BP119:BQ119"/>
    <mergeCell ref="BR119:BS119"/>
    <mergeCell ref="BT119:BU119"/>
    <mergeCell ref="AX119:AY119"/>
    <mergeCell ref="AZ119:BA119"/>
    <mergeCell ref="BB119:BC119"/>
    <mergeCell ref="BD119:BE119"/>
    <mergeCell ref="BF119:BG119"/>
    <mergeCell ref="BH119:BI119"/>
    <mergeCell ref="AZ120:BA120"/>
    <mergeCell ref="BB120:BC120"/>
    <mergeCell ref="BD120:BE120"/>
    <mergeCell ref="BF120:BG120"/>
    <mergeCell ref="BH120:BI120"/>
    <mergeCell ref="BJ120:BK120"/>
    <mergeCell ref="CQ118:CS119"/>
    <mergeCell ref="CT118:CU118"/>
    <mergeCell ref="CK119:CM119"/>
    <mergeCell ref="CN119:CP119"/>
    <mergeCell ref="BX118:BY118"/>
    <mergeCell ref="BZ118:CA118"/>
    <mergeCell ref="CB118:CC118"/>
    <mergeCell ref="CD118:CE118"/>
    <mergeCell ref="CF118:CG118"/>
    <mergeCell ref="CH118:CJ119"/>
    <mergeCell ref="BL118:BM118"/>
    <mergeCell ref="BN118:BO118"/>
    <mergeCell ref="BP118:BQ118"/>
    <mergeCell ref="BR118:BS118"/>
    <mergeCell ref="BT118:BU118"/>
    <mergeCell ref="BV118:BW118"/>
    <mergeCell ref="BV119:BW119"/>
    <mergeCell ref="BX119:BY119"/>
    <mergeCell ref="BZ119:CA119"/>
    <mergeCell ref="CB119:CC119"/>
    <mergeCell ref="CD119:CE119"/>
    <mergeCell ref="CF119:CG119"/>
    <mergeCell ref="AN118:AO118"/>
    <mergeCell ref="AP118:AQ118"/>
    <mergeCell ref="AR118:AS118"/>
    <mergeCell ref="AT118:AU118"/>
    <mergeCell ref="AV118:AW118"/>
    <mergeCell ref="AX118:AY118"/>
    <mergeCell ref="AE118:AF119"/>
    <mergeCell ref="AG118:AI119"/>
    <mergeCell ref="AJ118:AK118"/>
    <mergeCell ref="AL118:AM118"/>
    <mergeCell ref="B118:D119"/>
    <mergeCell ref="E118:I119"/>
    <mergeCell ref="J118:N119"/>
    <mergeCell ref="O118:X119"/>
    <mergeCell ref="Y118:AB119"/>
    <mergeCell ref="AC118:AD119"/>
    <mergeCell ref="DY118:EA119"/>
    <mergeCell ref="AJ119:AK119"/>
    <mergeCell ref="AL119:AM119"/>
    <mergeCell ref="AN119:AO119"/>
    <mergeCell ref="AP119:AQ119"/>
    <mergeCell ref="AR119:AS119"/>
    <mergeCell ref="AT119:AU119"/>
    <mergeCell ref="AV119:AW119"/>
    <mergeCell ref="CW118:DA118"/>
    <mergeCell ref="DJ118:DL119"/>
    <mergeCell ref="DM118:DO119"/>
    <mergeCell ref="DP118:DR119"/>
    <mergeCell ref="DS118:DU119"/>
    <mergeCell ref="DV118:DX119"/>
    <mergeCell ref="CK118:CM118"/>
    <mergeCell ref="CN118:CP118"/>
    <mergeCell ref="BJ117:BK117"/>
    <mergeCell ref="BL117:BM117"/>
    <mergeCell ref="BN117:BO117"/>
    <mergeCell ref="BP117:BQ117"/>
    <mergeCell ref="BR117:BS117"/>
    <mergeCell ref="BT117:BU117"/>
    <mergeCell ref="AX117:AY117"/>
    <mergeCell ref="AZ117:BA117"/>
    <mergeCell ref="BB117:BC117"/>
    <mergeCell ref="BD117:BE117"/>
    <mergeCell ref="BF117:BG117"/>
    <mergeCell ref="BH117:BI117"/>
    <mergeCell ref="AZ118:BA118"/>
    <mergeCell ref="BB118:BC118"/>
    <mergeCell ref="BD118:BE118"/>
    <mergeCell ref="BF118:BG118"/>
    <mergeCell ref="BH118:BI118"/>
    <mergeCell ref="BJ118:BK118"/>
    <mergeCell ref="CQ116:CS117"/>
    <mergeCell ref="CT116:CU116"/>
    <mergeCell ref="CK117:CM117"/>
    <mergeCell ref="CN117:CP117"/>
    <mergeCell ref="BX116:BY116"/>
    <mergeCell ref="BZ116:CA116"/>
    <mergeCell ref="CB116:CC116"/>
    <mergeCell ref="CD116:CE116"/>
    <mergeCell ref="CF116:CG116"/>
    <mergeCell ref="CH116:CJ117"/>
    <mergeCell ref="BL116:BM116"/>
    <mergeCell ref="BN116:BO116"/>
    <mergeCell ref="BP116:BQ116"/>
    <mergeCell ref="BR116:BS116"/>
    <mergeCell ref="BT116:BU116"/>
    <mergeCell ref="BV116:BW116"/>
    <mergeCell ref="BV117:BW117"/>
    <mergeCell ref="BX117:BY117"/>
    <mergeCell ref="BZ117:CA117"/>
    <mergeCell ref="CB117:CC117"/>
    <mergeCell ref="CD117:CE117"/>
    <mergeCell ref="CF117:CG117"/>
    <mergeCell ref="AN116:AO116"/>
    <mergeCell ref="AP116:AQ116"/>
    <mergeCell ref="AR116:AS116"/>
    <mergeCell ref="AT116:AU116"/>
    <mergeCell ref="AV116:AW116"/>
    <mergeCell ref="AX116:AY116"/>
    <mergeCell ref="AE116:AF117"/>
    <mergeCell ref="AG116:AI117"/>
    <mergeCell ref="AJ116:AK116"/>
    <mergeCell ref="AL116:AM116"/>
    <mergeCell ref="B116:D117"/>
    <mergeCell ref="E116:I117"/>
    <mergeCell ref="J116:N117"/>
    <mergeCell ref="O116:X117"/>
    <mergeCell ref="Y116:AB117"/>
    <mergeCell ref="AC116:AD117"/>
    <mergeCell ref="DY116:EA117"/>
    <mergeCell ref="AJ117:AK117"/>
    <mergeCell ref="AL117:AM117"/>
    <mergeCell ref="AN117:AO117"/>
    <mergeCell ref="AP117:AQ117"/>
    <mergeCell ref="AR117:AS117"/>
    <mergeCell ref="AT117:AU117"/>
    <mergeCell ref="AV117:AW117"/>
    <mergeCell ref="CW116:DA116"/>
    <mergeCell ref="DJ116:DL117"/>
    <mergeCell ref="DM116:DO117"/>
    <mergeCell ref="DP116:DR117"/>
    <mergeCell ref="DS116:DU117"/>
    <mergeCell ref="DV116:DX117"/>
    <mergeCell ref="CK116:CM116"/>
    <mergeCell ref="CN116:CP116"/>
    <mergeCell ref="BJ115:BK115"/>
    <mergeCell ref="BL115:BM115"/>
    <mergeCell ref="BN115:BO115"/>
    <mergeCell ref="BP115:BQ115"/>
    <mergeCell ref="BR115:BS115"/>
    <mergeCell ref="BT115:BU115"/>
    <mergeCell ref="AX115:AY115"/>
    <mergeCell ref="AZ115:BA115"/>
    <mergeCell ref="BB115:BC115"/>
    <mergeCell ref="BD115:BE115"/>
    <mergeCell ref="BF115:BG115"/>
    <mergeCell ref="BH115:BI115"/>
    <mergeCell ref="AZ116:BA116"/>
    <mergeCell ref="BB116:BC116"/>
    <mergeCell ref="BD116:BE116"/>
    <mergeCell ref="BF116:BG116"/>
    <mergeCell ref="BH116:BI116"/>
    <mergeCell ref="BJ116:BK116"/>
    <mergeCell ref="CQ114:CS115"/>
    <mergeCell ref="CT114:CU114"/>
    <mergeCell ref="CK115:CM115"/>
    <mergeCell ref="CN115:CP115"/>
    <mergeCell ref="BX114:BY114"/>
    <mergeCell ref="BZ114:CA114"/>
    <mergeCell ref="CB114:CC114"/>
    <mergeCell ref="CD114:CE114"/>
    <mergeCell ref="CF114:CG114"/>
    <mergeCell ref="CH114:CJ115"/>
    <mergeCell ref="BL114:BM114"/>
    <mergeCell ref="BN114:BO114"/>
    <mergeCell ref="BP114:BQ114"/>
    <mergeCell ref="BR114:BS114"/>
    <mergeCell ref="BT114:BU114"/>
    <mergeCell ref="BV114:BW114"/>
    <mergeCell ref="BV115:BW115"/>
    <mergeCell ref="BX115:BY115"/>
    <mergeCell ref="BZ115:CA115"/>
    <mergeCell ref="CB115:CC115"/>
    <mergeCell ref="CD115:CE115"/>
    <mergeCell ref="CF115:CG115"/>
    <mergeCell ref="AN114:AO114"/>
    <mergeCell ref="AP114:AQ114"/>
    <mergeCell ref="AR114:AS114"/>
    <mergeCell ref="AT114:AU114"/>
    <mergeCell ref="AV114:AW114"/>
    <mergeCell ref="AX114:AY114"/>
    <mergeCell ref="AE114:AF115"/>
    <mergeCell ref="AG114:AI115"/>
    <mergeCell ref="AJ114:AK114"/>
    <mergeCell ref="AL114:AM114"/>
    <mergeCell ref="B114:D115"/>
    <mergeCell ref="E114:I115"/>
    <mergeCell ref="J114:N115"/>
    <mergeCell ref="O114:X115"/>
    <mergeCell ref="Y114:AB115"/>
    <mergeCell ref="AC114:AD115"/>
    <mergeCell ref="DY114:EA115"/>
    <mergeCell ref="AJ115:AK115"/>
    <mergeCell ref="AL115:AM115"/>
    <mergeCell ref="AN115:AO115"/>
    <mergeCell ref="AP115:AQ115"/>
    <mergeCell ref="AR115:AS115"/>
    <mergeCell ref="AT115:AU115"/>
    <mergeCell ref="AV115:AW115"/>
    <mergeCell ref="CW114:DA114"/>
    <mergeCell ref="DJ114:DL115"/>
    <mergeCell ref="DM114:DO115"/>
    <mergeCell ref="DP114:DR115"/>
    <mergeCell ref="DS114:DU115"/>
    <mergeCell ref="DV114:DX115"/>
    <mergeCell ref="CK114:CM114"/>
    <mergeCell ref="CN114:CP114"/>
    <mergeCell ref="BZ113:CA113"/>
    <mergeCell ref="CB113:CC113"/>
    <mergeCell ref="CD113:CE113"/>
    <mergeCell ref="CF113:CG113"/>
    <mergeCell ref="BJ113:BK113"/>
    <mergeCell ref="BL113:BM113"/>
    <mergeCell ref="BN113:BO113"/>
    <mergeCell ref="BP113:BQ113"/>
    <mergeCell ref="BR113:BS113"/>
    <mergeCell ref="BT113:BU113"/>
    <mergeCell ref="AX113:AY113"/>
    <mergeCell ref="AZ113:BA113"/>
    <mergeCell ref="BB113:BC113"/>
    <mergeCell ref="BD113:BE113"/>
    <mergeCell ref="BF113:BG113"/>
    <mergeCell ref="BH113:BI113"/>
    <mergeCell ref="AZ114:BA114"/>
    <mergeCell ref="BB114:BC114"/>
    <mergeCell ref="BD114:BE114"/>
    <mergeCell ref="BF114:BG114"/>
    <mergeCell ref="BH114:BI114"/>
    <mergeCell ref="BJ114:BK114"/>
    <mergeCell ref="BI112:BS112"/>
    <mergeCell ref="CK112:CM113"/>
    <mergeCell ref="CN112:CP113"/>
    <mergeCell ref="AP113:AQ113"/>
    <mergeCell ref="AR113:AS113"/>
    <mergeCell ref="AT113:AU113"/>
    <mergeCell ref="AV113:AW113"/>
    <mergeCell ref="DJ111:DL113"/>
    <mergeCell ref="DM111:DO113"/>
    <mergeCell ref="DP111:DR113"/>
    <mergeCell ref="DS111:DU113"/>
    <mergeCell ref="DV111:DX113"/>
    <mergeCell ref="DY111:EA113"/>
    <mergeCell ref="CB111:CC111"/>
    <mergeCell ref="CD111:CE111"/>
    <mergeCell ref="CF111:CG111"/>
    <mergeCell ref="CH111:CJ113"/>
    <mergeCell ref="CQ111:CS113"/>
    <mergeCell ref="BH111:BI111"/>
    <mergeCell ref="BJ111:BK111"/>
    <mergeCell ref="BL111:BM111"/>
    <mergeCell ref="BN111:BO111"/>
    <mergeCell ref="BP111:BQ111"/>
    <mergeCell ref="BZ111:CA111"/>
    <mergeCell ref="AV111:AW111"/>
    <mergeCell ref="AX111:AY111"/>
    <mergeCell ref="AZ111:BA111"/>
    <mergeCell ref="BB111:BC111"/>
    <mergeCell ref="BD111:BE111"/>
    <mergeCell ref="BF111:BG111"/>
    <mergeCell ref="BV113:BW113"/>
    <mergeCell ref="BX113:BY113"/>
    <mergeCell ref="AG111:AI113"/>
    <mergeCell ref="AJ111:AK113"/>
    <mergeCell ref="AP111:AQ111"/>
    <mergeCell ref="AR111:AS111"/>
    <mergeCell ref="AT111:AU111"/>
    <mergeCell ref="AN105:AQ105"/>
    <mergeCell ref="AR105:AU105"/>
    <mergeCell ref="B111:D113"/>
    <mergeCell ref="E111:I113"/>
    <mergeCell ref="J111:N113"/>
    <mergeCell ref="O111:X113"/>
    <mergeCell ref="Y111:AB113"/>
    <mergeCell ref="AC111:AD113"/>
    <mergeCell ref="AE111:AF113"/>
    <mergeCell ref="P105:S105"/>
    <mergeCell ref="T105:W105"/>
    <mergeCell ref="X105:AA105"/>
    <mergeCell ref="AB105:AE105"/>
    <mergeCell ref="AF105:AI105"/>
    <mergeCell ref="AJ105:AM105"/>
    <mergeCell ref="AP112:AS112"/>
    <mergeCell ref="AR102:AU102"/>
    <mergeCell ref="P103:S103"/>
    <mergeCell ref="T103:W103"/>
    <mergeCell ref="X103:AA103"/>
    <mergeCell ref="AB103:AE103"/>
    <mergeCell ref="AF103:AI103"/>
    <mergeCell ref="AJ103:AM103"/>
    <mergeCell ref="AN103:AQ103"/>
    <mergeCell ref="AR103:AU103"/>
    <mergeCell ref="AN101:AQ101"/>
    <mergeCell ref="AR101:AU101"/>
    <mergeCell ref="P102:S102"/>
    <mergeCell ref="T102:W102"/>
    <mergeCell ref="X102:AA102"/>
    <mergeCell ref="AB102:AE102"/>
    <mergeCell ref="AF102:AI102"/>
    <mergeCell ref="AJ102:AM102"/>
    <mergeCell ref="AN102:AQ102"/>
    <mergeCell ref="AN100:AQ100"/>
    <mergeCell ref="AR100:AU100"/>
    <mergeCell ref="P101:S101"/>
    <mergeCell ref="T101:W101"/>
    <mergeCell ref="X101:AA101"/>
    <mergeCell ref="AB101:AE101"/>
    <mergeCell ref="AF101:AI101"/>
    <mergeCell ref="AJ101:AM101"/>
    <mergeCell ref="P100:S100"/>
    <mergeCell ref="T100:W100"/>
    <mergeCell ref="X100:AA100"/>
    <mergeCell ref="AB100:AE100"/>
    <mergeCell ref="AF100:AI100"/>
    <mergeCell ref="AJ100:AM100"/>
    <mergeCell ref="AR98:AU98"/>
    <mergeCell ref="P99:S99"/>
    <mergeCell ref="T99:W99"/>
    <mergeCell ref="X99:AA99"/>
    <mergeCell ref="AB99:AE99"/>
    <mergeCell ref="AF99:AI99"/>
    <mergeCell ref="AJ99:AM99"/>
    <mergeCell ref="AN99:AQ99"/>
    <mergeCell ref="AR99:AU99"/>
    <mergeCell ref="AN93:AQ93"/>
    <mergeCell ref="AR93:AU93"/>
    <mergeCell ref="P94:S94"/>
    <mergeCell ref="T94:W94"/>
    <mergeCell ref="X94:AA94"/>
    <mergeCell ref="AB94:AE94"/>
    <mergeCell ref="AF94:AI94"/>
    <mergeCell ref="AJ94:AM94"/>
    <mergeCell ref="AN94:AQ94"/>
    <mergeCell ref="AN97:AQ97"/>
    <mergeCell ref="AR97:AU97"/>
    <mergeCell ref="P98:S98"/>
    <mergeCell ref="T98:W98"/>
    <mergeCell ref="X98:AA98"/>
    <mergeCell ref="AB98:AE98"/>
    <mergeCell ref="AF98:AI98"/>
    <mergeCell ref="AJ98:AM98"/>
    <mergeCell ref="AN98:AQ98"/>
    <mergeCell ref="AN96:AQ96"/>
    <mergeCell ref="AR96:AU96"/>
    <mergeCell ref="P97:S97"/>
    <mergeCell ref="T97:W97"/>
    <mergeCell ref="X97:AA97"/>
    <mergeCell ref="AB97:AE97"/>
    <mergeCell ref="AF97:AI97"/>
    <mergeCell ref="AJ97:AM97"/>
    <mergeCell ref="P96:S96"/>
    <mergeCell ref="T96:W96"/>
    <mergeCell ref="X96:AA96"/>
    <mergeCell ref="AB96:AE96"/>
    <mergeCell ref="AF96:AI96"/>
    <mergeCell ref="AJ96:AM96"/>
    <mergeCell ref="AN92:AQ92"/>
    <mergeCell ref="AR92:AU92"/>
    <mergeCell ref="P93:S93"/>
    <mergeCell ref="T93:W93"/>
    <mergeCell ref="X93:AA93"/>
    <mergeCell ref="AB93:AE93"/>
    <mergeCell ref="AF93:AI93"/>
    <mergeCell ref="AJ93:AM93"/>
    <mergeCell ref="AN90:AQ90"/>
    <mergeCell ref="AR90:AU90"/>
    <mergeCell ref="B92:D103"/>
    <mergeCell ref="P92:S92"/>
    <mergeCell ref="T92:W92"/>
    <mergeCell ref="X92:AA92"/>
    <mergeCell ref="AB92:AE92"/>
    <mergeCell ref="AF92:AI92"/>
    <mergeCell ref="AJ92:AM92"/>
    <mergeCell ref="P90:S90"/>
    <mergeCell ref="T90:W90"/>
    <mergeCell ref="X90:AA90"/>
    <mergeCell ref="AB90:AE90"/>
    <mergeCell ref="AF90:AI90"/>
    <mergeCell ref="AJ90:AM90"/>
    <mergeCell ref="AR94:AU94"/>
    <mergeCell ref="P95:S95"/>
    <mergeCell ref="T95:W95"/>
    <mergeCell ref="X95:AA95"/>
    <mergeCell ref="AB95:AE95"/>
    <mergeCell ref="AF95:AI95"/>
    <mergeCell ref="AJ95:AM95"/>
    <mergeCell ref="AN95:AQ95"/>
    <mergeCell ref="AR95:AU95"/>
    <mergeCell ref="AR88:AU88"/>
    <mergeCell ref="P89:S89"/>
    <mergeCell ref="T89:W89"/>
    <mergeCell ref="X89:AA89"/>
    <mergeCell ref="AB89:AE89"/>
    <mergeCell ref="AF89:AI89"/>
    <mergeCell ref="AJ89:AM89"/>
    <mergeCell ref="AN89:AQ89"/>
    <mergeCell ref="AR89:AU89"/>
    <mergeCell ref="AN87:AQ87"/>
    <mergeCell ref="P88:S88"/>
    <mergeCell ref="T88:W88"/>
    <mergeCell ref="X88:AA88"/>
    <mergeCell ref="AB88:AE88"/>
    <mergeCell ref="AF88:AI88"/>
    <mergeCell ref="AJ88:AM88"/>
    <mergeCell ref="AN88:AQ88"/>
    <mergeCell ref="P87:S87"/>
    <mergeCell ref="T87:W87"/>
    <mergeCell ref="X87:AA87"/>
    <mergeCell ref="AB87:AE87"/>
    <mergeCell ref="AF87:AI87"/>
    <mergeCell ref="AJ87:AM87"/>
    <mergeCell ref="AN85:AQ85"/>
    <mergeCell ref="P86:S86"/>
    <mergeCell ref="T86:W86"/>
    <mergeCell ref="X86:AA86"/>
    <mergeCell ref="AB86:AE86"/>
    <mergeCell ref="AF86:AI86"/>
    <mergeCell ref="AJ86:AM86"/>
    <mergeCell ref="AN86:AQ86"/>
    <mergeCell ref="P85:S85"/>
    <mergeCell ref="T85:W85"/>
    <mergeCell ref="X85:AA85"/>
    <mergeCell ref="AB85:AE85"/>
    <mergeCell ref="AF85:AI85"/>
    <mergeCell ref="AJ85:AM85"/>
    <mergeCell ref="AN83:AQ83"/>
    <mergeCell ref="P84:S84"/>
    <mergeCell ref="T84:W84"/>
    <mergeCell ref="X84:AA84"/>
    <mergeCell ref="AB84:AE84"/>
    <mergeCell ref="AF84:AI84"/>
    <mergeCell ref="AJ84:AM84"/>
    <mergeCell ref="AN84:AQ84"/>
    <mergeCell ref="P83:S83"/>
    <mergeCell ref="T83:W83"/>
    <mergeCell ref="X83:AA83"/>
    <mergeCell ref="AB83:AE83"/>
    <mergeCell ref="AF83:AI83"/>
    <mergeCell ref="AJ83:AM83"/>
    <mergeCell ref="AB77:AE77"/>
    <mergeCell ref="AN76:AQ77"/>
    <mergeCell ref="AN81:AQ81"/>
    <mergeCell ref="AR81:AU81"/>
    <mergeCell ref="P82:S82"/>
    <mergeCell ref="T82:W82"/>
    <mergeCell ref="X82:AA82"/>
    <mergeCell ref="AB82:AE82"/>
    <mergeCell ref="AF82:AI82"/>
    <mergeCell ref="AJ82:AM82"/>
    <mergeCell ref="AN82:AQ82"/>
    <mergeCell ref="AN80:AQ80"/>
    <mergeCell ref="AR80:AU80"/>
    <mergeCell ref="P81:S81"/>
    <mergeCell ref="T81:W81"/>
    <mergeCell ref="X81:AA81"/>
    <mergeCell ref="AB81:AE81"/>
    <mergeCell ref="AF81:AI81"/>
    <mergeCell ref="AJ81:AM81"/>
    <mergeCell ref="B64:E65"/>
    <mergeCell ref="P64:S64"/>
    <mergeCell ref="T64:W64"/>
    <mergeCell ref="X64:AA64"/>
    <mergeCell ref="P62:S62"/>
    <mergeCell ref="T62:W62"/>
    <mergeCell ref="X62:AA62"/>
    <mergeCell ref="AJ79:AM79"/>
    <mergeCell ref="AN79:AQ79"/>
    <mergeCell ref="AR79:AU79"/>
    <mergeCell ref="P80:S80"/>
    <mergeCell ref="T80:W80"/>
    <mergeCell ref="X80:AA80"/>
    <mergeCell ref="AB80:AE80"/>
    <mergeCell ref="AF80:AI80"/>
    <mergeCell ref="AJ80:AM80"/>
    <mergeCell ref="AF77:AI77"/>
    <mergeCell ref="AJ77:AM77"/>
    <mergeCell ref="B79:D90"/>
    <mergeCell ref="P79:S79"/>
    <mergeCell ref="T79:W79"/>
    <mergeCell ref="X79:AA79"/>
    <mergeCell ref="AB79:AE79"/>
    <mergeCell ref="AF79:AI79"/>
    <mergeCell ref="B76:D77"/>
    <mergeCell ref="E76:G77"/>
    <mergeCell ref="P76:AA76"/>
    <mergeCell ref="AB76:AM76"/>
    <mergeCell ref="AR76:AU77"/>
    <mergeCell ref="P77:S77"/>
    <mergeCell ref="T77:W77"/>
    <mergeCell ref="X77:AA77"/>
    <mergeCell ref="J59:O59"/>
    <mergeCell ref="P59:S59"/>
    <mergeCell ref="T59:W59"/>
    <mergeCell ref="X59:AA59"/>
    <mergeCell ref="F58:I60"/>
    <mergeCell ref="J58:O58"/>
    <mergeCell ref="P58:S58"/>
    <mergeCell ref="T58:W58"/>
    <mergeCell ref="X58:AA58"/>
    <mergeCell ref="P70:S70"/>
    <mergeCell ref="T70:W70"/>
    <mergeCell ref="X70:AA70"/>
    <mergeCell ref="P68:S68"/>
    <mergeCell ref="T68:W68"/>
    <mergeCell ref="X68:AA68"/>
    <mergeCell ref="P66:S66"/>
    <mergeCell ref="T66:W66"/>
    <mergeCell ref="X66:AA66"/>
    <mergeCell ref="P65:S65"/>
    <mergeCell ref="T65:W65"/>
    <mergeCell ref="X65:AA65"/>
    <mergeCell ref="B48:E51"/>
    <mergeCell ref="F48:I48"/>
    <mergeCell ref="J48:O48"/>
    <mergeCell ref="P48:S48"/>
    <mergeCell ref="T48:W48"/>
    <mergeCell ref="X48:AA48"/>
    <mergeCell ref="J57:O57"/>
    <mergeCell ref="P57:S57"/>
    <mergeCell ref="T57:W57"/>
    <mergeCell ref="X57:AA57"/>
    <mergeCell ref="J56:O56"/>
    <mergeCell ref="P56:S56"/>
    <mergeCell ref="T56:W56"/>
    <mergeCell ref="X56:AA56"/>
    <mergeCell ref="J55:O55"/>
    <mergeCell ref="P55:S55"/>
    <mergeCell ref="T55:W55"/>
    <mergeCell ref="X55:AA55"/>
    <mergeCell ref="B54:E61"/>
    <mergeCell ref="F54:I56"/>
    <mergeCell ref="J54:O54"/>
    <mergeCell ref="P54:S54"/>
    <mergeCell ref="T54:W54"/>
    <mergeCell ref="X54:AA54"/>
    <mergeCell ref="J61:O61"/>
    <mergeCell ref="P61:S61"/>
    <mergeCell ref="T61:W61"/>
    <mergeCell ref="X61:AA61"/>
    <mergeCell ref="J60:O60"/>
    <mergeCell ref="P60:S60"/>
    <mergeCell ref="T60:W60"/>
    <mergeCell ref="X60:AA60"/>
    <mergeCell ref="T42:W42"/>
    <mergeCell ref="X42:AA42"/>
    <mergeCell ref="P52:S52"/>
    <mergeCell ref="T52:W52"/>
    <mergeCell ref="X52:AA52"/>
    <mergeCell ref="J51:O51"/>
    <mergeCell ref="P51:S51"/>
    <mergeCell ref="T51:W51"/>
    <mergeCell ref="X51:AA51"/>
    <mergeCell ref="F50:I50"/>
    <mergeCell ref="J50:O50"/>
    <mergeCell ref="P50:S50"/>
    <mergeCell ref="T50:W50"/>
    <mergeCell ref="X50:AA50"/>
    <mergeCell ref="J49:O49"/>
    <mergeCell ref="P49:S49"/>
    <mergeCell ref="T49:W49"/>
    <mergeCell ref="X49:AA49"/>
    <mergeCell ref="B40:E45"/>
    <mergeCell ref="F40:I41"/>
    <mergeCell ref="J40:O40"/>
    <mergeCell ref="P40:S40"/>
    <mergeCell ref="T40:W40"/>
    <mergeCell ref="X40:AA40"/>
    <mergeCell ref="J41:O41"/>
    <mergeCell ref="P41:S41"/>
    <mergeCell ref="T41:W41"/>
    <mergeCell ref="X41:AA41"/>
    <mergeCell ref="B37:O38"/>
    <mergeCell ref="P37:S38"/>
    <mergeCell ref="T37:W38"/>
    <mergeCell ref="X37:AA38"/>
    <mergeCell ref="P46:S46"/>
    <mergeCell ref="T46:W46"/>
    <mergeCell ref="X46:AA46"/>
    <mergeCell ref="J45:O45"/>
    <mergeCell ref="P45:S45"/>
    <mergeCell ref="T45:W45"/>
    <mergeCell ref="X45:AA45"/>
    <mergeCell ref="J44:O44"/>
    <mergeCell ref="P44:S44"/>
    <mergeCell ref="T44:W44"/>
    <mergeCell ref="X44:AA44"/>
    <mergeCell ref="F43:I44"/>
    <mergeCell ref="J43:O43"/>
    <mergeCell ref="P43:S43"/>
    <mergeCell ref="T43:W43"/>
    <mergeCell ref="X43:AA43"/>
    <mergeCell ref="J42:O42"/>
    <mergeCell ref="P42:S42"/>
    <mergeCell ref="AB32:AE32"/>
    <mergeCell ref="AF32:AI32"/>
    <mergeCell ref="AJ32:AM32"/>
    <mergeCell ref="AN32:AQ32"/>
    <mergeCell ref="AV32:AY32"/>
    <mergeCell ref="AZ32:BC32"/>
    <mergeCell ref="AN30:AQ30"/>
    <mergeCell ref="AV30:AY30"/>
    <mergeCell ref="AZ30:BC30"/>
    <mergeCell ref="B32:D32"/>
    <mergeCell ref="E32:G32"/>
    <mergeCell ref="H32:K32"/>
    <mergeCell ref="L32:O32"/>
    <mergeCell ref="P32:S32"/>
    <mergeCell ref="T32:W32"/>
    <mergeCell ref="X32:AA32"/>
    <mergeCell ref="AZ29:BC29"/>
    <mergeCell ref="E30:G30"/>
    <mergeCell ref="H30:K30"/>
    <mergeCell ref="L30:O30"/>
    <mergeCell ref="P30:S30"/>
    <mergeCell ref="T30:W30"/>
    <mergeCell ref="X30:AA30"/>
    <mergeCell ref="AB30:AE30"/>
    <mergeCell ref="AF30:AI30"/>
    <mergeCell ref="AJ30:AM30"/>
    <mergeCell ref="X29:AA29"/>
    <mergeCell ref="AB29:AE29"/>
    <mergeCell ref="AF29:AI29"/>
    <mergeCell ref="AJ29:AM29"/>
    <mergeCell ref="AN29:AQ29"/>
    <mergeCell ref="AV29:AY29"/>
    <mergeCell ref="B29:D30"/>
    <mergeCell ref="E29:G29"/>
    <mergeCell ref="H29:K29"/>
    <mergeCell ref="L29:O29"/>
    <mergeCell ref="P29:S29"/>
    <mergeCell ref="T29:W29"/>
    <mergeCell ref="AV26:BC26"/>
    <mergeCell ref="H27:K27"/>
    <mergeCell ref="L27:O27"/>
    <mergeCell ref="P27:S27"/>
    <mergeCell ref="X27:AA27"/>
    <mergeCell ref="AB27:AE27"/>
    <mergeCell ref="AF27:AI27"/>
    <mergeCell ref="AJ27:AM27"/>
    <mergeCell ref="AV27:AY27"/>
    <mergeCell ref="AZ27:BC27"/>
    <mergeCell ref="B26:G27"/>
    <mergeCell ref="H26:S26"/>
    <mergeCell ref="T26:W27"/>
    <mergeCell ref="X26:AE26"/>
    <mergeCell ref="AF26:AM26"/>
    <mergeCell ref="AN26:AQ27"/>
    <mergeCell ref="B21:I21"/>
    <mergeCell ref="W21:AA21"/>
    <mergeCell ref="O21:V21"/>
    <mergeCell ref="J21:N21"/>
    <mergeCell ref="B13:F13"/>
    <mergeCell ref="G13:Q13"/>
    <mergeCell ref="B14:F14"/>
    <mergeCell ref="G14:Q14"/>
    <mergeCell ref="B15:F15"/>
    <mergeCell ref="G15:Q15"/>
    <mergeCell ref="B10:F10"/>
    <mergeCell ref="G10:Q10"/>
    <mergeCell ref="B11:F11"/>
    <mergeCell ref="G11:Q11"/>
    <mergeCell ref="B12:F12"/>
    <mergeCell ref="G12:Q12"/>
    <mergeCell ref="B4:E4"/>
    <mergeCell ref="F4:J4"/>
    <mergeCell ref="B8:F8"/>
    <mergeCell ref="G8:Q8"/>
    <mergeCell ref="B9:F9"/>
    <mergeCell ref="G9:Q9"/>
  </mergeCells>
  <phoneticPr fontId="1" type="noConversion"/>
  <dataValidations disablePrompts="1" count="3">
    <dataValidation type="list" allowBlank="1" showInputMessage="1" showErrorMessage="1" sqref="AC114:AD153">
      <formula1>$ED$114:$ED$121</formula1>
    </dataValidation>
    <dataValidation type="list" allowBlank="1" showInputMessage="1" showErrorMessage="1" sqref="AE114:AF153">
      <formula1>$EC$114:$EC$121</formula1>
    </dataValidation>
    <dataValidation type="list" allowBlank="1" showInputMessage="1" showErrorMessage="1" sqref="Y114 Y124 Y118 Y126 Y122 Y130 Y120 Y138 Y148 Y132 Y116 Y152 Y142 Y140 Y134 Y136 Y144 Y150 Y146 Y128">
      <formula1>$EB$114:$EB$117</formula1>
    </dataValidation>
  </dataValidations>
  <pageMargins left="0.7" right="0.7" top="0.75" bottom="0.75" header="0.3" footer="0.3"/>
  <pageSetup paperSize="9" scale="105" orientation="portrait" r:id="rId1"/>
  <ignoredErrors>
    <ignoredError sqref="P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J33"/>
  <sheetViews>
    <sheetView showGridLines="0" topLeftCell="A7" workbookViewId="0">
      <selection activeCell="I25" sqref="I25"/>
    </sheetView>
  </sheetViews>
  <sheetFormatPr defaultRowHeight="16.5"/>
  <cols>
    <col min="1" max="1" width="4.5" customWidth="1"/>
    <col min="2" max="2" width="21.75" customWidth="1"/>
    <col min="3" max="5" width="11" customWidth="1"/>
    <col min="6" max="10" width="13.25" customWidth="1"/>
  </cols>
  <sheetData>
    <row r="2" spans="2:10" ht="18.75">
      <c r="B2" s="2" t="s">
        <v>109</v>
      </c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628" t="s">
        <v>110</v>
      </c>
      <c r="C4" s="628" t="s">
        <v>111</v>
      </c>
      <c r="D4" s="628" t="s">
        <v>112</v>
      </c>
      <c r="E4" s="629" t="s">
        <v>113</v>
      </c>
      <c r="F4" s="630" t="s">
        <v>114</v>
      </c>
      <c r="G4" s="630"/>
      <c r="H4" s="630"/>
      <c r="I4" s="630"/>
      <c r="J4" s="630"/>
    </row>
    <row r="5" spans="2:10" ht="17.25" thickBot="1">
      <c r="B5" s="628"/>
      <c r="C5" s="628"/>
      <c r="D5" s="628"/>
      <c r="E5" s="629"/>
      <c r="F5" s="629" t="s">
        <v>115</v>
      </c>
      <c r="G5" s="629"/>
      <c r="H5" s="629"/>
      <c r="I5" s="631" t="s">
        <v>116</v>
      </c>
      <c r="J5" s="629"/>
    </row>
    <row r="6" spans="2:10" ht="17.25" thickTop="1">
      <c r="B6" s="628"/>
      <c r="C6" s="628"/>
      <c r="D6" s="628"/>
      <c r="E6" s="629"/>
      <c r="F6" s="3" t="s">
        <v>117</v>
      </c>
      <c r="G6" s="3" t="s">
        <v>118</v>
      </c>
      <c r="H6" s="36" t="s">
        <v>119</v>
      </c>
      <c r="I6" s="38" t="s">
        <v>118</v>
      </c>
      <c r="J6" s="37" t="s">
        <v>120</v>
      </c>
    </row>
    <row r="7" spans="2:10">
      <c r="B7" s="4" t="s">
        <v>121</v>
      </c>
      <c r="C7" s="6" t="s">
        <v>122</v>
      </c>
      <c r="D7" s="8" t="s">
        <v>123</v>
      </c>
      <c r="E7" s="10"/>
      <c r="F7" s="13">
        <v>30000</v>
      </c>
      <c r="G7" s="18">
        <v>20000</v>
      </c>
      <c r="H7" s="23">
        <v>0.66666666666666663</v>
      </c>
      <c r="I7" s="42">
        <v>20000</v>
      </c>
      <c r="J7" s="25">
        <v>0</v>
      </c>
    </row>
    <row r="8" spans="2:10">
      <c r="B8" s="5" t="s">
        <v>121</v>
      </c>
      <c r="C8" s="7" t="s">
        <v>122</v>
      </c>
      <c r="D8" s="9" t="s">
        <v>124</v>
      </c>
      <c r="E8" s="11"/>
      <c r="F8" s="14">
        <v>25000</v>
      </c>
      <c r="G8" s="19">
        <v>18000</v>
      </c>
      <c r="H8" s="24">
        <v>0.72</v>
      </c>
      <c r="I8" s="43">
        <v>18000</v>
      </c>
      <c r="J8" s="26">
        <v>0</v>
      </c>
    </row>
    <row r="9" spans="2:10">
      <c r="B9" s="5" t="s">
        <v>121</v>
      </c>
      <c r="C9" s="7" t="s">
        <v>122</v>
      </c>
      <c r="D9" s="9" t="s">
        <v>125</v>
      </c>
      <c r="E9" s="11"/>
      <c r="F9" s="14">
        <v>20000</v>
      </c>
      <c r="G9" s="19">
        <v>16000</v>
      </c>
      <c r="H9" s="24">
        <v>0.8</v>
      </c>
      <c r="I9" s="43">
        <v>16000</v>
      </c>
      <c r="J9" s="26">
        <v>0</v>
      </c>
    </row>
    <row r="10" spans="2:10">
      <c r="B10" s="5" t="s">
        <v>121</v>
      </c>
      <c r="C10" s="7" t="s">
        <v>122</v>
      </c>
      <c r="D10" s="9" t="s">
        <v>126</v>
      </c>
      <c r="E10" s="11"/>
      <c r="F10" s="14">
        <v>16000</v>
      </c>
      <c r="G10" s="19">
        <v>14000</v>
      </c>
      <c r="H10" s="24">
        <v>0.875</v>
      </c>
      <c r="I10" s="43">
        <v>14000</v>
      </c>
      <c r="J10" s="26">
        <v>0</v>
      </c>
    </row>
    <row r="11" spans="2:10">
      <c r="B11" s="5" t="s">
        <v>121</v>
      </c>
      <c r="C11" s="7" t="s">
        <v>122</v>
      </c>
      <c r="D11" s="9" t="s">
        <v>127</v>
      </c>
      <c r="E11" s="12"/>
      <c r="F11" s="15">
        <v>14000</v>
      </c>
      <c r="G11" s="20">
        <v>12000</v>
      </c>
      <c r="H11" s="24">
        <v>0.8571428571428571</v>
      </c>
      <c r="I11" s="44">
        <v>12000</v>
      </c>
      <c r="J11" s="26">
        <v>0</v>
      </c>
    </row>
    <row r="12" spans="2:10">
      <c r="B12" s="5" t="s">
        <v>121</v>
      </c>
      <c r="C12" s="7" t="s">
        <v>122</v>
      </c>
      <c r="D12" s="9" t="s">
        <v>128</v>
      </c>
      <c r="E12" s="12"/>
      <c r="F12" s="15">
        <v>13000</v>
      </c>
      <c r="G12" s="20">
        <v>10000</v>
      </c>
      <c r="H12" s="24">
        <v>0.76923076923076927</v>
      </c>
      <c r="I12" s="44">
        <v>10000</v>
      </c>
      <c r="J12" s="26">
        <v>0</v>
      </c>
    </row>
    <row r="13" spans="2:10">
      <c r="B13" s="5" t="s">
        <v>121</v>
      </c>
      <c r="C13" s="7" t="s">
        <v>122</v>
      </c>
      <c r="D13" s="9" t="s">
        <v>129</v>
      </c>
      <c r="E13" s="12"/>
      <c r="F13" s="15">
        <v>10000</v>
      </c>
      <c r="G13" s="20">
        <v>8000</v>
      </c>
      <c r="H13" s="24">
        <v>0.8</v>
      </c>
      <c r="I13" s="44">
        <v>8000</v>
      </c>
      <c r="J13" s="26">
        <v>0</v>
      </c>
    </row>
    <row r="14" spans="2:10">
      <c r="B14" s="27" t="s">
        <v>121</v>
      </c>
      <c r="C14" s="28"/>
      <c r="D14" s="29" t="s">
        <v>130</v>
      </c>
      <c r="E14" s="28"/>
      <c r="F14" s="30">
        <v>18285.714285714286</v>
      </c>
      <c r="G14" s="31">
        <v>14000</v>
      </c>
      <c r="H14" s="32">
        <v>0.765625</v>
      </c>
      <c r="I14" s="39">
        <v>14000</v>
      </c>
      <c r="J14" s="33">
        <v>0</v>
      </c>
    </row>
    <row r="15" spans="2:10">
      <c r="B15" s="4" t="s">
        <v>131</v>
      </c>
      <c r="C15" s="6" t="s">
        <v>132</v>
      </c>
      <c r="D15" s="8" t="s">
        <v>123</v>
      </c>
      <c r="E15" s="10"/>
      <c r="F15" s="13">
        <v>23000</v>
      </c>
      <c r="G15" s="18">
        <v>18000</v>
      </c>
      <c r="H15" s="23">
        <v>0.78260869565217395</v>
      </c>
      <c r="I15" s="42">
        <v>15000</v>
      </c>
      <c r="J15" s="25">
        <v>0.16666666666666666</v>
      </c>
    </row>
    <row r="16" spans="2:10">
      <c r="B16" s="5" t="s">
        <v>131</v>
      </c>
      <c r="C16" s="7" t="s">
        <v>132</v>
      </c>
      <c r="D16" s="9" t="s">
        <v>124</v>
      </c>
      <c r="E16" s="11"/>
      <c r="F16" s="14">
        <v>21000</v>
      </c>
      <c r="G16" s="19">
        <v>16000</v>
      </c>
      <c r="H16" s="24">
        <v>0.76190476190476186</v>
      </c>
      <c r="I16" s="43">
        <v>13200</v>
      </c>
      <c r="J16" s="26">
        <v>0.17499999999999999</v>
      </c>
    </row>
    <row r="17" spans="2:10">
      <c r="B17" s="5" t="s">
        <v>131</v>
      </c>
      <c r="C17" s="7" t="s">
        <v>132</v>
      </c>
      <c r="D17" s="9" t="s">
        <v>125</v>
      </c>
      <c r="E17" s="11"/>
      <c r="F17" s="14">
        <v>18000</v>
      </c>
      <c r="G17" s="19">
        <v>14000</v>
      </c>
      <c r="H17" s="24">
        <v>0.77777777777777779</v>
      </c>
      <c r="I17" s="43">
        <v>10100</v>
      </c>
      <c r="J17" s="26">
        <v>0.27857142857142858</v>
      </c>
    </row>
    <row r="18" spans="2:10">
      <c r="B18" s="5" t="s">
        <v>131</v>
      </c>
      <c r="C18" s="7" t="s">
        <v>132</v>
      </c>
      <c r="D18" s="9" t="s">
        <v>126</v>
      </c>
      <c r="E18" s="11"/>
      <c r="F18" s="14">
        <v>16000</v>
      </c>
      <c r="G18" s="19">
        <v>12000</v>
      </c>
      <c r="H18" s="24">
        <v>0.75</v>
      </c>
      <c r="I18" s="43">
        <v>8700</v>
      </c>
      <c r="J18" s="26">
        <v>0.27500000000000002</v>
      </c>
    </row>
    <row r="19" spans="2:10">
      <c r="B19" s="5" t="s">
        <v>131</v>
      </c>
      <c r="C19" s="7" t="s">
        <v>132</v>
      </c>
      <c r="D19" s="9" t="s">
        <v>127</v>
      </c>
      <c r="E19" s="12"/>
      <c r="F19" s="15">
        <v>13000</v>
      </c>
      <c r="G19" s="20">
        <v>10000</v>
      </c>
      <c r="H19" s="24">
        <v>0.76923076923076927</v>
      </c>
      <c r="I19" s="44">
        <v>7100</v>
      </c>
      <c r="J19" s="26">
        <v>0.28999999999999998</v>
      </c>
    </row>
    <row r="20" spans="2:10">
      <c r="B20" s="5" t="s">
        <v>131</v>
      </c>
      <c r="C20" s="7" t="s">
        <v>132</v>
      </c>
      <c r="D20" s="9" t="s">
        <v>128</v>
      </c>
      <c r="E20" s="12"/>
      <c r="F20" s="15">
        <v>12000</v>
      </c>
      <c r="G20" s="20">
        <v>9000</v>
      </c>
      <c r="H20" s="24">
        <v>0.75</v>
      </c>
      <c r="I20" s="44">
        <v>5100</v>
      </c>
      <c r="J20" s="26">
        <v>0.37777777777777777</v>
      </c>
    </row>
    <row r="21" spans="2:10">
      <c r="B21" s="5" t="s">
        <v>131</v>
      </c>
      <c r="C21" s="7" t="s">
        <v>132</v>
      </c>
      <c r="D21" s="9" t="s">
        <v>129</v>
      </c>
      <c r="E21" s="12"/>
      <c r="F21" s="15">
        <v>9000</v>
      </c>
      <c r="G21" s="20">
        <v>7000</v>
      </c>
      <c r="H21" s="24">
        <v>0.77777777777777779</v>
      </c>
      <c r="I21" s="44">
        <v>4400</v>
      </c>
      <c r="J21" s="26">
        <v>0.37142857142857144</v>
      </c>
    </row>
    <row r="22" spans="2:10">
      <c r="B22" s="27" t="s">
        <v>131</v>
      </c>
      <c r="C22" s="28"/>
      <c r="D22" s="29" t="s">
        <v>130</v>
      </c>
      <c r="E22" s="28"/>
      <c r="F22" s="30">
        <v>16000</v>
      </c>
      <c r="G22" s="31">
        <v>12285.714285714286</v>
      </c>
      <c r="H22" s="32">
        <v>0.7678571428571429</v>
      </c>
      <c r="I22" s="39">
        <v>9157.1428571428569</v>
      </c>
      <c r="J22" s="33">
        <v>0.25465116279069772</v>
      </c>
    </row>
    <row r="23" spans="2:10">
      <c r="B23" s="4" t="s">
        <v>133</v>
      </c>
      <c r="C23" s="6" t="s">
        <v>134</v>
      </c>
      <c r="D23" s="8" t="s">
        <v>134</v>
      </c>
      <c r="E23" s="10" t="s">
        <v>134</v>
      </c>
      <c r="F23" s="16">
        <v>30000</v>
      </c>
      <c r="G23" s="21">
        <v>18000</v>
      </c>
      <c r="H23" s="23">
        <v>0.6</v>
      </c>
      <c r="I23" s="45">
        <v>16000</v>
      </c>
      <c r="J23" s="25">
        <v>0.1111111111111111</v>
      </c>
    </row>
    <row r="24" spans="2:10">
      <c r="B24" s="5" t="s">
        <v>133</v>
      </c>
      <c r="C24" s="7" t="s">
        <v>135</v>
      </c>
      <c r="D24" s="9" t="s">
        <v>135</v>
      </c>
      <c r="E24" s="12" t="s">
        <v>135</v>
      </c>
      <c r="F24" s="17">
        <v>25000</v>
      </c>
      <c r="G24" s="22">
        <v>15000</v>
      </c>
      <c r="H24" s="24">
        <v>0.6</v>
      </c>
      <c r="I24" s="46">
        <v>13000</v>
      </c>
      <c r="J24" s="26">
        <v>0.13333333333333333</v>
      </c>
    </row>
    <row r="25" spans="2:10">
      <c r="B25" s="5" t="s">
        <v>133</v>
      </c>
      <c r="C25" s="7" t="s">
        <v>136</v>
      </c>
      <c r="D25" s="9" t="s">
        <v>136</v>
      </c>
      <c r="E25" s="12" t="s">
        <v>136</v>
      </c>
      <c r="F25" s="17">
        <v>20000</v>
      </c>
      <c r="G25" s="22">
        <v>13000</v>
      </c>
      <c r="H25" s="24">
        <v>0.65</v>
      </c>
      <c r="I25" s="46">
        <v>10000</v>
      </c>
      <c r="J25" s="26">
        <v>0.23076923076923078</v>
      </c>
    </row>
    <row r="26" spans="2:10">
      <c r="B26" s="5" t="s">
        <v>133</v>
      </c>
      <c r="C26" s="7" t="s">
        <v>137</v>
      </c>
      <c r="D26" s="9" t="s">
        <v>137</v>
      </c>
      <c r="E26" s="12" t="s">
        <v>137</v>
      </c>
      <c r="F26" s="17">
        <v>15000</v>
      </c>
      <c r="G26" s="22">
        <v>10000</v>
      </c>
      <c r="H26" s="24">
        <v>0.66666666666666663</v>
      </c>
      <c r="I26" s="46">
        <v>8000</v>
      </c>
      <c r="J26" s="26">
        <v>0.2</v>
      </c>
    </row>
    <row r="27" spans="2:10">
      <c r="B27" s="27" t="s">
        <v>133</v>
      </c>
      <c r="C27" s="28"/>
      <c r="D27" s="29" t="s">
        <v>130</v>
      </c>
      <c r="E27" s="28"/>
      <c r="F27" s="34">
        <v>22500</v>
      </c>
      <c r="G27" s="35">
        <v>14000</v>
      </c>
      <c r="H27" s="32">
        <v>0.62222222222222223</v>
      </c>
      <c r="I27" s="40">
        <v>11750</v>
      </c>
      <c r="J27" s="33">
        <v>0.16071428571428573</v>
      </c>
    </row>
    <row r="28" spans="2:10">
      <c r="B28" s="4" t="s">
        <v>138</v>
      </c>
      <c r="C28" s="6" t="s">
        <v>139</v>
      </c>
      <c r="D28" s="8" t="s">
        <v>139</v>
      </c>
      <c r="E28" s="10" t="s">
        <v>139</v>
      </c>
      <c r="F28" s="16">
        <v>18910</v>
      </c>
      <c r="G28" s="21">
        <v>13000</v>
      </c>
      <c r="H28" s="23">
        <v>0.68746694870438918</v>
      </c>
      <c r="I28" s="45">
        <v>9000</v>
      </c>
      <c r="J28" s="25">
        <v>0.30769230769230771</v>
      </c>
    </row>
    <row r="29" spans="2:10">
      <c r="B29" s="5" t="s">
        <v>138</v>
      </c>
      <c r="C29" s="7" t="s">
        <v>140</v>
      </c>
      <c r="D29" s="9" t="s">
        <v>140</v>
      </c>
      <c r="E29" s="12" t="s">
        <v>140</v>
      </c>
      <c r="F29" s="17">
        <v>13960</v>
      </c>
      <c r="G29" s="22">
        <v>10000</v>
      </c>
      <c r="H29" s="24">
        <v>0.71633237822349571</v>
      </c>
      <c r="I29" s="46">
        <v>7600</v>
      </c>
      <c r="J29" s="26">
        <v>0.24</v>
      </c>
    </row>
    <row r="30" spans="2:10">
      <c r="B30" s="5" t="s">
        <v>138</v>
      </c>
      <c r="C30" s="7" t="s">
        <v>141</v>
      </c>
      <c r="D30" s="9" t="s">
        <v>141</v>
      </c>
      <c r="E30" s="12" t="s">
        <v>141</v>
      </c>
      <c r="F30" s="17">
        <v>11590</v>
      </c>
      <c r="G30" s="22">
        <v>8000</v>
      </c>
      <c r="H30" s="24">
        <v>0.69025021570319245</v>
      </c>
      <c r="I30" s="46">
        <v>6000</v>
      </c>
      <c r="J30" s="26">
        <v>0.25</v>
      </c>
    </row>
    <row r="31" spans="2:10">
      <c r="B31" s="5" t="s">
        <v>138</v>
      </c>
      <c r="C31" s="7" t="s">
        <v>142</v>
      </c>
      <c r="D31" s="9" t="s">
        <v>142</v>
      </c>
      <c r="E31" s="12" t="s">
        <v>142</v>
      </c>
      <c r="F31" s="17">
        <v>9030</v>
      </c>
      <c r="G31" s="22">
        <v>6000</v>
      </c>
      <c r="H31" s="24">
        <v>0.66445182724252494</v>
      </c>
      <c r="I31" s="46">
        <v>5000</v>
      </c>
      <c r="J31" s="26">
        <v>0.16666666666666666</v>
      </c>
    </row>
    <row r="32" spans="2:10" ht="17.25" thickBot="1">
      <c r="B32" s="27" t="s">
        <v>138</v>
      </c>
      <c r="C32" s="28"/>
      <c r="D32" s="29" t="s">
        <v>130</v>
      </c>
      <c r="E32" s="28"/>
      <c r="F32" s="34">
        <v>13372.5</v>
      </c>
      <c r="G32" s="35">
        <v>9250</v>
      </c>
      <c r="H32" s="32">
        <v>0.69171807814544772</v>
      </c>
      <c r="I32" s="41">
        <v>6900</v>
      </c>
      <c r="J32" s="33">
        <v>0.25405405405405407</v>
      </c>
    </row>
    <row r="33" ht="17.25" thickTop="1"/>
  </sheetData>
  <mergeCells count="7">
    <mergeCell ref="B4:B6"/>
    <mergeCell ref="C4:C6"/>
    <mergeCell ref="D4:D6"/>
    <mergeCell ref="E4:E6"/>
    <mergeCell ref="F4:J4"/>
    <mergeCell ref="F5:H5"/>
    <mergeCell ref="I5:J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V42" sqref="V42:Y42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H11:J11"/>
  <sheetViews>
    <sheetView workbookViewId="0">
      <selection activeCell="V42" sqref="V42:Y42"/>
    </sheetView>
  </sheetViews>
  <sheetFormatPr defaultRowHeight="16.5"/>
  <cols>
    <col min="10" max="10" width="18.5" customWidth="1"/>
  </cols>
  <sheetData>
    <row r="11" spans="8:10">
      <c r="H11" s="48">
        <v>62151000</v>
      </c>
      <c r="I11" s="48">
        <v>49506476</v>
      </c>
      <c r="J11" s="47">
        <v>12644524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T12"/>
  <sheetViews>
    <sheetView workbookViewId="0">
      <selection activeCell="I30" sqref="I30"/>
    </sheetView>
  </sheetViews>
  <sheetFormatPr defaultRowHeight="16.5"/>
  <cols>
    <col min="17" max="17" width="13.125" bestFit="1" customWidth="1"/>
    <col min="18" max="20" width="10.875" bestFit="1" customWidth="1"/>
  </cols>
  <sheetData>
    <row r="9" spans="5:20">
      <c r="E9" s="54" t="s">
        <v>203</v>
      </c>
      <c r="F9" s="55"/>
      <c r="G9" s="55"/>
      <c r="H9" s="55"/>
      <c r="I9" s="56"/>
      <c r="J9" s="56"/>
      <c r="K9" s="53"/>
      <c r="L9" s="53"/>
      <c r="M9" s="53"/>
      <c r="N9" s="53">
        <v>1</v>
      </c>
      <c r="O9" s="53">
        <v>1</v>
      </c>
      <c r="P9" s="53">
        <v>1</v>
      </c>
      <c r="Q9" s="50">
        <v>7500000</v>
      </c>
      <c r="R9" s="52">
        <f>+N9*$Q9</f>
        <v>7500000</v>
      </c>
      <c r="S9" s="52">
        <f t="shared" ref="S9:T11" si="0">+O9*$Q9</f>
        <v>7500000</v>
      </c>
      <c r="T9" s="52">
        <f t="shared" si="0"/>
        <v>7500000</v>
      </c>
    </row>
    <row r="10" spans="5:20">
      <c r="E10" s="59" t="s">
        <v>204</v>
      </c>
      <c r="F10" s="60"/>
      <c r="G10" s="61"/>
      <c r="H10" s="61"/>
      <c r="I10" s="61"/>
      <c r="J10" s="61"/>
      <c r="K10" s="61"/>
      <c r="L10" s="57"/>
      <c r="M10" s="57"/>
      <c r="N10" s="57">
        <v>0.5</v>
      </c>
      <c r="O10" s="58">
        <v>1</v>
      </c>
      <c r="P10" s="57">
        <v>1</v>
      </c>
      <c r="Q10" s="51">
        <v>1800000</v>
      </c>
      <c r="R10" s="52">
        <f t="shared" ref="R10:R11" si="1">+N10*$Q10</f>
        <v>900000</v>
      </c>
      <c r="S10" s="52">
        <f t="shared" si="0"/>
        <v>1800000</v>
      </c>
      <c r="T10" s="52">
        <f t="shared" si="0"/>
        <v>1800000</v>
      </c>
    </row>
    <row r="11" spans="5:20">
      <c r="E11" s="59" t="s">
        <v>204</v>
      </c>
      <c r="F11" s="60"/>
      <c r="G11" s="61"/>
      <c r="H11" s="61"/>
      <c r="I11" s="61"/>
      <c r="J11" s="61"/>
      <c r="K11" s="61"/>
      <c r="L11" s="57"/>
      <c r="M11" s="57"/>
      <c r="N11" s="57">
        <v>0.5</v>
      </c>
      <c r="O11" s="58">
        <v>1</v>
      </c>
      <c r="P11" s="57">
        <v>1</v>
      </c>
      <c r="Q11" s="51">
        <v>1800000</v>
      </c>
      <c r="R11" s="52">
        <f t="shared" si="1"/>
        <v>900000</v>
      </c>
      <c r="S11" s="52">
        <f t="shared" si="0"/>
        <v>1800000</v>
      </c>
      <c r="T11" s="52">
        <f t="shared" si="0"/>
        <v>1800000</v>
      </c>
    </row>
    <row r="12" spans="5:20">
      <c r="R12" s="49">
        <f>SUM(R9:R11)</f>
        <v>9300000</v>
      </c>
      <c r="S12" s="49">
        <f t="shared" ref="S12:T12" si="2">SUM(S9:S11)</f>
        <v>11100000</v>
      </c>
      <c r="T12" s="49">
        <f t="shared" si="2"/>
        <v>11100000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P24-039</vt:lpstr>
      <vt:lpstr>wims</vt:lpstr>
      <vt:lpstr>2014년 표준단가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조선우</dc:creator>
  <cp:lastModifiedBy>EJSHIN</cp:lastModifiedBy>
  <dcterms:created xsi:type="dcterms:W3CDTF">2014-08-12T07:15:58Z</dcterms:created>
  <dcterms:modified xsi:type="dcterms:W3CDTF">2025-12-31T09:32:48Z</dcterms:modified>
</cp:coreProperties>
</file>