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.YOON\Desktop\VRB\고성\"/>
    </mc:Choice>
  </mc:AlternateContent>
  <bookViews>
    <workbookView xWindow="0" yWindow="0" windowWidth="28800" windowHeight="12420"/>
  </bookViews>
  <sheets>
    <sheet name="고객사명" sheetId="2" r:id="rId1"/>
  </sheets>
  <definedNames>
    <definedName name="_xlnm.Print_Area" localSheetId="0">고객사명!$A$1:$H$67</definedName>
  </definedNames>
  <calcPr calcId="152511"/>
</workbook>
</file>

<file path=xl/calcChain.xml><?xml version="1.0" encoding="utf-8"?>
<calcChain xmlns="http://schemas.openxmlformats.org/spreadsheetml/2006/main">
  <c r="E57" i="2" l="1"/>
  <c r="C58" i="2" s="1"/>
  <c r="C56" i="2"/>
  <c r="F56" i="2" s="1"/>
  <c r="J56" i="2"/>
  <c r="F41" i="2"/>
  <c r="C43" i="2"/>
  <c r="E42" i="2"/>
  <c r="C41" i="2"/>
  <c r="J55" i="2"/>
  <c r="J58" i="2" s="1"/>
  <c r="C52" i="2"/>
  <c r="C37" i="2" l="1"/>
  <c r="C46" i="2" l="1"/>
  <c r="C55" i="2" l="1"/>
  <c r="F58" i="2"/>
  <c r="C32" i="2" l="1"/>
  <c r="C40" i="2" l="1"/>
  <c r="F43" i="2"/>
</calcChain>
</file>

<file path=xl/sharedStrings.xml><?xml version="1.0" encoding="utf-8"?>
<sst xmlns="http://schemas.openxmlformats.org/spreadsheetml/2006/main" count="97" uniqueCount="89">
  <si>
    <t>고객명</t>
    <phoneticPr fontId="2" type="noConversion"/>
  </si>
  <si>
    <t>수주확율</t>
    <phoneticPr fontId="1" type="noConversion"/>
  </si>
  <si>
    <t>Risk</t>
    <phoneticPr fontId="1" type="noConversion"/>
  </si>
  <si>
    <t>사업명</t>
    <phoneticPr fontId="2" type="noConversion"/>
  </si>
  <si>
    <t>고객정보</t>
    <phoneticPr fontId="1" type="noConversion"/>
  </si>
  <si>
    <t>사업예산</t>
    <phoneticPr fontId="1" type="noConversion"/>
  </si>
  <si>
    <t>담당영업 및 PS</t>
    <phoneticPr fontId="1" type="noConversion"/>
  </si>
  <si>
    <t>수주시기</t>
    <phoneticPr fontId="1" type="noConversion"/>
  </si>
  <si>
    <t>예상 사업기간</t>
    <phoneticPr fontId="1" type="noConversion"/>
  </si>
  <si>
    <t>사업형태</t>
    <phoneticPr fontId="1" type="noConversion"/>
  </si>
  <si>
    <t>입찰</t>
  </si>
  <si>
    <t>주사업자</t>
    <phoneticPr fontId="1" type="noConversion"/>
  </si>
  <si>
    <t>경쟁사</t>
    <phoneticPr fontId="1" type="noConversion"/>
  </si>
  <si>
    <t>주요 도입 솔루션</t>
    <phoneticPr fontId="1" type="noConversion"/>
  </si>
  <si>
    <t>사업범위</t>
    <phoneticPr fontId="2" type="noConversion"/>
  </si>
  <si>
    <t>주요활동</t>
    <phoneticPr fontId="2" type="noConversion"/>
  </si>
  <si>
    <t>주요내용</t>
    <phoneticPr fontId="2" type="noConversion"/>
  </si>
  <si>
    <t>예상 수주 금액</t>
    <phoneticPr fontId="1" type="noConversion"/>
  </si>
  <si>
    <t>예상 MM</t>
    <phoneticPr fontId="1" type="noConversion"/>
  </si>
  <si>
    <t>프로젝트 수행 비용</t>
    <phoneticPr fontId="1" type="noConversion"/>
  </si>
  <si>
    <t>VRB (Value Review Board)</t>
    <phoneticPr fontId="1" type="noConversion"/>
  </si>
  <si>
    <t>타사 상품 매입</t>
    <phoneticPr fontId="1" type="noConversion"/>
  </si>
  <si>
    <t>영업이익</t>
    <phoneticPr fontId="1" type="noConversion"/>
  </si>
  <si>
    <t>사전
수지분석서
요약
(Best)</t>
    <phoneticPr fontId="1" type="noConversion"/>
  </si>
  <si>
    <t>사전
수지분석서
요약
(Worst)</t>
    <phoneticPr fontId="1" type="noConversion"/>
  </si>
  <si>
    <t>파트너사</t>
    <phoneticPr fontId="1" type="noConversion"/>
  </si>
  <si>
    <t>파트너사 정보</t>
    <phoneticPr fontId="1" type="noConversion"/>
  </si>
  <si>
    <t>프로젝트 리스크 비용</t>
    <phoneticPr fontId="1" type="noConversion"/>
  </si>
  <si>
    <t>RENOBIT, TIM</t>
    <phoneticPr fontId="1" type="noConversion"/>
  </si>
  <si>
    <t>영업 : 윤근호 이사 / PS : 김철원 전무</t>
    <phoneticPr fontId="1" type="noConversion"/>
  </si>
  <si>
    <t>그룹장</t>
    <phoneticPr fontId="2" type="noConversion"/>
  </si>
  <si>
    <t>본부장</t>
    <phoneticPr fontId="2" type="noConversion"/>
  </si>
  <si>
    <t>대표이사</t>
    <phoneticPr fontId="2" type="noConversion"/>
  </si>
  <si>
    <t>협조</t>
    <phoneticPr fontId="2" type="noConversion"/>
  </si>
  <si>
    <t>경영지원실</t>
    <phoneticPr fontId="2" type="noConversion"/>
  </si>
  <si>
    <t>결재</t>
    <phoneticPr fontId="2" type="noConversion"/>
  </si>
  <si>
    <t>영업대표/PM</t>
    <phoneticPr fontId="2" type="noConversion"/>
  </si>
  <si>
    <t>전체 사업비의 10%</t>
    <phoneticPr fontId="1" type="noConversion"/>
  </si>
  <si>
    <t>물품</t>
    <phoneticPr fontId="1" type="noConversion"/>
  </si>
  <si>
    <t>용역</t>
    <phoneticPr fontId="1" type="noConversion"/>
  </si>
  <si>
    <t>사업배경</t>
    <phoneticPr fontId="2" type="noConversion"/>
  </si>
  <si>
    <t>사업 진행근거 
및 
기대효과</t>
    <phoneticPr fontId="1" type="noConversion"/>
  </si>
  <si>
    <t>프로젝트 수행 비용</t>
    <phoneticPr fontId="1" type="noConversion"/>
  </si>
  <si>
    <t>물품</t>
    <phoneticPr fontId="1" type="noConversion"/>
  </si>
  <si>
    <t>용역</t>
    <phoneticPr fontId="1" type="noConversion"/>
  </si>
  <si>
    <t xml:space="preserve">출장 경비 외 </t>
    <phoneticPr fontId="1" type="noConversion"/>
  </si>
  <si>
    <t xml:space="preserve">출장 경비 외 </t>
    <phoneticPr fontId="1" type="noConversion"/>
  </si>
  <si>
    <t>1) 3D모델링과 P&amp;ID 도면 드로잉은 한국전력기술에서 선 작업후 위엠비에 인수
2) 3D모델링(율시스템)업체에서 위엠비의 레노빗 플랫폼에 맞게 모델링 후 전달예정
3) MS-Visio로 드로잉 완료후 DB연계를 통해 위엠비의 EP&amp;ID에서 Viewer와 Editor를 통해 관리</t>
    <phoneticPr fontId="2" type="noConversion"/>
  </si>
  <si>
    <t>■ 남동발전 건설처 예산중 디지털트윈 구축비용 14.5억 확보하여 프로젝트 진행 (사업수행은 위엠비 친화적인 김명규차장이 진행예정)
■ 한국전력기술 7억 / 디지털트윈 구축컨소시엄 7.5억
■ 한국전력기술은 3D모델링, P&amp;ID드로잉 선 작업하여 디지털트윈 업체(수주시 위엠비)에 전달</t>
    <phoneticPr fontId="1" type="noConversion"/>
  </si>
  <si>
    <t>■ 수의계약 낙찰예정자 선정
■ 낙찰예정자 : 한전KDN 주식회사(대표사/ 70%) +㈜위엠비(참여사/ 30%) 
■ 낙찰예정금액 : 793,005,400원(VAT 포함)
■ 위엠비 : 컨소비율 216,274,200원 외 한전KDN 물품 추가 발주 1.7억 예상</t>
    <phoneticPr fontId="1" type="noConversion"/>
  </si>
  <si>
    <t>■ 한국전력기술은 예전부터 포미트의 영업력이 좋아 고성건은 포미트가 유리 -&gt; 남동발전 디지털융합처(김명규차장)에서 위엠비를 추천</t>
    <phoneticPr fontId="1" type="noConversion"/>
  </si>
  <si>
    <t>■ 한전KDN의 조직개편과 더불어 기존 담당 서덕기부장, 배금준차장 에서 이세훈부장, 장태경차장으로 변경</t>
    <phoneticPr fontId="1" type="noConversion"/>
  </si>
  <si>
    <t>■ 위엠비 내방(실사 목적), VR관련 데모 시연(정현우이사, 김성록수석), 고성복합화력 관련 업무 미팅. 참석자 : 한국전력기술 송정욱팀장, 차수남책임</t>
    <phoneticPr fontId="1" type="noConversion"/>
  </si>
  <si>
    <t>■ 한전KDN을 배제하고 위엠비 단독으로 수행여부 확인(기술적으로는 가능하다고만 답변) : 신임 담당자에게 업무인수인계 제대로 안됨</t>
    <phoneticPr fontId="1" type="noConversion"/>
  </si>
  <si>
    <t>■ 한국전력기술 / 한전KDN / 위엠비간의 업무분장 협의. 참석자 : 한국전력기술 차수남책임, 남동발전 김명규차장, 한전KDN 오경진과장 외</t>
    <phoneticPr fontId="1" type="noConversion"/>
  </si>
  <si>
    <t>■ 한전KDN과의 컨소시엄 비율 조절(PQ심사로 회사신용점수와 구축실적이 많은 한전KDN이 7 위엠비가 3)</t>
    <phoneticPr fontId="1" type="noConversion"/>
  </si>
  <si>
    <t>■ 디엑스랩즈를 통해 한전KDN을 통하지 않고 포미트와의 협업이 가능한지 확인 -&gt; 금번 사업은 한전KDN과 하기로 확정했다고 전달</t>
    <phoneticPr fontId="1" type="noConversion"/>
  </si>
  <si>
    <t>■ 한국전력기술이 드로일중인 P&amp;ID시스템과 위엠비 EP&amp;ID시스템간의 연계방안 협의</t>
    <phoneticPr fontId="1" type="noConversion"/>
  </si>
  <si>
    <t>■ 고객사의 요청으로 사업 일정 변경가능성 있음.(디지털트윈과 EP&amp;ID는 조기에 개발완료 요청)</t>
    <phoneticPr fontId="1" type="noConversion"/>
  </si>
  <si>
    <t>■ 한전KDN의 역할이 크지 않음을 남동발전에서 지속적으로 이슈제기 -&gt; 잘 활용하여 차기 사업은 단독 수주 가능하도록 영업해야 함.</t>
    <phoneticPr fontId="1" type="noConversion"/>
  </si>
  <si>
    <t>3D UI 구현 (8MM)</t>
    <phoneticPr fontId="1" type="noConversion"/>
  </si>
  <si>
    <t>디지털트윈 3D 모델링 (3MM)</t>
    <phoneticPr fontId="1" type="noConversion"/>
  </si>
  <si>
    <t>시스템 인터페이스 (외주9MM)</t>
    <phoneticPr fontId="1" type="noConversion"/>
  </si>
  <si>
    <t>P&amp;ID (4MM)</t>
    <phoneticPr fontId="1" type="noConversion"/>
  </si>
  <si>
    <t>고성복합화력을 기본 모델로 천안복합, 송산마도복합, 분당복합화력 순차 적용예정</t>
    <phoneticPr fontId="1" type="noConversion"/>
  </si>
  <si>
    <t>기존에 한국전력기술에서 MS-Visio로 만든 P&amp;ID도면을 준공후 PDF도면으로 전달받아 다시 전산화 했던 작업을 설계부터 한국전력기술과 협업해 전산화 가능</t>
    <phoneticPr fontId="1" type="noConversion"/>
  </si>
  <si>
    <t>4.25억(VAT포함)</t>
  </si>
  <si>
    <t>상(90%)</t>
  </si>
  <si>
    <t>2025년 05월</t>
  </si>
  <si>
    <t>위엠비</t>
  </si>
  <si>
    <t>포미트</t>
  </si>
  <si>
    <t>남동발전</t>
    <phoneticPr fontId="1" type="noConversion"/>
  </si>
  <si>
    <t>한국전력기술 -&gt; KDN&amp;위엠비 컨소</t>
    <phoneticPr fontId="1" type="noConversion"/>
  </si>
  <si>
    <t>고성 천연가스발전사업 디지털 트윈 구축 용역</t>
    <phoneticPr fontId="1" type="noConversion"/>
  </si>
  <si>
    <t>한국전력기술 / 융복합개발팀 / 차수남 / 차장</t>
    <phoneticPr fontId="1" type="noConversion"/>
  </si>
  <si>
    <t>2025년 05월 ~ 2026년 12월까지</t>
    <phoneticPr fontId="1" type="noConversion"/>
  </si>
  <si>
    <t>디지털트윈 3D 모델링 (3.75MM)</t>
    <phoneticPr fontId="1" type="noConversion"/>
  </si>
  <si>
    <t>3D UI 구현 (6.5MM)</t>
    <phoneticPr fontId="1" type="noConversion"/>
  </si>
  <si>
    <t>시스템 인터페이스 (외주 6.5MM)</t>
    <phoneticPr fontId="1" type="noConversion"/>
  </si>
  <si>
    <t>P&amp;ID (2.25MM)</t>
    <phoneticPr fontId="1" type="noConversion"/>
  </si>
  <si>
    <t>사업관리 (3.5MM)</t>
    <phoneticPr fontId="1" type="noConversion"/>
  </si>
  <si>
    <t>24MM</t>
    <phoneticPr fontId="1" type="noConversion"/>
  </si>
  <si>
    <t>22.5MM</t>
    <phoneticPr fontId="1" type="noConversion"/>
  </si>
  <si>
    <t>고성 천연가스발전소 건설사업의 기술정보를 건설단계부터 운영환경을 고려한 디지털트윈 표준모델을 적용하여 건설 자산(설비, 시설물, 도면 등) 디지털화하는 역무로서 본 시스템을 기반으로 설계부터 유지보수 단계까지의 정보를 효율적으로 축적, 공유하여 발전소 시공관리 및 유지보수 능력을 선진화하고 동시에 발전소 운영을 위한 발전소의 디지털 인프라로 활용</t>
    <phoneticPr fontId="1" type="noConversion"/>
  </si>
  <si>
    <t>복합화력 건설초기단계에 건설처 예산으로 디지털 트윈을 구축하는 국내 최초의 사례(타 발전소도 선진사례를 적용할 확률 높음)</t>
    <phoneticPr fontId="1" type="noConversion"/>
  </si>
  <si>
    <t>영업이익1</t>
    <phoneticPr fontId="1" type="noConversion"/>
  </si>
  <si>
    <t>이익의 30%</t>
    <phoneticPr fontId="1" type="noConversion"/>
  </si>
  <si>
    <t>영업이익2</t>
    <phoneticPr fontId="1" type="noConversion"/>
  </si>
  <si>
    <t>외부 매입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</si>
</sst>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76" formatCode="&quot;Date : &quot;yyyy/mm/dd"/>
    <numFmt numFmtId="177" formatCode="_-* #,##0.0_-;\-* #,##0.0_-;_-* &quot;-&quot;_-;_-@_-"/>
  </numFmts>
  <fonts count="8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  <font>
      <sz val="8"/>
      <name val="돋움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  <font>
      <b/>
      <sz val="18"/>
      <color theme="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auto="1"/>
      </right>
      <top style="thin">
        <color indexed="64"/>
      </top>
      <bottom/>
      <diagonal/>
    </border>
    <border>
      <left style="double">
        <color indexed="64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3" fillId="0" borderId="13" xfId="0" applyFont="1" applyFill="1" applyBorder="1" applyAlignment="1" applyProtection="1">
      <alignment horizontal="left" vertical="center" indent="1"/>
      <protection locked="0"/>
    </xf>
    <xf numFmtId="0" fontId="3" fillId="0" borderId="14" xfId="0" applyFont="1" applyFill="1" applyBorder="1" applyAlignment="1" applyProtection="1">
      <alignment horizontal="center" vertical="center"/>
      <protection locked="0"/>
    </xf>
    <xf numFmtId="0" fontId="3" fillId="0" borderId="15" xfId="0" applyFont="1" applyFill="1" applyBorder="1" applyAlignment="1" applyProtection="1">
      <alignment horizontal="left" vertical="center" indent="1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3" fillId="0" borderId="4" xfId="0" applyNumberFormat="1" applyFont="1" applyFill="1" applyBorder="1" applyAlignment="1" applyProtection="1">
      <alignment vertical="center" wrapText="1"/>
      <protection locked="0"/>
    </xf>
    <xf numFmtId="14" fontId="3" fillId="0" borderId="7" xfId="0" applyNumberFormat="1" applyFont="1" applyFill="1" applyBorder="1" applyAlignment="1" applyProtection="1">
      <alignment vertical="center" wrapText="1"/>
      <protection locked="0"/>
    </xf>
    <xf numFmtId="41" fontId="0" fillId="0" borderId="0" xfId="1" applyFont="1">
      <alignment vertical="center"/>
    </xf>
    <xf numFmtId="0" fontId="0" fillId="0" borderId="0" xfId="0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14" fontId="3" fillId="0" borderId="22" xfId="0" applyNumberFormat="1" applyFont="1" applyFill="1" applyBorder="1" applyAlignment="1" applyProtection="1">
      <alignment vertical="center" wrapText="1"/>
      <protection locked="0"/>
    </xf>
    <xf numFmtId="0" fontId="4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3" fillId="0" borderId="25" xfId="1" applyNumberFormat="1" applyFont="1" applyFill="1" applyBorder="1" applyAlignment="1" applyProtection="1">
      <alignment horizontal="left" vertical="center" wrapText="1"/>
      <protection locked="0"/>
    </xf>
    <xf numFmtId="177" fontId="3" fillId="0" borderId="6" xfId="1" applyNumberFormat="1" applyFont="1" applyFill="1" applyBorder="1" applyAlignment="1" applyProtection="1">
      <alignment horizontal="left" vertical="center" wrapText="1"/>
      <protection locked="0"/>
    </xf>
    <xf numFmtId="177" fontId="3" fillId="0" borderId="30" xfId="1" applyNumberFormat="1" applyFont="1" applyFill="1" applyBorder="1" applyAlignment="1" applyProtection="1">
      <alignment horizontal="left" vertical="center" wrapText="1"/>
      <protection locked="0"/>
    </xf>
    <xf numFmtId="41" fontId="3" fillId="0" borderId="25" xfId="1" applyFont="1" applyFill="1" applyBorder="1" applyAlignment="1" applyProtection="1">
      <alignment horizontal="center" vertical="center" wrapText="1"/>
      <protection locked="0"/>
    </xf>
    <xf numFmtId="41" fontId="3" fillId="0" borderId="6" xfId="1" applyFont="1" applyFill="1" applyBorder="1" applyAlignment="1" applyProtection="1">
      <alignment horizontal="center" vertical="center" wrapText="1"/>
      <protection locked="0"/>
    </xf>
    <xf numFmtId="41" fontId="3" fillId="0" borderId="30" xfId="1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left" vertical="center"/>
    </xf>
    <xf numFmtId="0" fontId="3" fillId="0" borderId="25" xfId="1" applyNumberFormat="1" applyFont="1" applyFill="1" applyBorder="1" applyAlignment="1" applyProtection="1">
      <alignment horizontal="left" vertical="center" wrapText="1"/>
      <protection locked="0"/>
    </xf>
    <xf numFmtId="0" fontId="0" fillId="0" borderId="6" xfId="0" applyNumberFormat="1" applyBorder="1" applyAlignment="1">
      <alignment horizontal="left" vertical="center" wrapText="1"/>
    </xf>
    <xf numFmtId="0" fontId="0" fillId="0" borderId="30" xfId="0" applyNumberFormat="1" applyBorder="1" applyAlignment="1">
      <alignment horizontal="left" vertical="center" wrapText="1"/>
    </xf>
    <xf numFmtId="41" fontId="3" fillId="0" borderId="25" xfId="1" applyNumberFormat="1" applyFont="1" applyFill="1" applyBorder="1" applyAlignment="1" applyProtection="1">
      <alignment horizontal="center" vertical="center" wrapText="1"/>
      <protection locked="0"/>
    </xf>
    <xf numFmtId="41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41" fontId="3" fillId="0" borderId="30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 applyAlignment="1">
      <alignment horizontal="left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14" fontId="3" fillId="0" borderId="5" xfId="0" applyNumberFormat="1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>
      <alignment horizontal="center" vertical="center"/>
    </xf>
    <xf numFmtId="0" fontId="3" fillId="0" borderId="6" xfId="0" applyFont="1" applyFill="1" applyBorder="1" applyAlignment="1" applyProtection="1">
      <alignment horizontal="left" vertical="center" wrapText="1"/>
      <protection locked="0"/>
    </xf>
    <xf numFmtId="0" fontId="4" fillId="2" borderId="1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25" xfId="0" applyFont="1" applyFill="1" applyBorder="1" applyAlignment="1" applyProtection="1">
      <alignment horizontal="left" vertical="center" wrapText="1"/>
      <protection locked="0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0" borderId="9" xfId="0" applyFont="1" applyFill="1" applyBorder="1" applyAlignment="1" applyProtection="1">
      <alignment horizontal="left" vertical="center" wrapText="1"/>
      <protection locked="0"/>
    </xf>
    <xf numFmtId="0" fontId="4" fillId="2" borderId="18" xfId="0" applyFont="1" applyFill="1" applyBorder="1" applyAlignment="1">
      <alignment horizontal="center" vertical="center" wrapText="1"/>
    </xf>
    <xf numFmtId="14" fontId="3" fillId="0" borderId="24" xfId="0" applyNumberFormat="1" applyFont="1" applyFill="1" applyBorder="1" applyAlignment="1" applyProtection="1">
      <alignment horizontal="left" vertical="center" wrapText="1"/>
      <protection locked="0"/>
    </xf>
    <xf numFmtId="14" fontId="3" fillId="0" borderId="23" xfId="0" applyNumberFormat="1" applyFont="1" applyFill="1" applyBorder="1" applyAlignment="1" applyProtection="1">
      <alignment horizontal="left" vertical="center" wrapText="1"/>
      <protection locked="0"/>
    </xf>
    <xf numFmtId="14" fontId="3" fillId="0" borderId="13" xfId="0" applyNumberFormat="1" applyFont="1" applyFill="1" applyBorder="1" applyAlignment="1" applyProtection="1">
      <alignment horizontal="left" vertical="center" wrapText="1"/>
      <protection locked="0"/>
    </xf>
    <xf numFmtId="14" fontId="3" fillId="0" borderId="22" xfId="0" applyNumberFormat="1" applyFont="1" applyFill="1" applyBorder="1" applyAlignment="1" applyProtection="1">
      <alignment horizontal="left" vertical="center" wrapText="1"/>
      <protection locked="0"/>
    </xf>
    <xf numFmtId="41" fontId="4" fillId="0" borderId="25" xfId="1" applyFont="1" applyFill="1" applyBorder="1" applyAlignment="1" applyProtection="1">
      <alignment horizontal="center" vertical="center" wrapText="1"/>
      <protection locked="0"/>
    </xf>
    <xf numFmtId="41" fontId="4" fillId="0" borderId="6" xfId="1" applyFont="1" applyFill="1" applyBorder="1" applyAlignment="1" applyProtection="1">
      <alignment horizontal="center" vertical="center" wrapText="1"/>
      <protection locked="0"/>
    </xf>
    <xf numFmtId="41" fontId="4" fillId="0" borderId="30" xfId="1" applyFont="1" applyFill="1" applyBorder="1" applyAlignment="1" applyProtection="1">
      <alignment horizontal="center" vertical="center" wrapText="1"/>
      <protection locked="0"/>
    </xf>
    <xf numFmtId="41" fontId="3" fillId="0" borderId="25" xfId="1" applyNumberFormat="1" applyFont="1" applyFill="1" applyBorder="1" applyAlignment="1" applyProtection="1">
      <alignment horizontal="center" vertical="center" wrapText="1"/>
      <protection locked="0"/>
    </xf>
    <xf numFmtId="41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41" fontId="3" fillId="0" borderId="30" xfId="1" applyNumberFormat="1" applyFont="1" applyFill="1" applyBorder="1" applyAlignment="1" applyProtection="1">
      <alignment horizontal="center" vertical="center" wrapText="1"/>
      <protection locked="0"/>
    </xf>
    <xf numFmtId="41" fontId="4" fillId="0" borderId="25" xfId="1" applyNumberFormat="1" applyFont="1" applyFill="1" applyBorder="1" applyAlignment="1" applyProtection="1">
      <alignment horizontal="center" vertical="center" wrapText="1"/>
      <protection locked="0"/>
    </xf>
    <xf numFmtId="41" fontId="4" fillId="0" borderId="6" xfId="1" applyNumberFormat="1" applyFont="1" applyFill="1" applyBorder="1" applyAlignment="1" applyProtection="1">
      <alignment horizontal="center" vertical="center" wrapText="1"/>
      <protection locked="0"/>
    </xf>
    <xf numFmtId="41" fontId="4" fillId="0" borderId="30" xfId="1" applyNumberFormat="1" applyFont="1" applyFill="1" applyBorder="1" applyAlignment="1" applyProtection="1">
      <alignment horizontal="center" vertical="center" wrapText="1"/>
      <protection locked="0"/>
    </xf>
    <xf numFmtId="41" fontId="3" fillId="0" borderId="25" xfId="1" applyFont="1" applyFill="1" applyBorder="1" applyAlignment="1" applyProtection="1">
      <alignment horizontal="center" vertical="center" wrapText="1"/>
      <protection locked="0"/>
    </xf>
    <xf numFmtId="41" fontId="3" fillId="0" borderId="6" xfId="1" applyFont="1" applyFill="1" applyBorder="1" applyAlignment="1" applyProtection="1">
      <alignment horizontal="center" vertical="center" wrapText="1"/>
      <protection locked="0"/>
    </xf>
    <xf numFmtId="41" fontId="3" fillId="0" borderId="30" xfId="1" applyFont="1" applyFill="1" applyBorder="1" applyAlignment="1" applyProtection="1">
      <alignment horizontal="center" vertical="center" wrapText="1"/>
      <protection locked="0"/>
    </xf>
    <xf numFmtId="0" fontId="3" fillId="0" borderId="26" xfId="0" applyFont="1" applyFill="1" applyBorder="1" applyAlignment="1" applyProtection="1">
      <alignment horizontal="left" vertical="center"/>
      <protection locked="0"/>
    </xf>
    <xf numFmtId="0" fontId="3" fillId="0" borderId="28" xfId="0" applyFont="1" applyFill="1" applyBorder="1" applyAlignment="1" applyProtection="1">
      <alignment horizontal="left" vertical="center"/>
      <protection locked="0"/>
    </xf>
    <xf numFmtId="0" fontId="3" fillId="0" borderId="29" xfId="0" applyFont="1" applyFill="1" applyBorder="1" applyAlignment="1" applyProtection="1">
      <alignment horizontal="left" vertical="center"/>
      <protection locked="0"/>
    </xf>
    <xf numFmtId="0" fontId="3" fillId="0" borderId="25" xfId="0" applyFont="1" applyFill="1" applyBorder="1" applyAlignment="1" applyProtection="1">
      <alignment horizontal="left" vertical="center"/>
      <protection locked="0"/>
    </xf>
    <xf numFmtId="0" fontId="3" fillId="0" borderId="6" xfId="0" applyFont="1" applyFill="1" applyBorder="1" applyAlignment="1" applyProtection="1">
      <alignment horizontal="left" vertical="center"/>
      <protection locked="0"/>
    </xf>
    <xf numFmtId="0" fontId="3" fillId="0" borderId="30" xfId="0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41" fontId="3" fillId="0" borderId="26" xfId="1" applyFont="1" applyFill="1" applyBorder="1" applyAlignment="1" applyProtection="1">
      <alignment horizontal="center" vertical="center" wrapText="1"/>
      <protection locked="0"/>
    </xf>
    <xf numFmtId="41" fontId="3" fillId="0" borderId="28" xfId="1" applyFont="1" applyFill="1" applyBorder="1" applyAlignment="1" applyProtection="1">
      <alignment horizontal="center" vertical="center" wrapText="1"/>
      <protection locked="0"/>
    </xf>
    <xf numFmtId="41" fontId="3" fillId="0" borderId="29" xfId="1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Fill="1" applyBorder="1" applyAlignment="1" applyProtection="1">
      <alignment horizontal="left" vertical="center" wrapText="1" indent="1"/>
      <protection locked="0"/>
    </xf>
    <xf numFmtId="0" fontId="3" fillId="0" borderId="6" xfId="0" applyFont="1" applyFill="1" applyBorder="1" applyAlignment="1" applyProtection="1">
      <alignment horizontal="left" vertical="center" wrapText="1" indent="1"/>
      <protection locked="0"/>
    </xf>
    <xf numFmtId="41" fontId="4" fillId="0" borderId="27" xfId="1" applyFont="1" applyFill="1" applyBorder="1" applyAlignment="1" applyProtection="1">
      <alignment horizontal="center" vertical="center" wrapText="1"/>
      <protection locked="0"/>
    </xf>
    <xf numFmtId="41" fontId="4" fillId="0" borderId="9" xfId="1" applyFont="1" applyFill="1" applyBorder="1" applyAlignment="1" applyProtection="1">
      <alignment horizontal="center" vertical="center" wrapText="1"/>
      <protection locked="0"/>
    </xf>
    <xf numFmtId="41" fontId="4" fillId="0" borderId="31" xfId="1" applyFont="1" applyFill="1" applyBorder="1" applyAlignment="1" applyProtection="1">
      <alignment horizontal="center" vertical="center" wrapText="1"/>
      <protection locked="0"/>
    </xf>
    <xf numFmtId="0" fontId="3" fillId="0" borderId="25" xfId="1" applyNumberFormat="1" applyFont="1" applyFill="1" applyBorder="1" applyAlignment="1" applyProtection="1">
      <alignment horizontal="left" vertical="center" wrapText="1"/>
      <protection locked="0"/>
    </xf>
    <xf numFmtId="0" fontId="0" fillId="0" borderId="6" xfId="0" applyNumberFormat="1" applyBorder="1" applyAlignment="1">
      <alignment horizontal="left" vertical="center" wrapText="1"/>
    </xf>
    <xf numFmtId="0" fontId="0" fillId="0" borderId="30" xfId="0" applyNumberFormat="1" applyBorder="1" applyAlignment="1">
      <alignment horizontal="left" vertical="center" wrapText="1"/>
    </xf>
    <xf numFmtId="41" fontId="3" fillId="0" borderId="26" xfId="1" applyFont="1" applyFill="1" applyBorder="1" applyAlignment="1" applyProtection="1">
      <alignment horizontal="left" vertical="center" wrapText="1"/>
      <protection locked="0"/>
    </xf>
    <xf numFmtId="41" fontId="3" fillId="0" borderId="28" xfId="1" applyFont="1" applyFill="1" applyBorder="1" applyAlignment="1" applyProtection="1">
      <alignment horizontal="left" vertical="center" wrapText="1"/>
      <protection locked="0"/>
    </xf>
    <xf numFmtId="41" fontId="3" fillId="0" borderId="29" xfId="1" applyFont="1" applyFill="1" applyBorder="1" applyAlignment="1" applyProtection="1">
      <alignment horizontal="left" vertical="center" wrapText="1"/>
      <protection locked="0"/>
    </xf>
    <xf numFmtId="41" fontId="3" fillId="0" borderId="25" xfId="1" applyFont="1" applyFill="1" applyBorder="1" applyAlignment="1" applyProtection="1">
      <alignment horizontal="left" vertical="center" wrapText="1"/>
      <protection locked="0"/>
    </xf>
    <xf numFmtId="41" fontId="3" fillId="0" borderId="6" xfId="1" applyFont="1" applyFill="1" applyBorder="1" applyAlignment="1" applyProtection="1">
      <alignment horizontal="left" vertical="center" wrapText="1"/>
      <protection locked="0"/>
    </xf>
    <xf numFmtId="41" fontId="3" fillId="0" borderId="30" xfId="1" applyFont="1" applyFill="1" applyBorder="1" applyAlignment="1" applyProtection="1">
      <alignment horizontal="left" vertical="center" wrapText="1"/>
      <protection locked="0"/>
    </xf>
    <xf numFmtId="0" fontId="0" fillId="0" borderId="25" xfId="0" applyBorder="1" applyAlignment="1">
      <alignment horizontal="left" vertical="center"/>
    </xf>
    <xf numFmtId="0" fontId="4" fillId="0" borderId="25" xfId="1" applyNumberFormat="1" applyFon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41" fontId="4" fillId="0" borderId="25" xfId="1" applyFont="1" applyFill="1" applyBorder="1" applyAlignment="1" applyProtection="1">
      <alignment horizontal="left" vertical="center" wrapText="1"/>
      <protection locked="0"/>
    </xf>
    <xf numFmtId="41" fontId="4" fillId="0" borderId="6" xfId="1" applyFont="1" applyFill="1" applyBorder="1" applyAlignment="1" applyProtection="1">
      <alignment horizontal="left" vertical="center" wrapText="1"/>
      <protection locked="0"/>
    </xf>
    <xf numFmtId="41" fontId="4" fillId="0" borderId="30" xfId="1" applyFont="1" applyFill="1" applyBorder="1" applyAlignment="1" applyProtection="1">
      <alignment horizontal="left" vertical="center" wrapText="1"/>
      <protection locked="0"/>
    </xf>
    <xf numFmtId="177" fontId="3" fillId="0" borderId="25" xfId="1" applyNumberFormat="1" applyFont="1" applyFill="1" applyBorder="1" applyAlignment="1" applyProtection="1">
      <alignment horizontal="left" vertical="center" wrapText="1"/>
      <protection locked="0"/>
    </xf>
    <xf numFmtId="177" fontId="3" fillId="0" borderId="6" xfId="1" applyNumberFormat="1" applyFont="1" applyFill="1" applyBorder="1" applyAlignment="1" applyProtection="1">
      <alignment horizontal="left" vertical="center" wrapText="1"/>
      <protection locked="0"/>
    </xf>
    <xf numFmtId="177" fontId="3" fillId="0" borderId="30" xfId="1" applyNumberFormat="1" applyFont="1" applyFill="1" applyBorder="1" applyAlignment="1" applyProtection="1">
      <alignment horizontal="left" vertical="center" wrapText="1"/>
      <protection locked="0"/>
    </xf>
    <xf numFmtId="177" fontId="4" fillId="0" borderId="25" xfId="1" applyNumberFormat="1" applyFont="1" applyFill="1" applyBorder="1" applyAlignment="1" applyProtection="1">
      <alignment horizontal="left" vertical="center" wrapText="1"/>
      <protection locked="0"/>
    </xf>
    <xf numFmtId="14" fontId="3" fillId="0" borderId="4" xfId="0" applyNumberFormat="1" applyFont="1" applyFill="1" applyBorder="1" applyAlignment="1" applyProtection="1">
      <alignment horizontal="right" vertical="center" wrapText="1"/>
      <protection locked="0"/>
    </xf>
    <xf numFmtId="41" fontId="3" fillId="0" borderId="25" xfId="1" applyFont="1" applyFill="1" applyBorder="1" applyAlignment="1" applyProtection="1">
      <alignment horizontal="left" vertical="center"/>
      <protection locked="0"/>
    </xf>
    <xf numFmtId="41" fontId="3" fillId="0" borderId="25" xfId="1" applyFont="1" applyFill="1" applyBorder="1" applyAlignment="1" applyProtection="1">
      <alignment vertical="center"/>
      <protection locked="0"/>
    </xf>
    <xf numFmtId="41" fontId="3" fillId="0" borderId="6" xfId="1" applyFont="1" applyFill="1" applyBorder="1" applyAlignment="1" applyProtection="1">
      <alignment vertical="center"/>
      <protection locked="0"/>
    </xf>
    <xf numFmtId="41" fontId="3" fillId="0" borderId="30" xfId="1" applyFont="1" applyFill="1" applyBorder="1" applyAlignment="1" applyProtection="1">
      <alignment vertical="center"/>
      <protection locked="0"/>
    </xf>
    <xf numFmtId="41" fontId="4" fillId="0" borderId="33" xfId="1" applyFont="1" applyFill="1" applyBorder="1" applyAlignment="1" applyProtection="1">
      <alignment horizontal="center" vertical="center" wrapText="1"/>
      <protection locked="0"/>
    </xf>
    <xf numFmtId="41" fontId="4" fillId="0" borderId="34" xfId="1" applyFont="1" applyFill="1" applyBorder="1" applyAlignment="1" applyProtection="1">
      <alignment horizontal="center" vertical="center" wrapText="1"/>
      <protection locked="0"/>
    </xf>
    <xf numFmtId="41" fontId="4" fillId="0" borderId="35" xfId="1" applyFont="1" applyFill="1" applyBorder="1" applyAlignment="1" applyProtection="1">
      <alignment horizontal="center" vertical="center" wrapText="1"/>
      <protection locked="0"/>
    </xf>
    <xf numFmtId="43" fontId="3" fillId="0" borderId="30" xfId="1" applyNumberFormat="1" applyFont="1" applyFill="1" applyBorder="1" applyAlignment="1" applyProtection="1">
      <alignment horizontal="center" vertical="center" wrapText="1"/>
      <protection locked="0"/>
    </xf>
    <xf numFmtId="41" fontId="3" fillId="0" borderId="25" xfId="1" applyFont="1" applyFill="1" applyBorder="1" applyAlignment="1" applyProtection="1">
      <alignment horizontal="left" vertical="center"/>
      <protection locked="0"/>
    </xf>
    <xf numFmtId="0" fontId="0" fillId="0" borderId="32" xfId="0" applyBorder="1" applyAlignment="1">
      <alignment horizontal="left" vertical="center"/>
    </xf>
    <xf numFmtId="10" fontId="4" fillId="0" borderId="33" xfId="2" applyNumberFormat="1" applyFont="1" applyFill="1" applyBorder="1" applyAlignment="1" applyProtection="1">
      <alignment horizontal="left" vertical="center" wrapText="1"/>
      <protection locked="0"/>
    </xf>
    <xf numFmtId="10" fontId="4" fillId="0" borderId="34" xfId="2" applyNumberFormat="1" applyFont="1" applyFill="1" applyBorder="1" applyAlignment="1" applyProtection="1">
      <alignment horizontal="left" vertical="center" wrapText="1"/>
      <protection locked="0"/>
    </xf>
    <xf numFmtId="10" fontId="4" fillId="0" borderId="36" xfId="2" applyNumberFormat="1" applyFont="1" applyFill="1" applyBorder="1" applyAlignment="1" applyProtection="1">
      <alignment horizontal="left" vertical="center" wrapText="1"/>
      <protection locked="0"/>
    </xf>
    <xf numFmtId="9" fontId="4" fillId="0" borderId="33" xfId="2" applyFont="1" applyFill="1" applyBorder="1" applyAlignment="1" applyProtection="1">
      <alignment horizontal="left" vertical="center" wrapText="1"/>
      <protection locked="0"/>
    </xf>
    <xf numFmtId="9" fontId="0" fillId="0" borderId="34" xfId="2" applyFont="1" applyBorder="1" applyAlignment="1">
      <alignment horizontal="left" vertical="center" wrapText="1"/>
    </xf>
    <xf numFmtId="9" fontId="0" fillId="0" borderId="35" xfId="2" applyFont="1" applyBorder="1" applyAlignment="1">
      <alignment horizontal="left" vertical="center" wrapText="1"/>
    </xf>
    <xf numFmtId="9" fontId="4" fillId="0" borderId="27" xfId="2" applyFont="1" applyFill="1" applyBorder="1" applyAlignment="1" applyProtection="1">
      <alignment horizontal="left" vertical="center" wrapText="1"/>
      <protection locked="0"/>
    </xf>
    <xf numFmtId="9" fontId="0" fillId="0" borderId="9" xfId="2" applyFont="1" applyBorder="1" applyAlignment="1">
      <alignment horizontal="left" vertical="center" wrapText="1"/>
    </xf>
    <xf numFmtId="9" fontId="0" fillId="0" borderId="31" xfId="2" applyFont="1" applyBorder="1" applyAlignment="1">
      <alignment horizontal="left" vertical="center" wrapText="1"/>
    </xf>
    <xf numFmtId="10" fontId="4" fillId="0" borderId="27" xfId="2" applyNumberFormat="1" applyFont="1" applyFill="1" applyBorder="1" applyAlignment="1" applyProtection="1">
      <alignment horizontal="left" vertical="center" wrapText="1"/>
      <protection locked="0"/>
    </xf>
    <xf numFmtId="10" fontId="4" fillId="0" borderId="9" xfId="2" applyNumberFormat="1" applyFont="1" applyFill="1" applyBorder="1" applyAlignment="1" applyProtection="1">
      <alignment horizontal="left" vertical="center" wrapText="1"/>
      <protection locked="0"/>
    </xf>
    <xf numFmtId="10" fontId="4" fillId="0" borderId="10" xfId="2" applyNumberFormat="1" applyFont="1" applyFill="1" applyBorder="1" applyAlignment="1" applyProtection="1">
      <alignment horizontal="left" vertical="center" wrapText="1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showGridLines="0" tabSelected="1" view="pageBreakPreview" topLeftCell="A40" zoomScale="115" zoomScaleNormal="100" zoomScaleSheetLayoutView="115" workbookViewId="0">
      <selection activeCell="J66" sqref="J66"/>
    </sheetView>
  </sheetViews>
  <sheetFormatPr defaultRowHeight="13.2"/>
  <cols>
    <col min="1" max="1" width="11.109375" bestFit="1" customWidth="1"/>
    <col min="2" max="2" width="20.5546875" customWidth="1"/>
    <col min="3" max="3" width="19.109375" customWidth="1"/>
    <col min="4" max="7" width="16.77734375" customWidth="1"/>
    <col min="8" max="8" width="24.6640625" customWidth="1"/>
    <col min="9" max="9" width="7.44140625" bestFit="1" customWidth="1"/>
    <col min="10" max="10" width="14.33203125" bestFit="1" customWidth="1"/>
  </cols>
  <sheetData>
    <row r="1" spans="1:10" ht="22.2">
      <c r="A1" s="36" t="s">
        <v>20</v>
      </c>
      <c r="B1" s="36"/>
      <c r="C1" s="36"/>
      <c r="D1" s="36"/>
      <c r="E1" s="36"/>
      <c r="F1" s="36"/>
      <c r="G1" s="36"/>
      <c r="H1" s="36"/>
    </row>
    <row r="3" spans="1:10" ht="22.2" customHeight="1">
      <c r="D3" s="42" t="s">
        <v>35</v>
      </c>
      <c r="E3" s="16" t="s">
        <v>36</v>
      </c>
      <c r="F3" s="16" t="s">
        <v>30</v>
      </c>
      <c r="G3" s="16" t="s">
        <v>31</v>
      </c>
      <c r="H3" s="16" t="s">
        <v>32</v>
      </c>
    </row>
    <row r="4" spans="1:10" ht="22.2" customHeight="1">
      <c r="D4" s="43"/>
      <c r="E4" s="17"/>
      <c r="F4" s="17"/>
      <c r="G4" s="17"/>
      <c r="H4" s="17"/>
    </row>
    <row r="5" spans="1:10" ht="22.2" customHeight="1">
      <c r="D5" s="42" t="s">
        <v>33</v>
      </c>
      <c r="E5" s="16" t="s">
        <v>34</v>
      </c>
      <c r="F5" s="16"/>
      <c r="G5" s="16"/>
      <c r="H5" s="16"/>
    </row>
    <row r="6" spans="1:10" ht="22.2" customHeight="1">
      <c r="D6" s="43"/>
      <c r="E6" s="17"/>
      <c r="F6" s="17"/>
      <c r="G6" s="17"/>
      <c r="H6" s="17"/>
    </row>
    <row r="7" spans="1:10" ht="13.8" thickBot="1">
      <c r="H7" s="9">
        <v>45757</v>
      </c>
    </row>
    <row r="8" spans="1:10" ht="13.8" thickTop="1">
      <c r="A8" s="4" t="s">
        <v>0</v>
      </c>
      <c r="B8" s="2" t="s">
        <v>71</v>
      </c>
      <c r="C8" s="7" t="s">
        <v>3</v>
      </c>
      <c r="D8" s="63" t="s">
        <v>73</v>
      </c>
      <c r="E8" s="64"/>
      <c r="F8" s="64"/>
      <c r="G8" s="64"/>
      <c r="H8" s="65"/>
    </row>
    <row r="9" spans="1:10">
      <c r="A9" s="5" t="s">
        <v>5</v>
      </c>
      <c r="B9" s="1" t="s">
        <v>66</v>
      </c>
      <c r="C9" s="8" t="s">
        <v>4</v>
      </c>
      <c r="D9" s="66" t="s">
        <v>74</v>
      </c>
      <c r="E9" s="67"/>
      <c r="F9" s="67"/>
      <c r="G9" s="67"/>
      <c r="H9" s="67"/>
      <c r="I9" s="13"/>
    </row>
    <row r="10" spans="1:10">
      <c r="A10" s="5" t="s">
        <v>1</v>
      </c>
      <c r="B10" s="3" t="s">
        <v>67</v>
      </c>
      <c r="C10" s="8" t="s">
        <v>6</v>
      </c>
      <c r="D10" s="66" t="s">
        <v>29</v>
      </c>
      <c r="E10" s="67"/>
      <c r="F10" s="67"/>
      <c r="G10" s="67"/>
      <c r="H10" s="68"/>
    </row>
    <row r="11" spans="1:10">
      <c r="A11" s="5" t="s">
        <v>7</v>
      </c>
      <c r="B11" s="1" t="s">
        <v>68</v>
      </c>
      <c r="C11" s="8" t="s">
        <v>8</v>
      </c>
      <c r="D11" s="66" t="s">
        <v>75</v>
      </c>
      <c r="E11" s="67"/>
      <c r="F11" s="67"/>
      <c r="G11" s="67"/>
      <c r="H11" s="68"/>
    </row>
    <row r="12" spans="1:10">
      <c r="A12" s="5" t="s">
        <v>9</v>
      </c>
      <c r="B12" s="3" t="s">
        <v>10</v>
      </c>
      <c r="C12" s="8" t="s">
        <v>11</v>
      </c>
      <c r="D12" s="66" t="s">
        <v>72</v>
      </c>
      <c r="E12" s="69"/>
      <c r="F12" s="69"/>
      <c r="G12" s="69"/>
      <c r="H12" s="70"/>
      <c r="J12" s="12"/>
    </row>
    <row r="13" spans="1:10">
      <c r="A13" s="14" t="s">
        <v>25</v>
      </c>
      <c r="B13" s="3" t="s">
        <v>69</v>
      </c>
      <c r="C13" s="8" t="s">
        <v>26</v>
      </c>
      <c r="D13" s="66"/>
      <c r="E13" s="69"/>
      <c r="F13" s="69"/>
      <c r="G13" s="69"/>
      <c r="H13" s="70"/>
      <c r="J13" s="12"/>
    </row>
    <row r="14" spans="1:10">
      <c r="A14" s="5" t="s">
        <v>12</v>
      </c>
      <c r="B14" s="1" t="s">
        <v>70</v>
      </c>
      <c r="C14" s="8" t="s">
        <v>13</v>
      </c>
      <c r="D14" s="66" t="s">
        <v>28</v>
      </c>
      <c r="E14" s="69"/>
      <c r="F14" s="69"/>
      <c r="G14" s="69"/>
      <c r="H14" s="70"/>
      <c r="J14" s="12"/>
    </row>
    <row r="15" spans="1:10" ht="51.75" customHeight="1">
      <c r="A15" s="6" t="s">
        <v>40</v>
      </c>
      <c r="B15" s="74" t="s">
        <v>83</v>
      </c>
      <c r="C15" s="75"/>
      <c r="D15" s="75"/>
      <c r="E15" s="75"/>
      <c r="F15" s="75"/>
      <c r="G15" s="75"/>
      <c r="H15" s="75"/>
      <c r="J15" s="12"/>
    </row>
    <row r="16" spans="1:10" ht="51.75" customHeight="1">
      <c r="A16" s="6" t="s">
        <v>14</v>
      </c>
      <c r="B16" s="74" t="s">
        <v>47</v>
      </c>
      <c r="C16" s="75"/>
      <c r="D16" s="75"/>
      <c r="E16" s="75"/>
      <c r="F16" s="75"/>
      <c r="G16" s="75"/>
      <c r="H16" s="75"/>
      <c r="J16" s="12"/>
    </row>
    <row r="17" spans="1:10" ht="55.8" customHeight="1">
      <c r="A17" s="38" t="s">
        <v>16</v>
      </c>
      <c r="B17" s="10">
        <v>45343</v>
      </c>
      <c r="C17" s="37" t="s">
        <v>48</v>
      </c>
      <c r="D17" s="37"/>
      <c r="E17" s="37"/>
      <c r="F17" s="37"/>
      <c r="G17" s="37"/>
      <c r="H17" s="37"/>
      <c r="J17" s="12"/>
    </row>
    <row r="18" spans="1:10" ht="60.6" customHeight="1">
      <c r="A18" s="40"/>
      <c r="B18" s="10">
        <v>45776</v>
      </c>
      <c r="C18" s="37" t="s">
        <v>49</v>
      </c>
      <c r="D18" s="37"/>
      <c r="E18" s="37"/>
      <c r="F18" s="37"/>
      <c r="G18" s="37"/>
      <c r="H18" s="37"/>
      <c r="J18" s="12"/>
    </row>
    <row r="19" spans="1:10" ht="12.75" customHeight="1">
      <c r="A19" s="38" t="s">
        <v>15</v>
      </c>
      <c r="B19" s="10">
        <v>45241</v>
      </c>
      <c r="C19" s="41" t="s">
        <v>50</v>
      </c>
      <c r="D19" s="37"/>
      <c r="E19" s="37"/>
      <c r="F19" s="37"/>
      <c r="G19" s="37"/>
      <c r="H19" s="37"/>
      <c r="J19" s="12"/>
    </row>
    <row r="20" spans="1:10" ht="12.75" customHeight="1">
      <c r="A20" s="39"/>
      <c r="B20" s="10">
        <v>45313</v>
      </c>
      <c r="C20" s="41" t="s">
        <v>51</v>
      </c>
      <c r="D20" s="37"/>
      <c r="E20" s="37"/>
      <c r="F20" s="37"/>
      <c r="G20" s="37"/>
      <c r="H20" s="37"/>
      <c r="J20" s="12"/>
    </row>
    <row r="21" spans="1:10" ht="12.75" customHeight="1">
      <c r="A21" s="39"/>
      <c r="B21" s="10">
        <v>45387</v>
      </c>
      <c r="C21" s="41" t="s">
        <v>52</v>
      </c>
      <c r="D21" s="37"/>
      <c r="E21" s="37"/>
      <c r="F21" s="37"/>
      <c r="G21" s="37"/>
      <c r="H21" s="37"/>
      <c r="J21" s="12"/>
    </row>
    <row r="22" spans="1:10" ht="12.75" customHeight="1">
      <c r="A22" s="39"/>
      <c r="B22" s="10">
        <v>45419</v>
      </c>
      <c r="C22" s="41" t="s">
        <v>53</v>
      </c>
      <c r="D22" s="37"/>
      <c r="E22" s="37"/>
      <c r="F22" s="37"/>
      <c r="G22" s="37"/>
      <c r="H22" s="37"/>
      <c r="J22" s="12"/>
    </row>
    <row r="23" spans="1:10" ht="28.2" customHeight="1">
      <c r="A23" s="39"/>
      <c r="B23" s="99">
        <v>45619</v>
      </c>
      <c r="C23" s="41" t="s">
        <v>54</v>
      </c>
      <c r="D23" s="37"/>
      <c r="E23" s="37"/>
      <c r="F23" s="37"/>
      <c r="G23" s="37"/>
      <c r="H23" s="37"/>
      <c r="J23" s="12"/>
    </row>
    <row r="24" spans="1:10" ht="13.2" customHeight="1">
      <c r="A24" s="39"/>
      <c r="B24" s="10">
        <v>45670</v>
      </c>
      <c r="C24" s="41" t="s">
        <v>55</v>
      </c>
      <c r="D24" s="37"/>
      <c r="E24" s="37"/>
      <c r="F24" s="37"/>
      <c r="G24" s="37"/>
      <c r="H24" s="37"/>
      <c r="J24" s="12"/>
    </row>
    <row r="25" spans="1:10" ht="13.2" customHeight="1">
      <c r="A25" s="39"/>
      <c r="B25" s="10">
        <v>45645</v>
      </c>
      <c r="C25" s="41" t="s">
        <v>56</v>
      </c>
      <c r="D25" s="37"/>
      <c r="E25" s="37"/>
      <c r="F25" s="37"/>
      <c r="G25" s="37"/>
      <c r="H25" s="37"/>
      <c r="J25" s="12"/>
    </row>
    <row r="26" spans="1:10" ht="13.2" customHeight="1">
      <c r="A26" s="39"/>
      <c r="B26" s="10">
        <v>45710</v>
      </c>
      <c r="C26" s="41" t="s">
        <v>57</v>
      </c>
      <c r="D26" s="37"/>
      <c r="E26" s="37"/>
      <c r="F26" s="37"/>
      <c r="G26" s="37"/>
      <c r="H26" s="37"/>
      <c r="J26" s="12"/>
    </row>
    <row r="27" spans="1:10">
      <c r="A27" s="40"/>
      <c r="B27" s="10"/>
      <c r="C27" s="37"/>
      <c r="D27" s="37"/>
      <c r="E27" s="37"/>
      <c r="F27" s="37"/>
      <c r="G27" s="37"/>
      <c r="H27" s="37"/>
      <c r="J27" s="12"/>
    </row>
    <row r="28" spans="1:10">
      <c r="A28" s="38" t="s">
        <v>2</v>
      </c>
      <c r="B28" s="10"/>
      <c r="C28" s="37" t="s">
        <v>58</v>
      </c>
      <c r="D28" s="37"/>
      <c r="E28" s="37"/>
      <c r="F28" s="37"/>
      <c r="G28" s="37"/>
      <c r="H28" s="37"/>
      <c r="J28" s="12"/>
    </row>
    <row r="29" spans="1:10" ht="13.8" thickBot="1">
      <c r="A29" s="44"/>
      <c r="B29" s="11"/>
      <c r="C29" s="45" t="s">
        <v>59</v>
      </c>
      <c r="D29" s="45"/>
      <c r="E29" s="45"/>
      <c r="F29" s="45"/>
      <c r="G29" s="45"/>
      <c r="H29" s="45"/>
      <c r="J29" s="12"/>
    </row>
    <row r="30" spans="1:10" ht="13.8" thickTop="1">
      <c r="A30" s="46" t="s">
        <v>24</v>
      </c>
      <c r="B30" s="47" t="s">
        <v>17</v>
      </c>
      <c r="C30" s="71">
        <v>170000000</v>
      </c>
      <c r="D30" s="72"/>
      <c r="E30" s="73"/>
      <c r="F30" s="82" t="s">
        <v>43</v>
      </c>
      <c r="G30" s="83"/>
      <c r="H30" s="84"/>
      <c r="J30" s="12"/>
    </row>
    <row r="31" spans="1:10">
      <c r="A31" s="39"/>
      <c r="B31" s="48"/>
      <c r="C31" s="60">
        <v>216274200</v>
      </c>
      <c r="D31" s="61"/>
      <c r="E31" s="62"/>
      <c r="F31" s="85" t="s">
        <v>44</v>
      </c>
      <c r="G31" s="86"/>
      <c r="H31" s="87"/>
      <c r="J31" s="12"/>
    </row>
    <row r="32" spans="1:10">
      <c r="A32" s="39"/>
      <c r="B32" s="49"/>
      <c r="C32" s="51">
        <f>SUM(C30:C31)</f>
        <v>386274200</v>
      </c>
      <c r="D32" s="52"/>
      <c r="E32" s="53"/>
      <c r="F32" s="95"/>
      <c r="G32" s="96"/>
      <c r="H32" s="97"/>
      <c r="J32" s="12"/>
    </row>
    <row r="33" spans="1:10">
      <c r="A33" s="39"/>
      <c r="B33" s="50" t="s">
        <v>18</v>
      </c>
      <c r="C33" s="54">
        <v>80000000</v>
      </c>
      <c r="D33" s="55"/>
      <c r="E33" s="56"/>
      <c r="F33" s="88" t="s">
        <v>60</v>
      </c>
      <c r="G33" s="69"/>
      <c r="H33" s="70"/>
      <c r="J33" s="12"/>
    </row>
    <row r="34" spans="1:10">
      <c r="A34" s="39"/>
      <c r="B34" s="48"/>
      <c r="C34" s="54">
        <v>30000000</v>
      </c>
      <c r="D34" s="55"/>
      <c r="E34" s="56"/>
      <c r="F34" s="79" t="s">
        <v>61</v>
      </c>
      <c r="G34" s="80"/>
      <c r="H34" s="81"/>
      <c r="J34" s="12"/>
    </row>
    <row r="35" spans="1:10">
      <c r="A35" s="39"/>
      <c r="B35" s="48"/>
      <c r="C35" s="54">
        <v>90000000</v>
      </c>
      <c r="D35" s="55"/>
      <c r="E35" s="56"/>
      <c r="F35" s="79" t="s">
        <v>62</v>
      </c>
      <c r="G35" s="80"/>
      <c r="H35" s="81"/>
      <c r="J35" s="12"/>
    </row>
    <row r="36" spans="1:10">
      <c r="A36" s="39"/>
      <c r="B36" s="48"/>
      <c r="C36" s="54">
        <v>40000001</v>
      </c>
      <c r="D36" s="55"/>
      <c r="E36" s="56"/>
      <c r="F36" s="25" t="s">
        <v>63</v>
      </c>
      <c r="G36" s="26"/>
      <c r="H36" s="27"/>
      <c r="J36" s="12"/>
    </row>
    <row r="37" spans="1:10">
      <c r="A37" s="39"/>
      <c r="B37" s="49"/>
      <c r="C37" s="57">
        <f>SUM(C33:E36)</f>
        <v>240000001</v>
      </c>
      <c r="D37" s="58"/>
      <c r="E37" s="59"/>
      <c r="F37" s="89" t="s">
        <v>81</v>
      </c>
      <c r="G37" s="80"/>
      <c r="H37" s="81"/>
      <c r="J37" s="12"/>
    </row>
    <row r="38" spans="1:10">
      <c r="A38" s="39"/>
      <c r="B38" s="10" t="s">
        <v>42</v>
      </c>
      <c r="C38" s="60">
        <v>30000000</v>
      </c>
      <c r="D38" s="61"/>
      <c r="E38" s="62"/>
      <c r="F38" s="79" t="s">
        <v>45</v>
      </c>
      <c r="G38" s="80"/>
      <c r="H38" s="81"/>
      <c r="J38" s="12"/>
    </row>
    <row r="39" spans="1:10">
      <c r="A39" s="39"/>
      <c r="B39" s="10" t="s">
        <v>21</v>
      </c>
      <c r="C39" s="60">
        <v>0</v>
      </c>
      <c r="D39" s="61"/>
      <c r="E39" s="62"/>
      <c r="F39" s="79"/>
      <c r="G39" s="80"/>
      <c r="H39" s="81"/>
      <c r="J39" s="12">
        <v>77646779</v>
      </c>
    </row>
    <row r="40" spans="1:10" ht="26.4">
      <c r="A40" s="39"/>
      <c r="B40" s="15" t="s">
        <v>27</v>
      </c>
      <c r="C40" s="60">
        <f>C32*10%</f>
        <v>38627420</v>
      </c>
      <c r="D40" s="61"/>
      <c r="E40" s="62"/>
      <c r="F40" s="79" t="s">
        <v>37</v>
      </c>
      <c r="G40" s="80"/>
      <c r="H40" s="81"/>
      <c r="J40" s="12"/>
    </row>
    <row r="41" spans="1:10">
      <c r="A41" s="39"/>
      <c r="B41" s="15" t="s">
        <v>85</v>
      </c>
      <c r="C41" s="104">
        <f>C32-C37-SUM(C38:E40)</f>
        <v>77646779</v>
      </c>
      <c r="D41" s="105"/>
      <c r="E41" s="106"/>
      <c r="F41" s="113">
        <f>C41/C32</f>
        <v>0.20101466523003608</v>
      </c>
      <c r="G41" s="114"/>
      <c r="H41" s="115"/>
      <c r="J41" s="12"/>
    </row>
    <row r="42" spans="1:10">
      <c r="A42" s="39"/>
      <c r="B42" s="10" t="s">
        <v>88</v>
      </c>
      <c r="C42" s="21"/>
      <c r="D42" s="22"/>
      <c r="E42" s="107">
        <f>C41*30%</f>
        <v>23294033.699999999</v>
      </c>
      <c r="F42" s="25" t="s">
        <v>86</v>
      </c>
      <c r="G42" s="26"/>
      <c r="H42" s="27"/>
      <c r="J42" s="12"/>
    </row>
    <row r="43" spans="1:10" ht="13.8" thickBot="1">
      <c r="A43" s="44"/>
      <c r="B43" s="11" t="s">
        <v>22</v>
      </c>
      <c r="C43" s="76">
        <f>C41-E42</f>
        <v>54352745.299999997</v>
      </c>
      <c r="D43" s="77"/>
      <c r="E43" s="78"/>
      <c r="F43" s="116">
        <f>C43/C32</f>
        <v>0.14071026566102524</v>
      </c>
      <c r="G43" s="117"/>
      <c r="H43" s="118"/>
      <c r="J43" s="12"/>
    </row>
    <row r="44" spans="1:10" ht="13.8" thickTop="1">
      <c r="A44" s="46" t="s">
        <v>23</v>
      </c>
      <c r="B44" s="47" t="s">
        <v>17</v>
      </c>
      <c r="C44" s="71">
        <v>175000000</v>
      </c>
      <c r="D44" s="72"/>
      <c r="E44" s="73"/>
      <c r="F44" s="82" t="s">
        <v>38</v>
      </c>
      <c r="G44" s="83"/>
      <c r="H44" s="84"/>
      <c r="J44" s="12"/>
    </row>
    <row r="45" spans="1:10">
      <c r="A45" s="39"/>
      <c r="B45" s="48"/>
      <c r="C45" s="60">
        <v>216274200</v>
      </c>
      <c r="D45" s="61"/>
      <c r="E45" s="62"/>
      <c r="F45" s="85" t="s">
        <v>39</v>
      </c>
      <c r="G45" s="86"/>
      <c r="H45" s="87"/>
      <c r="J45" s="12"/>
    </row>
    <row r="46" spans="1:10">
      <c r="A46" s="39"/>
      <c r="B46" s="49"/>
      <c r="C46" s="51">
        <f>SUM(C44:C45)</f>
        <v>391274200</v>
      </c>
      <c r="D46" s="52"/>
      <c r="E46" s="53"/>
      <c r="F46" s="92"/>
      <c r="G46" s="93"/>
      <c r="H46" s="94"/>
      <c r="J46" s="12"/>
    </row>
    <row r="47" spans="1:10">
      <c r="A47" s="39"/>
      <c r="B47" s="50" t="s">
        <v>18</v>
      </c>
      <c r="C47" s="54">
        <v>35000000</v>
      </c>
      <c r="D47" s="55"/>
      <c r="E47" s="56"/>
      <c r="F47" s="95" t="s">
        <v>80</v>
      </c>
      <c r="G47" s="96"/>
      <c r="H47" s="97"/>
      <c r="J47" s="12"/>
    </row>
    <row r="48" spans="1:10">
      <c r="A48" s="39"/>
      <c r="B48" s="48"/>
      <c r="C48" s="54">
        <v>65000000</v>
      </c>
      <c r="D48" s="55"/>
      <c r="E48" s="56"/>
      <c r="F48" s="95" t="s">
        <v>77</v>
      </c>
      <c r="G48" s="96"/>
      <c r="H48" s="97"/>
      <c r="J48" s="12"/>
    </row>
    <row r="49" spans="1:10">
      <c r="A49" s="39"/>
      <c r="B49" s="48"/>
      <c r="C49" s="54">
        <v>37500000</v>
      </c>
      <c r="D49" s="55"/>
      <c r="E49" s="56"/>
      <c r="F49" s="95" t="s">
        <v>76</v>
      </c>
      <c r="G49" s="96"/>
      <c r="H49" s="97"/>
      <c r="J49" s="12"/>
    </row>
    <row r="50" spans="1:10">
      <c r="A50" s="39"/>
      <c r="B50" s="48"/>
      <c r="C50" s="54">
        <v>65000000</v>
      </c>
      <c r="D50" s="55"/>
      <c r="E50" s="56"/>
      <c r="F50" s="95" t="s">
        <v>78</v>
      </c>
      <c r="G50" s="96"/>
      <c r="H50" s="97"/>
      <c r="J50" s="12"/>
    </row>
    <row r="51" spans="1:10">
      <c r="A51" s="39"/>
      <c r="B51" s="48"/>
      <c r="C51" s="28"/>
      <c r="D51" s="29"/>
      <c r="E51" s="30">
        <v>20000000</v>
      </c>
      <c r="F51" s="18" t="s">
        <v>79</v>
      </c>
      <c r="G51" s="19"/>
      <c r="H51" s="20"/>
      <c r="J51" s="12"/>
    </row>
    <row r="52" spans="1:10">
      <c r="A52" s="39"/>
      <c r="B52" s="49"/>
      <c r="C52" s="57">
        <f>SUM(C47:E51)</f>
        <v>222500000</v>
      </c>
      <c r="D52" s="58"/>
      <c r="E52" s="59"/>
      <c r="F52" s="98" t="s">
        <v>82</v>
      </c>
      <c r="G52" s="90"/>
      <c r="H52" s="91"/>
      <c r="J52" s="12"/>
    </row>
    <row r="53" spans="1:10">
      <c r="A53" s="39"/>
      <c r="B53" s="10" t="s">
        <v>19</v>
      </c>
      <c r="C53" s="60">
        <v>27500000</v>
      </c>
      <c r="D53" s="61"/>
      <c r="E53" s="62"/>
      <c r="F53" s="85" t="s">
        <v>46</v>
      </c>
      <c r="G53" s="90"/>
      <c r="H53" s="91"/>
      <c r="J53" s="12"/>
    </row>
    <row r="54" spans="1:10">
      <c r="A54" s="39"/>
      <c r="B54" s="10" t="s">
        <v>21</v>
      </c>
      <c r="C54" s="60">
        <v>0</v>
      </c>
      <c r="D54" s="61"/>
      <c r="E54" s="62"/>
      <c r="F54" s="101"/>
      <c r="G54" s="102"/>
      <c r="H54" s="103"/>
      <c r="J54" s="12">
        <v>102146780</v>
      </c>
    </row>
    <row r="55" spans="1:10" ht="26.4">
      <c r="A55" s="39"/>
      <c r="B55" s="15" t="s">
        <v>27</v>
      </c>
      <c r="C55" s="60">
        <f>C46*10%</f>
        <v>39127420</v>
      </c>
      <c r="D55" s="61"/>
      <c r="E55" s="62"/>
      <c r="F55" s="100" t="s">
        <v>37</v>
      </c>
      <c r="G55" s="69"/>
      <c r="H55" s="70"/>
      <c r="J55" s="12">
        <f>J54*30%</f>
        <v>30644034</v>
      </c>
    </row>
    <row r="56" spans="1:10">
      <c r="A56" s="39"/>
      <c r="B56" s="15" t="s">
        <v>85</v>
      </c>
      <c r="C56" s="104">
        <f>C46-C52-SUM(C53:E55)</f>
        <v>102146780</v>
      </c>
      <c r="D56" s="105"/>
      <c r="E56" s="106"/>
      <c r="F56" s="110">
        <f>C56/C46</f>
        <v>0.26106188447896639</v>
      </c>
      <c r="G56" s="111"/>
      <c r="H56" s="112"/>
      <c r="J56" s="12">
        <f>J52-J53</f>
        <v>0</v>
      </c>
    </row>
    <row r="57" spans="1:10">
      <c r="A57" s="39"/>
      <c r="B57" s="10" t="s">
        <v>88</v>
      </c>
      <c r="C57" s="21"/>
      <c r="D57" s="22"/>
      <c r="E57" s="23">
        <f>C56*30%</f>
        <v>30644034</v>
      </c>
      <c r="F57" s="108" t="s">
        <v>86</v>
      </c>
      <c r="G57" s="24"/>
      <c r="H57" s="109"/>
      <c r="J57" s="12"/>
    </row>
    <row r="58" spans="1:10" ht="13.8" thickBot="1">
      <c r="A58" s="44"/>
      <c r="B58" s="11" t="s">
        <v>87</v>
      </c>
      <c r="C58" s="76">
        <f>C56-E57</f>
        <v>71502746</v>
      </c>
      <c r="D58" s="77"/>
      <c r="E58" s="78"/>
      <c r="F58" s="119">
        <f>C58/C46</f>
        <v>0.1827433191352765</v>
      </c>
      <c r="G58" s="120"/>
      <c r="H58" s="121"/>
      <c r="J58" s="12">
        <f>J54-J55</f>
        <v>71502746</v>
      </c>
    </row>
    <row r="59" spans="1:10" ht="13.8" thickTop="1">
      <c r="J59" s="12"/>
    </row>
    <row r="60" spans="1:10" ht="12.75" customHeight="1">
      <c r="A60" s="32" t="s">
        <v>41</v>
      </c>
      <c r="B60" s="31" t="s">
        <v>84</v>
      </c>
      <c r="C60" s="31"/>
      <c r="D60" s="31"/>
      <c r="E60" s="31"/>
      <c r="F60" s="31"/>
      <c r="G60" s="31"/>
      <c r="H60" s="31"/>
      <c r="J60" s="12"/>
    </row>
    <row r="61" spans="1:10">
      <c r="A61" s="33"/>
      <c r="B61" s="35" t="s">
        <v>64</v>
      </c>
      <c r="C61" s="35"/>
      <c r="D61" s="35"/>
      <c r="E61" s="35"/>
      <c r="F61" s="35"/>
      <c r="G61" s="35"/>
      <c r="H61" s="35"/>
      <c r="J61" s="12"/>
    </row>
    <row r="62" spans="1:10">
      <c r="A62" s="33"/>
      <c r="B62" s="31" t="s">
        <v>65</v>
      </c>
      <c r="C62" s="31"/>
      <c r="D62" s="31"/>
      <c r="E62" s="31"/>
      <c r="F62" s="31"/>
      <c r="G62" s="31"/>
      <c r="H62" s="31"/>
      <c r="J62" s="12"/>
    </row>
    <row r="63" spans="1:10">
      <c r="A63" s="33"/>
      <c r="B63" s="31"/>
      <c r="C63" s="31"/>
      <c r="D63" s="31"/>
      <c r="E63" s="31"/>
      <c r="F63" s="31"/>
      <c r="G63" s="31"/>
      <c r="H63" s="31"/>
    </row>
    <row r="64" spans="1:10">
      <c r="A64" s="33"/>
      <c r="B64" s="31"/>
      <c r="C64" s="31"/>
      <c r="D64" s="31"/>
      <c r="E64" s="31"/>
      <c r="F64" s="31"/>
      <c r="G64" s="31"/>
      <c r="H64" s="31"/>
    </row>
    <row r="65" spans="1:8">
      <c r="A65" s="33"/>
      <c r="B65" s="31"/>
      <c r="C65" s="31"/>
      <c r="D65" s="31"/>
      <c r="E65" s="31"/>
      <c r="F65" s="31"/>
      <c r="G65" s="31"/>
      <c r="H65" s="31"/>
    </row>
    <row r="66" spans="1:8">
      <c r="A66" s="33"/>
      <c r="B66" s="31"/>
      <c r="C66" s="31"/>
      <c r="D66" s="31"/>
      <c r="E66" s="31"/>
      <c r="F66" s="31"/>
      <c r="G66" s="31"/>
      <c r="H66" s="31"/>
    </row>
    <row r="67" spans="1:8">
      <c r="A67" s="34"/>
      <c r="B67" s="31"/>
      <c r="C67" s="31"/>
      <c r="D67" s="31"/>
      <c r="E67" s="31"/>
      <c r="F67" s="31"/>
      <c r="G67" s="31"/>
      <c r="H67" s="31"/>
    </row>
  </sheetData>
  <mergeCells count="93">
    <mergeCell ref="C56:E56"/>
    <mergeCell ref="F56:H56"/>
    <mergeCell ref="C36:E36"/>
    <mergeCell ref="B47:B52"/>
    <mergeCell ref="F47:H47"/>
    <mergeCell ref="C47:E47"/>
    <mergeCell ref="C41:E41"/>
    <mergeCell ref="F41:H41"/>
    <mergeCell ref="F53:H53"/>
    <mergeCell ref="F55:H55"/>
    <mergeCell ref="F58:H58"/>
    <mergeCell ref="B15:H15"/>
    <mergeCell ref="F46:H46"/>
    <mergeCell ref="F48:H48"/>
    <mergeCell ref="F49:H49"/>
    <mergeCell ref="F50:H50"/>
    <mergeCell ref="F52:H52"/>
    <mergeCell ref="C54:E54"/>
    <mergeCell ref="C55:E55"/>
    <mergeCell ref="C58:E58"/>
    <mergeCell ref="F31:H31"/>
    <mergeCell ref="F30:H30"/>
    <mergeCell ref="F32:H32"/>
    <mergeCell ref="F33:H33"/>
    <mergeCell ref="F34:H34"/>
    <mergeCell ref="F35:H35"/>
    <mergeCell ref="F37:H37"/>
    <mergeCell ref="F38:H38"/>
    <mergeCell ref="F39:H39"/>
    <mergeCell ref="F40:H40"/>
    <mergeCell ref="F43:H43"/>
    <mergeCell ref="F44:H44"/>
    <mergeCell ref="F45:H45"/>
    <mergeCell ref="C48:E48"/>
    <mergeCell ref="C49:E49"/>
    <mergeCell ref="C50:E50"/>
    <mergeCell ref="C52:E52"/>
    <mergeCell ref="C53:E53"/>
    <mergeCell ref="C40:E40"/>
    <mergeCell ref="C43:E43"/>
    <mergeCell ref="C44:E44"/>
    <mergeCell ref="C45:E45"/>
    <mergeCell ref="C46:E46"/>
    <mergeCell ref="D13:H13"/>
    <mergeCell ref="D14:H14"/>
    <mergeCell ref="C30:E30"/>
    <mergeCell ref="C31:E31"/>
    <mergeCell ref="B16:H16"/>
    <mergeCell ref="D8:H8"/>
    <mergeCell ref="D9:H9"/>
    <mergeCell ref="D10:H10"/>
    <mergeCell ref="D11:H11"/>
    <mergeCell ref="D12:H12"/>
    <mergeCell ref="A28:A29"/>
    <mergeCell ref="C28:H28"/>
    <mergeCell ref="C29:H29"/>
    <mergeCell ref="A44:A58"/>
    <mergeCell ref="B44:B46"/>
    <mergeCell ref="A30:A43"/>
    <mergeCell ref="B33:B37"/>
    <mergeCell ref="B30:B32"/>
    <mergeCell ref="C32:E32"/>
    <mergeCell ref="C33:E33"/>
    <mergeCell ref="C34:E34"/>
    <mergeCell ref="C35:E35"/>
    <mergeCell ref="C37:E37"/>
    <mergeCell ref="C38:E38"/>
    <mergeCell ref="C39:E39"/>
    <mergeCell ref="A1:H1"/>
    <mergeCell ref="C19:H19"/>
    <mergeCell ref="C27:H27"/>
    <mergeCell ref="A19:A27"/>
    <mergeCell ref="A17:A18"/>
    <mergeCell ref="C17:H17"/>
    <mergeCell ref="C18:H18"/>
    <mergeCell ref="C25:H25"/>
    <mergeCell ref="C23:H23"/>
    <mergeCell ref="C26:H26"/>
    <mergeCell ref="C22:H22"/>
    <mergeCell ref="C21:H21"/>
    <mergeCell ref="C20:H20"/>
    <mergeCell ref="C24:H24"/>
    <mergeCell ref="D3:D4"/>
    <mergeCell ref="D5:D6"/>
    <mergeCell ref="B64:H64"/>
    <mergeCell ref="B65:H65"/>
    <mergeCell ref="B66:H66"/>
    <mergeCell ref="B67:H67"/>
    <mergeCell ref="A60:A67"/>
    <mergeCell ref="B60:H60"/>
    <mergeCell ref="B61:H61"/>
    <mergeCell ref="B62:H62"/>
    <mergeCell ref="B63:H63"/>
  </mergeCells>
  <phoneticPr fontId="1" type="noConversion"/>
  <dataValidations disablePrompts="1" count="2">
    <dataValidation type="list" allowBlank="1" showInputMessage="1" showErrorMessage="1" sqref="B10">
      <formula1>"수주,수주대기,상(90%),중(50%),하(25%),하하(10%)"</formula1>
    </dataValidation>
    <dataValidation type="list" allowBlank="1" showInputMessage="1" showErrorMessage="1" sqref="B12">
      <formula1>"입찰,수의계약"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고객사명</vt:lpstr>
      <vt:lpstr>고객사명!Print_Area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kcy</dc:creator>
  <cp:lastModifiedBy>KH.YOON</cp:lastModifiedBy>
  <cp:lastPrinted>2025-06-18T01:13:56Z</cp:lastPrinted>
  <dcterms:created xsi:type="dcterms:W3CDTF">2025-01-31T06:15:11Z</dcterms:created>
  <dcterms:modified xsi:type="dcterms:W3CDTF">2025-06-18T03:32:56Z</dcterms:modified>
</cp:coreProperties>
</file>