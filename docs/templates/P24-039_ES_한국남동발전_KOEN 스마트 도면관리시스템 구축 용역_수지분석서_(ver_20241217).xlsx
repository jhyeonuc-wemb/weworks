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eMB\02.Project\수지차\분석\"/>
    </mc:Choice>
  </mc:AlternateContent>
  <bookViews>
    <workbookView xWindow="0" yWindow="0" windowWidth="28800" windowHeight="12270" tabRatio="757" activeTab="3"/>
  </bookViews>
  <sheets>
    <sheet name="프로세스" sheetId="11" r:id="rId1"/>
    <sheet name="수주품의" sheetId="13" r:id="rId2"/>
    <sheet name="제품계획" sheetId="9" r:id="rId3"/>
    <sheet name="수지차" sheetId="1" r:id="rId4"/>
    <sheet name="인력계획" sheetId="15" r:id="rId5"/>
    <sheet name="프로젝트경비" sheetId="7" r:id="rId6"/>
    <sheet name="기준-단가" sheetId="5" r:id="rId7"/>
    <sheet name="기준-경비" sheetId="8" r:id="rId8"/>
  </sheets>
  <definedNames>
    <definedName name="_xlnm._FilterDatabase" localSheetId="4" hidden="1">인력계획!#REF!</definedName>
    <definedName name="_xlnm.Print_Area" localSheetId="6">'기준-단가'!$A$1:$S$30</definedName>
    <definedName name="_xlnm.Print_Area" localSheetId="3">수지차!$A$1:$H$33</definedName>
    <definedName name="_xlnm.Print_Area" localSheetId="4">인력계획!$A$1:$AM$48</definedName>
    <definedName name="_xlnm.Print_Area" localSheetId="2">제품계획!$A$1:$Q$25</definedName>
    <definedName name="_xlnm.Print_Area" localSheetId="0">프로세스!$A$1:$F$77</definedName>
    <definedName name="_xlnm.Print_Area" localSheetId="5">프로젝트경비!$A$1:$AC$19</definedName>
  </definedNames>
  <calcPr calcId="152511"/>
</workbook>
</file>

<file path=xl/calcChain.xml><?xml version="1.0" encoding="utf-8"?>
<calcChain xmlns="http://schemas.openxmlformats.org/spreadsheetml/2006/main">
  <c r="AM13" i="15" l="1"/>
  <c r="AK10" i="15" l="1"/>
  <c r="AG10" i="15" l="1"/>
  <c r="AH10" i="15"/>
  <c r="AI10" i="15"/>
  <c r="AL10" i="15"/>
  <c r="AM10" i="15" l="1"/>
  <c r="AB14" i="15"/>
  <c r="AA14" i="15"/>
  <c r="Z14" i="15"/>
  <c r="Y14" i="15"/>
  <c r="X14" i="15"/>
  <c r="W14" i="15"/>
  <c r="V14" i="15"/>
  <c r="U14" i="15"/>
  <c r="T14" i="15"/>
  <c r="S14" i="15"/>
  <c r="T15" i="15" l="1"/>
  <c r="Z15" i="15"/>
  <c r="AA15" i="15"/>
  <c r="AB15" i="15"/>
  <c r="AC14" i="15"/>
  <c r="AD14" i="15"/>
  <c r="AD15" i="15" s="1"/>
  <c r="AE14" i="15"/>
  <c r="AE15" i="15" s="1"/>
  <c r="AF14" i="15"/>
  <c r="AF15" i="15" s="1"/>
  <c r="U15" i="15"/>
  <c r="V15" i="15"/>
  <c r="W15" i="15"/>
  <c r="X15" i="15"/>
  <c r="Y15" i="15"/>
  <c r="AC15" i="15"/>
  <c r="T18" i="15"/>
  <c r="U18" i="15"/>
  <c r="V18" i="15"/>
  <c r="W18" i="15"/>
  <c r="X18" i="15"/>
  <c r="Y18" i="15"/>
  <c r="Z18" i="15"/>
  <c r="AA18" i="15"/>
  <c r="AB18" i="15"/>
  <c r="AC18" i="15"/>
  <c r="AD18" i="15"/>
  <c r="AE18" i="15"/>
  <c r="AF18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T20" i="15"/>
  <c r="U20" i="15"/>
  <c r="V20" i="15"/>
  <c r="W20" i="15"/>
  <c r="X20" i="15"/>
  <c r="Y20" i="15"/>
  <c r="Z20" i="15"/>
  <c r="AA20" i="15"/>
  <c r="AB20" i="15"/>
  <c r="AC20" i="15"/>
  <c r="AD20" i="15"/>
  <c r="AE20" i="15"/>
  <c r="AF20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T22" i="15"/>
  <c r="U22" i="15"/>
  <c r="V22" i="15"/>
  <c r="W22" i="15"/>
  <c r="X22" i="15"/>
  <c r="Y22" i="15"/>
  <c r="Z22" i="15"/>
  <c r="AA22" i="15"/>
  <c r="AB22" i="15"/>
  <c r="AC22" i="15"/>
  <c r="AD22" i="15"/>
  <c r="AE22" i="15"/>
  <c r="AF22" i="15"/>
  <c r="T23" i="15"/>
  <c r="U23" i="15"/>
  <c r="V23" i="15"/>
  <c r="W23" i="15"/>
  <c r="X23" i="15"/>
  <c r="Y23" i="15"/>
  <c r="Z23" i="15"/>
  <c r="AA23" i="15"/>
  <c r="AB23" i="15"/>
  <c r="AC23" i="15"/>
  <c r="AD23" i="15"/>
  <c r="AE23" i="15"/>
  <c r="AF23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T26" i="15"/>
  <c r="U26" i="15"/>
  <c r="V26" i="15"/>
  <c r="W26" i="15"/>
  <c r="X26" i="15"/>
  <c r="Y26" i="15"/>
  <c r="Z26" i="15"/>
  <c r="AA26" i="15"/>
  <c r="AB26" i="15"/>
  <c r="AC26" i="15"/>
  <c r="AD26" i="15"/>
  <c r="AE26" i="15"/>
  <c r="AF26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T28" i="15"/>
  <c r="U28" i="15"/>
  <c r="V28" i="15"/>
  <c r="W28" i="15"/>
  <c r="X28" i="15"/>
  <c r="Y28" i="15"/>
  <c r="Z28" i="15"/>
  <c r="AA28" i="15"/>
  <c r="AB28" i="15"/>
  <c r="AC28" i="15"/>
  <c r="AD28" i="15"/>
  <c r="AE28" i="15"/>
  <c r="AF28" i="15"/>
  <c r="T29" i="15"/>
  <c r="U29" i="15"/>
  <c r="V29" i="15"/>
  <c r="W29" i="15"/>
  <c r="X29" i="15"/>
  <c r="Y29" i="15"/>
  <c r="Z29" i="15"/>
  <c r="AA29" i="15"/>
  <c r="AB29" i="15"/>
  <c r="AC29" i="15"/>
  <c r="AD29" i="15"/>
  <c r="AE29" i="15"/>
  <c r="AF29" i="15"/>
  <c r="T30" i="15"/>
  <c r="U30" i="15"/>
  <c r="V30" i="15"/>
  <c r="W30" i="15"/>
  <c r="X30" i="15"/>
  <c r="Y30" i="15"/>
  <c r="Z30" i="15"/>
  <c r="AA30" i="15"/>
  <c r="AB30" i="15"/>
  <c r="AC30" i="15"/>
  <c r="AD30" i="15"/>
  <c r="AE30" i="15"/>
  <c r="AF30" i="15"/>
  <c r="T31" i="15"/>
  <c r="U31" i="15"/>
  <c r="V31" i="15"/>
  <c r="W31" i="15"/>
  <c r="X31" i="15"/>
  <c r="Y31" i="15"/>
  <c r="Z31" i="15"/>
  <c r="AA31" i="15"/>
  <c r="AB31" i="15"/>
  <c r="AC31" i="15"/>
  <c r="AD31" i="15"/>
  <c r="AE31" i="15"/>
  <c r="AF31" i="15"/>
  <c r="T32" i="15"/>
  <c r="U32" i="15"/>
  <c r="V32" i="15"/>
  <c r="W32" i="15"/>
  <c r="X32" i="15"/>
  <c r="Y32" i="15"/>
  <c r="Z32" i="15"/>
  <c r="AA32" i="15"/>
  <c r="AB32" i="15"/>
  <c r="AC32" i="15"/>
  <c r="AD32" i="15"/>
  <c r="AE32" i="15"/>
  <c r="AF32" i="15"/>
  <c r="T35" i="15"/>
  <c r="U35" i="15"/>
  <c r="V35" i="15"/>
  <c r="W35" i="15"/>
  <c r="X35" i="15"/>
  <c r="Y35" i="15"/>
  <c r="Z35" i="15"/>
  <c r="AA35" i="15"/>
  <c r="AB35" i="15"/>
  <c r="AC35" i="15"/>
  <c r="AD35" i="15"/>
  <c r="AE35" i="15"/>
  <c r="AF35" i="15"/>
  <c r="T36" i="15"/>
  <c r="U36" i="15"/>
  <c r="V36" i="15"/>
  <c r="W36" i="15"/>
  <c r="X36" i="15"/>
  <c r="Y36" i="15"/>
  <c r="Z36" i="15"/>
  <c r="AA36" i="15"/>
  <c r="AB36" i="15"/>
  <c r="AC36" i="15"/>
  <c r="AD36" i="15"/>
  <c r="AE36" i="15"/>
  <c r="AF36" i="15"/>
  <c r="T37" i="15"/>
  <c r="U37" i="15"/>
  <c r="V37" i="15"/>
  <c r="W37" i="15"/>
  <c r="X37" i="15"/>
  <c r="Y37" i="15"/>
  <c r="Z37" i="15"/>
  <c r="AA37" i="15"/>
  <c r="AB37" i="15"/>
  <c r="AC37" i="15"/>
  <c r="AD37" i="15"/>
  <c r="AE37" i="15"/>
  <c r="AF37" i="15"/>
  <c r="T38" i="15"/>
  <c r="U38" i="15"/>
  <c r="V38" i="15"/>
  <c r="W38" i="15"/>
  <c r="X38" i="15"/>
  <c r="Y38" i="15"/>
  <c r="Z38" i="15"/>
  <c r="AA38" i="15"/>
  <c r="AB38" i="15"/>
  <c r="AC38" i="15"/>
  <c r="AD38" i="15"/>
  <c r="AE38" i="15"/>
  <c r="AF38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T41" i="15"/>
  <c r="U41" i="15"/>
  <c r="V41" i="15"/>
  <c r="W41" i="15"/>
  <c r="X41" i="15"/>
  <c r="Y41" i="15"/>
  <c r="Z41" i="15"/>
  <c r="AA41" i="15"/>
  <c r="AB41" i="15"/>
  <c r="AC41" i="15"/>
  <c r="AD41" i="15"/>
  <c r="AE41" i="15"/>
  <c r="AF41" i="15"/>
  <c r="T42" i="15"/>
  <c r="U42" i="15"/>
  <c r="V42" i="15"/>
  <c r="W42" i="15"/>
  <c r="X42" i="15"/>
  <c r="Y42" i="15"/>
  <c r="Z42" i="15"/>
  <c r="AA42" i="15"/>
  <c r="AB42" i="15"/>
  <c r="AC42" i="15"/>
  <c r="AD42" i="15"/>
  <c r="AE42" i="15"/>
  <c r="AF42" i="15"/>
  <c r="T43" i="15"/>
  <c r="U43" i="15"/>
  <c r="V43" i="15"/>
  <c r="W43" i="15"/>
  <c r="X43" i="15"/>
  <c r="Y43" i="15"/>
  <c r="Z43" i="15"/>
  <c r="AA43" i="15"/>
  <c r="AB43" i="15"/>
  <c r="AC43" i="15"/>
  <c r="AD43" i="15"/>
  <c r="AE43" i="15"/>
  <c r="AF43" i="15"/>
  <c r="AI6" i="15"/>
  <c r="AH6" i="15"/>
  <c r="AH7" i="15"/>
  <c r="AI7" i="15"/>
  <c r="AH8" i="15"/>
  <c r="AI8" i="15"/>
  <c r="AH9" i="15"/>
  <c r="AI9" i="15"/>
  <c r="AH11" i="15"/>
  <c r="AI11" i="15"/>
  <c r="AH12" i="15"/>
  <c r="AI12" i="15"/>
  <c r="AH14" i="15" l="1"/>
  <c r="AI14" i="15"/>
  <c r="AE44" i="15"/>
  <c r="AD39" i="15"/>
  <c r="AD44" i="15"/>
  <c r="AD45" i="15" s="1"/>
  <c r="AF44" i="15"/>
  <c r="AE39" i="15"/>
  <c r="AF39" i="15"/>
  <c r="AE33" i="15"/>
  <c r="AE34" i="15" s="1"/>
  <c r="AF33" i="15"/>
  <c r="AF34" i="15" s="1"/>
  <c r="AD33" i="15"/>
  <c r="AD34" i="15" s="1"/>
  <c r="U33" i="15"/>
  <c r="U34" i="15" s="1"/>
  <c r="X44" i="15"/>
  <c r="V44" i="15"/>
  <c r="W44" i="15"/>
  <c r="Y44" i="15"/>
  <c r="AB39" i="15"/>
  <c r="V33" i="15"/>
  <c r="V34" i="15" s="1"/>
  <c r="Y33" i="15"/>
  <c r="Y34" i="15" s="1"/>
  <c r="AB33" i="15"/>
  <c r="AB34" i="15" s="1"/>
  <c r="Z39" i="15"/>
  <c r="AA39" i="15"/>
  <c r="Z33" i="15"/>
  <c r="Z34" i="15" s="1"/>
  <c r="AA33" i="15"/>
  <c r="AA34" i="15" s="1"/>
  <c r="W33" i="15"/>
  <c r="W34" i="15" s="1"/>
  <c r="V39" i="15"/>
  <c r="W39" i="15"/>
  <c r="X39" i="15"/>
  <c r="Y39" i="15"/>
  <c r="X33" i="15"/>
  <c r="X34" i="15" s="1"/>
  <c r="Z44" i="15"/>
  <c r="AA44" i="15"/>
  <c r="AB44" i="15"/>
  <c r="U39" i="15"/>
  <c r="AC44" i="15"/>
  <c r="U44" i="15"/>
  <c r="T33" i="15"/>
  <c r="T34" i="15" s="1"/>
  <c r="T44" i="15"/>
  <c r="T39" i="15"/>
  <c r="AC33" i="15"/>
  <c r="AC34" i="15" s="1"/>
  <c r="AC39" i="15"/>
  <c r="AG12" i="15"/>
  <c r="AL11" i="15"/>
  <c r="AG11" i="15"/>
  <c r="AK11" i="15" s="1"/>
  <c r="W45" i="15" l="1"/>
  <c r="AF45" i="15"/>
  <c r="AF46" i="15" s="1"/>
  <c r="AF48" i="15" s="1"/>
  <c r="AE45" i="15"/>
  <c r="AE46" i="15" s="1"/>
  <c r="AE48" i="15" s="1"/>
  <c r="V45" i="15"/>
  <c r="V46" i="15" s="1"/>
  <c r="V48" i="15" s="1"/>
  <c r="X45" i="15"/>
  <c r="X46" i="15" s="1"/>
  <c r="X48" i="15" s="1"/>
  <c r="AA45" i="15"/>
  <c r="AA46" i="15" s="1"/>
  <c r="AA48" i="15" s="1"/>
  <c r="AC45" i="15"/>
  <c r="AC46" i="15" s="1"/>
  <c r="AC48" i="15" s="1"/>
  <c r="AD46" i="15"/>
  <c r="AD48" i="15" s="1"/>
  <c r="Y45" i="15"/>
  <c r="Y46" i="15" s="1"/>
  <c r="Y48" i="15" s="1"/>
  <c r="Z45" i="15"/>
  <c r="Z46" i="15" s="1"/>
  <c r="Z48" i="15" s="1"/>
  <c r="AB45" i="15"/>
  <c r="AB46" i="15" s="1"/>
  <c r="AB48" i="15" s="1"/>
  <c r="U45" i="15"/>
  <c r="U46" i="15" s="1"/>
  <c r="U48" i="15" s="1"/>
  <c r="T45" i="15"/>
  <c r="T46" i="15" s="1"/>
  <c r="T48" i="15" s="1"/>
  <c r="W46" i="15"/>
  <c r="W48" i="15" s="1"/>
  <c r="R5" i="7"/>
  <c r="AM12" i="15"/>
  <c r="AK12" i="15"/>
  <c r="AM11" i="15"/>
  <c r="AL7" i="15" l="1"/>
  <c r="AL9" i="15" l="1"/>
  <c r="AL8" i="15" l="1"/>
  <c r="K22" i="9" l="1"/>
  <c r="G22" i="9"/>
  <c r="I22" i="9" s="1"/>
  <c r="S43" i="15" l="1"/>
  <c r="S42" i="15"/>
  <c r="S41" i="15"/>
  <c r="R43" i="15"/>
  <c r="R42" i="15"/>
  <c r="R41" i="15"/>
  <c r="S32" i="15"/>
  <c r="R32" i="15"/>
  <c r="S31" i="15"/>
  <c r="R31" i="15"/>
  <c r="S30" i="15"/>
  <c r="R30" i="15"/>
  <c r="S29" i="15"/>
  <c r="R29" i="15"/>
  <c r="R28" i="15"/>
  <c r="S28" i="15"/>
  <c r="P14" i="15"/>
  <c r="Q14" i="15"/>
  <c r="R14" i="15"/>
  <c r="Q43" i="15" l="1"/>
  <c r="P43" i="15"/>
  <c r="O43" i="15"/>
  <c r="N43" i="15"/>
  <c r="M43" i="15"/>
  <c r="L43" i="15"/>
  <c r="K43" i="15"/>
  <c r="J43" i="15"/>
  <c r="I43" i="15"/>
  <c r="Q42" i="15"/>
  <c r="P42" i="15"/>
  <c r="O42" i="15"/>
  <c r="N42" i="15"/>
  <c r="M42" i="15"/>
  <c r="L42" i="15"/>
  <c r="K42" i="15"/>
  <c r="J42" i="15"/>
  <c r="I42" i="15"/>
  <c r="Q41" i="15"/>
  <c r="P41" i="15"/>
  <c r="O41" i="15"/>
  <c r="N41" i="15"/>
  <c r="M41" i="15"/>
  <c r="L41" i="15"/>
  <c r="K41" i="15"/>
  <c r="J41" i="15"/>
  <c r="I41" i="15"/>
  <c r="S40" i="15"/>
  <c r="R40" i="15"/>
  <c r="Q40" i="15"/>
  <c r="P40" i="15"/>
  <c r="O40" i="15"/>
  <c r="N40" i="15"/>
  <c r="M40" i="15"/>
  <c r="L40" i="15"/>
  <c r="K40" i="15"/>
  <c r="J40" i="15"/>
  <c r="I40" i="15"/>
  <c r="S38" i="15"/>
  <c r="R38" i="15"/>
  <c r="Q38" i="15"/>
  <c r="P38" i="15"/>
  <c r="O38" i="15"/>
  <c r="N38" i="15"/>
  <c r="M38" i="15"/>
  <c r="L38" i="15"/>
  <c r="K38" i="15"/>
  <c r="J38" i="15"/>
  <c r="I38" i="15"/>
  <c r="S37" i="15"/>
  <c r="R37" i="15"/>
  <c r="Q37" i="15"/>
  <c r="P37" i="15"/>
  <c r="O37" i="15"/>
  <c r="N37" i="15"/>
  <c r="M37" i="15"/>
  <c r="L37" i="15"/>
  <c r="K37" i="15"/>
  <c r="J37" i="15"/>
  <c r="I37" i="15"/>
  <c r="S36" i="15"/>
  <c r="R36" i="15"/>
  <c r="Q36" i="15"/>
  <c r="P36" i="15"/>
  <c r="O36" i="15"/>
  <c r="N36" i="15"/>
  <c r="M36" i="15"/>
  <c r="L36" i="15"/>
  <c r="K36" i="15"/>
  <c r="J36" i="15"/>
  <c r="I36" i="15"/>
  <c r="S35" i="15"/>
  <c r="R35" i="15"/>
  <c r="Q35" i="15"/>
  <c r="P35" i="15"/>
  <c r="O35" i="15"/>
  <c r="N35" i="15"/>
  <c r="M35" i="15"/>
  <c r="L35" i="15"/>
  <c r="K35" i="15"/>
  <c r="J35" i="15"/>
  <c r="I35" i="15"/>
  <c r="Q32" i="15"/>
  <c r="P32" i="15"/>
  <c r="O32" i="15"/>
  <c r="N32" i="15"/>
  <c r="M32" i="15"/>
  <c r="L32" i="15"/>
  <c r="K32" i="15"/>
  <c r="J32" i="15"/>
  <c r="I32" i="15"/>
  <c r="Q31" i="15"/>
  <c r="P31" i="15"/>
  <c r="O31" i="15"/>
  <c r="N31" i="15"/>
  <c r="M31" i="15"/>
  <c r="L31" i="15"/>
  <c r="K31" i="15"/>
  <c r="J31" i="15"/>
  <c r="I31" i="15"/>
  <c r="Q30" i="15"/>
  <c r="P30" i="15"/>
  <c r="O30" i="15"/>
  <c r="N30" i="15"/>
  <c r="M30" i="15"/>
  <c r="L30" i="15"/>
  <c r="K30" i="15"/>
  <c r="J30" i="15"/>
  <c r="I30" i="15"/>
  <c r="Q29" i="15"/>
  <c r="P29" i="15"/>
  <c r="O29" i="15"/>
  <c r="N29" i="15"/>
  <c r="M29" i="15"/>
  <c r="L29" i="15"/>
  <c r="K29" i="15"/>
  <c r="J29" i="15"/>
  <c r="I29" i="15"/>
  <c r="Q28" i="15"/>
  <c r="P28" i="15"/>
  <c r="O28" i="15"/>
  <c r="N28" i="15"/>
  <c r="M28" i="15"/>
  <c r="L28" i="15"/>
  <c r="K28" i="15"/>
  <c r="J28" i="15"/>
  <c r="I28" i="15"/>
  <c r="S27" i="15"/>
  <c r="R27" i="15"/>
  <c r="Q27" i="15"/>
  <c r="P27" i="15"/>
  <c r="O27" i="15"/>
  <c r="N27" i="15"/>
  <c r="M27" i="15"/>
  <c r="L27" i="15"/>
  <c r="K27" i="15"/>
  <c r="J27" i="15"/>
  <c r="I27" i="15"/>
  <c r="S26" i="15"/>
  <c r="R26" i="15"/>
  <c r="Q26" i="15"/>
  <c r="P26" i="15"/>
  <c r="O26" i="15"/>
  <c r="N26" i="15"/>
  <c r="M26" i="15"/>
  <c r="L26" i="15"/>
  <c r="K26" i="15"/>
  <c r="J26" i="15"/>
  <c r="I26" i="15"/>
  <c r="S25" i="15"/>
  <c r="R25" i="15"/>
  <c r="Q25" i="15"/>
  <c r="P25" i="15"/>
  <c r="O25" i="15"/>
  <c r="N25" i="15"/>
  <c r="M25" i="15"/>
  <c r="L25" i="15"/>
  <c r="K25" i="15"/>
  <c r="J25" i="15"/>
  <c r="I25" i="15"/>
  <c r="S24" i="15"/>
  <c r="R24" i="15"/>
  <c r="Q24" i="15"/>
  <c r="P24" i="15"/>
  <c r="O24" i="15"/>
  <c r="N24" i="15"/>
  <c r="M24" i="15"/>
  <c r="L24" i="15"/>
  <c r="K24" i="15"/>
  <c r="J24" i="15"/>
  <c r="I24" i="15"/>
  <c r="S23" i="15"/>
  <c r="R23" i="15"/>
  <c r="Q23" i="15"/>
  <c r="P23" i="15"/>
  <c r="O23" i="15"/>
  <c r="N23" i="15"/>
  <c r="M23" i="15"/>
  <c r="L23" i="15"/>
  <c r="K23" i="15"/>
  <c r="J23" i="15"/>
  <c r="I23" i="15"/>
  <c r="S22" i="15"/>
  <c r="R22" i="15"/>
  <c r="Q22" i="15"/>
  <c r="P22" i="15"/>
  <c r="O22" i="15"/>
  <c r="N22" i="15"/>
  <c r="M22" i="15"/>
  <c r="L22" i="15"/>
  <c r="K22" i="15"/>
  <c r="J22" i="15"/>
  <c r="I22" i="15"/>
  <c r="S21" i="15"/>
  <c r="R21" i="15"/>
  <c r="Q21" i="15"/>
  <c r="P21" i="15"/>
  <c r="O21" i="15"/>
  <c r="N21" i="15"/>
  <c r="M21" i="15"/>
  <c r="L21" i="15"/>
  <c r="K21" i="15"/>
  <c r="J21" i="15"/>
  <c r="I21" i="15"/>
  <c r="S20" i="15"/>
  <c r="R20" i="15"/>
  <c r="Q20" i="15"/>
  <c r="P20" i="15"/>
  <c r="O20" i="15"/>
  <c r="N20" i="15"/>
  <c r="M20" i="15"/>
  <c r="L20" i="15"/>
  <c r="K20" i="15"/>
  <c r="J20" i="15"/>
  <c r="I20" i="15"/>
  <c r="S19" i="15"/>
  <c r="R19" i="15"/>
  <c r="Q19" i="15"/>
  <c r="P19" i="15"/>
  <c r="O19" i="15"/>
  <c r="N19" i="15"/>
  <c r="M19" i="15"/>
  <c r="L19" i="15"/>
  <c r="K19" i="15"/>
  <c r="J19" i="15"/>
  <c r="I19" i="15"/>
  <c r="S18" i="15"/>
  <c r="R18" i="15"/>
  <c r="Q18" i="15"/>
  <c r="P18" i="15"/>
  <c r="O18" i="15"/>
  <c r="N18" i="15"/>
  <c r="M18" i="15"/>
  <c r="L18" i="15"/>
  <c r="K18" i="15"/>
  <c r="J18" i="15"/>
  <c r="I18" i="15"/>
  <c r="R33" i="15" l="1"/>
  <c r="S33" i="15"/>
  <c r="AL6" i="15" l="1"/>
  <c r="AG8" i="15"/>
  <c r="AK8" i="15" l="1"/>
  <c r="AM8" i="15"/>
  <c r="AG9" i="15"/>
  <c r="AK9" i="15" s="1"/>
  <c r="AG6" i="15"/>
  <c r="A6" i="15"/>
  <c r="H17" i="9"/>
  <c r="F22" i="13" s="1"/>
  <c r="G27" i="5"/>
  <c r="G28" i="5"/>
  <c r="G29" i="5"/>
  <c r="G26" i="5"/>
  <c r="G22" i="5"/>
  <c r="G23" i="5"/>
  <c r="G24" i="5"/>
  <c r="G21" i="5"/>
  <c r="Z11" i="5"/>
  <c r="Z10" i="5"/>
  <c r="Z9" i="5"/>
  <c r="Z8" i="5"/>
  <c r="X7" i="5"/>
  <c r="W7" i="5"/>
  <c r="R20" i="5"/>
  <c r="P20" i="5"/>
  <c r="M20" i="5"/>
  <c r="K20" i="5"/>
  <c r="H20" i="5"/>
  <c r="F20" i="5"/>
  <c r="Q19" i="5"/>
  <c r="N19" i="5"/>
  <c r="L19" i="5"/>
  <c r="I19" i="5"/>
  <c r="G19" i="5"/>
  <c r="Q18" i="5"/>
  <c r="N18" i="5"/>
  <c r="L18" i="5"/>
  <c r="I18" i="5"/>
  <c r="G18" i="5"/>
  <c r="Q17" i="5"/>
  <c r="N17" i="5"/>
  <c r="L17" i="5"/>
  <c r="I17" i="5"/>
  <c r="G17" i="5"/>
  <c r="Q16" i="5"/>
  <c r="N16" i="5"/>
  <c r="L16" i="5"/>
  <c r="I16" i="5"/>
  <c r="G16" i="5"/>
  <c r="Q15" i="5"/>
  <c r="N15" i="5"/>
  <c r="L15" i="5"/>
  <c r="I15" i="5"/>
  <c r="G15" i="5"/>
  <c r="Q14" i="5"/>
  <c r="N14" i="5"/>
  <c r="L14" i="5"/>
  <c r="I14" i="5"/>
  <c r="G14" i="5"/>
  <c r="Q13" i="5"/>
  <c r="N13" i="5"/>
  <c r="L13" i="5"/>
  <c r="I13" i="5"/>
  <c r="G13" i="5"/>
  <c r="R12" i="5"/>
  <c r="P12" i="5"/>
  <c r="M12" i="5"/>
  <c r="K12" i="5"/>
  <c r="H12" i="5"/>
  <c r="F12" i="5"/>
  <c r="Q11" i="5"/>
  <c r="N11" i="5"/>
  <c r="L11" i="5"/>
  <c r="I11" i="5"/>
  <c r="G11" i="5"/>
  <c r="Q10" i="5"/>
  <c r="N10" i="5"/>
  <c r="L10" i="5"/>
  <c r="I10" i="5"/>
  <c r="G10" i="5"/>
  <c r="Q9" i="5"/>
  <c r="N9" i="5"/>
  <c r="L9" i="5"/>
  <c r="I9" i="5"/>
  <c r="G9" i="5"/>
  <c r="Q8" i="5"/>
  <c r="N8" i="5"/>
  <c r="L8" i="5"/>
  <c r="I8" i="5"/>
  <c r="G8" i="5"/>
  <c r="Q7" i="5"/>
  <c r="N7" i="5"/>
  <c r="L7" i="5"/>
  <c r="I7" i="5"/>
  <c r="G7" i="5"/>
  <c r="Q6" i="5"/>
  <c r="N6" i="5"/>
  <c r="L6" i="5"/>
  <c r="I6" i="5"/>
  <c r="G6" i="5"/>
  <c r="Q5" i="5"/>
  <c r="N5" i="5"/>
  <c r="L5" i="5"/>
  <c r="I5" i="5"/>
  <c r="G5" i="5"/>
  <c r="J2" i="5"/>
  <c r="O2" i="5" s="1"/>
  <c r="E2" i="5"/>
  <c r="L22" i="9"/>
  <c r="G9" i="8"/>
  <c r="AJ41" i="15"/>
  <c r="AJ42" i="15"/>
  <c r="AJ43" i="15"/>
  <c r="AJ40" i="15"/>
  <c r="AJ36" i="15"/>
  <c r="AJ37" i="15"/>
  <c r="AJ38" i="15"/>
  <c r="AJ35" i="15"/>
  <c r="AJ27" i="15"/>
  <c r="AJ28" i="15"/>
  <c r="AJ29" i="15"/>
  <c r="AJ30" i="15"/>
  <c r="AJ31" i="15"/>
  <c r="AJ32" i="15"/>
  <c r="AJ26" i="15"/>
  <c r="AJ19" i="15"/>
  <c r="AJ20" i="15"/>
  <c r="AJ21" i="15"/>
  <c r="AJ22" i="15"/>
  <c r="AJ23" i="15"/>
  <c r="AJ24" i="15"/>
  <c r="AJ18" i="15"/>
  <c r="J14" i="15"/>
  <c r="J15" i="15" s="1"/>
  <c r="K14" i="15"/>
  <c r="K15" i="15" s="1"/>
  <c r="L14" i="15"/>
  <c r="L15" i="15" s="1"/>
  <c r="M14" i="15"/>
  <c r="M15" i="15" s="1"/>
  <c r="N14" i="15"/>
  <c r="N15" i="15" s="1"/>
  <c r="O14" i="15"/>
  <c r="O15" i="15" s="1"/>
  <c r="P15" i="15"/>
  <c r="Q15" i="15"/>
  <c r="R15" i="15"/>
  <c r="S15" i="15"/>
  <c r="I14" i="15"/>
  <c r="I15" i="15" s="1"/>
  <c r="AG7" i="15"/>
  <c r="AK7" i="15" s="1"/>
  <c r="G4" i="8"/>
  <c r="H23" i="9"/>
  <c r="F23" i="13" s="1"/>
  <c r="E16" i="7"/>
  <c r="D16" i="7"/>
  <c r="E12" i="7"/>
  <c r="D12" i="7"/>
  <c r="P22" i="9"/>
  <c r="E11" i="7"/>
  <c r="D11" i="7"/>
  <c r="C11" i="7" s="1"/>
  <c r="E23" i="9"/>
  <c r="J17" i="9"/>
  <c r="G22" i="13" s="1"/>
  <c r="F17" i="9"/>
  <c r="E32" i="1"/>
  <c r="A1" i="1"/>
  <c r="J23" i="9"/>
  <c r="G23" i="13" s="1"/>
  <c r="O23" i="9"/>
  <c r="G23" i="9"/>
  <c r="K17" i="9"/>
  <c r="AG37" i="15" l="1"/>
  <c r="AG38" i="15"/>
  <c r="AG35" i="15"/>
  <c r="AG36" i="15"/>
  <c r="AG14" i="15"/>
  <c r="AG15" i="15" s="1"/>
  <c r="I12" i="5"/>
  <c r="I20" i="5"/>
  <c r="Q20" i="5"/>
  <c r="Q12" i="5"/>
  <c r="L12" i="5"/>
  <c r="N12" i="5"/>
  <c r="N20" i="5"/>
  <c r="L20" i="5"/>
  <c r="Y7" i="5"/>
  <c r="Z7" i="5" s="1"/>
  <c r="F23" i="9"/>
  <c r="P23" i="9"/>
  <c r="Q23" i="9" s="1"/>
  <c r="E21" i="1"/>
  <c r="E27" i="1" s="1"/>
  <c r="G20" i="5"/>
  <c r="G12" i="5"/>
  <c r="AH30" i="15"/>
  <c r="AH43" i="15"/>
  <c r="O17" i="9"/>
  <c r="O24" i="9" s="1"/>
  <c r="M22" i="13"/>
  <c r="L22" i="13" s="1"/>
  <c r="E24" i="9"/>
  <c r="K23" i="9"/>
  <c r="K24" i="9" s="1"/>
  <c r="Q22" i="9"/>
  <c r="AH28" i="15"/>
  <c r="AH15" i="15"/>
  <c r="AI15" i="15"/>
  <c r="AH29" i="15"/>
  <c r="AH31" i="15"/>
  <c r="AH32" i="15"/>
  <c r="AH41" i="15"/>
  <c r="AH42" i="15"/>
  <c r="AG30" i="15"/>
  <c r="AG43" i="15"/>
  <c r="AG32" i="15"/>
  <c r="AG29" i="15"/>
  <c r="AG42" i="15"/>
  <c r="AG31" i="15"/>
  <c r="AG28" i="15"/>
  <c r="AG41" i="15"/>
  <c r="AI43" i="15"/>
  <c r="AI32" i="15"/>
  <c r="AI29" i="15"/>
  <c r="AI42" i="15"/>
  <c r="AI41" i="15"/>
  <c r="AI31" i="15"/>
  <c r="AI28" i="15"/>
  <c r="AI30" i="15"/>
  <c r="C12" i="7"/>
  <c r="E8" i="1"/>
  <c r="I23" i="9"/>
  <c r="C16" i="7"/>
  <c r="AM6" i="15"/>
  <c r="L17" i="9"/>
  <c r="H24" i="9"/>
  <c r="E7" i="1"/>
  <c r="P17" i="9"/>
  <c r="F24" i="13"/>
  <c r="G17" i="9"/>
  <c r="I17" i="9" s="1"/>
  <c r="G24" i="13"/>
  <c r="M23" i="13"/>
  <c r="J24" i="9"/>
  <c r="E23" i="1"/>
  <c r="AH21" i="15"/>
  <c r="AG20" i="15"/>
  <c r="AG22" i="15"/>
  <c r="AI38" i="15"/>
  <c r="AI19" i="15"/>
  <c r="AH24" i="15"/>
  <c r="P44" i="15"/>
  <c r="AL35" i="15"/>
  <c r="AL32" i="15"/>
  <c r="AL18" i="15"/>
  <c r="AL24" i="15"/>
  <c r="K33" i="15"/>
  <c r="AL19" i="15"/>
  <c r="AL38" i="15"/>
  <c r="AL20" i="15"/>
  <c r="AL22" i="15"/>
  <c r="AL42" i="15"/>
  <c r="AL21" i="15"/>
  <c r="AL23" i="15"/>
  <c r="AL28" i="15"/>
  <c r="AL36" i="15"/>
  <c r="AL31" i="15"/>
  <c r="AL30" i="15"/>
  <c r="AL40" i="15"/>
  <c r="AL37" i="15"/>
  <c r="AL43" i="15"/>
  <c r="AL41" i="15"/>
  <c r="AL26" i="15"/>
  <c r="AL29" i="15"/>
  <c r="AL27" i="15"/>
  <c r="O39" i="15"/>
  <c r="Q39" i="15"/>
  <c r="J44" i="15"/>
  <c r="M44" i="15"/>
  <c r="I44" i="15"/>
  <c r="L44" i="15"/>
  <c r="P39" i="15"/>
  <c r="I39" i="15"/>
  <c r="M39" i="15"/>
  <c r="L39" i="15"/>
  <c r="J39" i="15"/>
  <c r="L33" i="15"/>
  <c r="I33" i="15"/>
  <c r="J33" i="15"/>
  <c r="M33" i="15"/>
  <c r="N33" i="15"/>
  <c r="Q33" i="15"/>
  <c r="O33" i="15"/>
  <c r="S44" i="15"/>
  <c r="K44" i="15"/>
  <c r="K39" i="15"/>
  <c r="S39" i="15"/>
  <c r="O44" i="15"/>
  <c r="R44" i="15"/>
  <c r="R39" i="15"/>
  <c r="N39" i="15"/>
  <c r="N44" i="15"/>
  <c r="Q44" i="15"/>
  <c r="AH27" i="15"/>
  <c r="AH37" i="15"/>
  <c r="AH36" i="15"/>
  <c r="AH22" i="15"/>
  <c r="AH35" i="15"/>
  <c r="AH20" i="15"/>
  <c r="AH26" i="15"/>
  <c r="AH38" i="15"/>
  <c r="AH18" i="15"/>
  <c r="AH19" i="15"/>
  <c r="AH23" i="15"/>
  <c r="AH40" i="15"/>
  <c r="AI23" i="15"/>
  <c r="P33" i="15"/>
  <c r="AI35" i="15"/>
  <c r="AI26" i="15"/>
  <c r="AI20" i="15"/>
  <c r="AI22" i="15"/>
  <c r="AI36" i="15"/>
  <c r="AI21" i="15"/>
  <c r="AI18" i="15"/>
  <c r="AI37" i="15"/>
  <c r="AI24" i="15"/>
  <c r="AI40" i="15"/>
  <c r="AI27" i="15"/>
  <c r="AG24" i="15"/>
  <c r="AG26" i="15"/>
  <c r="AM9" i="15"/>
  <c r="AG23" i="15"/>
  <c r="AG21" i="15"/>
  <c r="AG40" i="15"/>
  <c r="AG27" i="15"/>
  <c r="AG18" i="15"/>
  <c r="AG19" i="15"/>
  <c r="AM7" i="15"/>
  <c r="AM38" i="15" l="1"/>
  <c r="AM14" i="15"/>
  <c r="AM37" i="15"/>
  <c r="AM36" i="15"/>
  <c r="AM35" i="15"/>
  <c r="P24" i="9"/>
  <c r="P25" i="9" s="1"/>
  <c r="F21" i="1"/>
  <c r="F27" i="1"/>
  <c r="O25" i="9"/>
  <c r="L23" i="9"/>
  <c r="M24" i="13"/>
  <c r="L23" i="13"/>
  <c r="V6" i="7"/>
  <c r="L24" i="9"/>
  <c r="AK36" i="15"/>
  <c r="E9" i="1"/>
  <c r="E22" i="1"/>
  <c r="F22" i="1" s="1"/>
  <c r="Q17" i="9"/>
  <c r="G24" i="9"/>
  <c r="F23" i="1"/>
  <c r="E24" i="1"/>
  <c r="F24" i="1" s="1"/>
  <c r="S5" i="7"/>
  <c r="X6" i="7"/>
  <c r="AK22" i="15"/>
  <c r="AK24" i="15"/>
  <c r="AK23" i="15"/>
  <c r="AK43" i="15"/>
  <c r="AK32" i="15"/>
  <c r="P45" i="15"/>
  <c r="M6" i="7" s="1"/>
  <c r="M9" i="7" s="1"/>
  <c r="AA5" i="7"/>
  <c r="AA7" i="7" s="1"/>
  <c r="M34" i="15"/>
  <c r="J5" i="7" s="1"/>
  <c r="J15" i="7" s="1"/>
  <c r="K34" i="15"/>
  <c r="H5" i="7" s="1"/>
  <c r="Y6" i="7"/>
  <c r="Y9" i="7" s="1"/>
  <c r="Y5" i="7"/>
  <c r="Z6" i="7"/>
  <c r="Z9" i="7" s="1"/>
  <c r="S6" i="7"/>
  <c r="S9" i="7" s="1"/>
  <c r="X5" i="7"/>
  <c r="AA6" i="7"/>
  <c r="Q5" i="7"/>
  <c r="V5" i="7"/>
  <c r="J34" i="15"/>
  <c r="G5" i="7" s="1"/>
  <c r="R34" i="15"/>
  <c r="O5" i="7" s="1"/>
  <c r="AB5" i="7"/>
  <c r="AB7" i="7" s="1"/>
  <c r="U5" i="7"/>
  <c r="L34" i="15"/>
  <c r="I5" i="7" s="1"/>
  <c r="I15" i="7" s="1"/>
  <c r="Q45" i="15"/>
  <c r="N6" i="7" s="1"/>
  <c r="N9" i="7" s="1"/>
  <c r="T5" i="7"/>
  <c r="P34" i="15"/>
  <c r="W5" i="7"/>
  <c r="S34" i="15"/>
  <c r="P5" i="7" s="1"/>
  <c r="AC6" i="7"/>
  <c r="AC9" i="7" s="1"/>
  <c r="U6" i="7"/>
  <c r="U9" i="7" s="1"/>
  <c r="Q6" i="7"/>
  <c r="Q9" i="7" s="1"/>
  <c r="Z5" i="7"/>
  <c r="I34" i="15"/>
  <c r="F5" i="7" s="1"/>
  <c r="L45" i="15"/>
  <c r="I6" i="7" s="1"/>
  <c r="I9" i="7" s="1"/>
  <c r="M45" i="15"/>
  <c r="J6" i="7" s="1"/>
  <c r="J9" i="7" s="1"/>
  <c r="N45" i="15"/>
  <c r="K6" i="7" s="1"/>
  <c r="K9" i="7" s="1"/>
  <c r="AC5" i="7"/>
  <c r="O45" i="15"/>
  <c r="L6" i="7" s="1"/>
  <c r="L9" i="7" s="1"/>
  <c r="J45" i="15"/>
  <c r="G6" i="7" s="1"/>
  <c r="G9" i="7" s="1"/>
  <c r="AB6" i="7"/>
  <c r="AB9" i="7" s="1"/>
  <c r="K45" i="15"/>
  <c r="I45" i="15"/>
  <c r="F6" i="7" s="1"/>
  <c r="F9" i="7" s="1"/>
  <c r="O34" i="15"/>
  <c r="Q34" i="15"/>
  <c r="N5" i="7" s="1"/>
  <c r="N34" i="15"/>
  <c r="K5" i="7" s="1"/>
  <c r="K15" i="7" s="1"/>
  <c r="AH33" i="15"/>
  <c r="AG25" i="15"/>
  <c r="R45" i="15"/>
  <c r="AH39" i="15"/>
  <c r="S45" i="15"/>
  <c r="P6" i="7" s="1"/>
  <c r="P9" i="7" s="1"/>
  <c r="R6" i="7"/>
  <c r="R9" i="7" s="1"/>
  <c r="AK14" i="15"/>
  <c r="AK28" i="15"/>
  <c r="AI33" i="15"/>
  <c r="AK20" i="15"/>
  <c r="AK29" i="15"/>
  <c r="AI44" i="15"/>
  <c r="AI39" i="15"/>
  <c r="AK19" i="15"/>
  <c r="AK31" i="15"/>
  <c r="AK26" i="15"/>
  <c r="AG39" i="15"/>
  <c r="AG44" i="15"/>
  <c r="AK21" i="15"/>
  <c r="AK35" i="15"/>
  <c r="AK37" i="15"/>
  <c r="AG33" i="15"/>
  <c r="AK27" i="15"/>
  <c r="AK38" i="15"/>
  <c r="AI25" i="15"/>
  <c r="AH25" i="15"/>
  <c r="AK18" i="15"/>
  <c r="AK40" i="15"/>
  <c r="AK30" i="15"/>
  <c r="AM43" i="15"/>
  <c r="AM40" i="15"/>
  <c r="AM32" i="15"/>
  <c r="AM19" i="15"/>
  <c r="AM23" i="15"/>
  <c r="AM28" i="15"/>
  <c r="AM41" i="15"/>
  <c r="AM29" i="15"/>
  <c r="AM24" i="15"/>
  <c r="AM42" i="15"/>
  <c r="AM30" i="15"/>
  <c r="AM31" i="15"/>
  <c r="AM20" i="15"/>
  <c r="AM21" i="15"/>
  <c r="AM26" i="15"/>
  <c r="AM22" i="15"/>
  <c r="AM27" i="15"/>
  <c r="AM18" i="15"/>
  <c r="AK41" i="15"/>
  <c r="AK42" i="15"/>
  <c r="AH44" i="15"/>
  <c r="AM39" i="15" l="1"/>
  <c r="AM44" i="15"/>
  <c r="AM33" i="15"/>
  <c r="O6" i="7"/>
  <c r="O9" i="7" s="1"/>
  <c r="Z8" i="7"/>
  <c r="N13" i="7"/>
  <c r="O13" i="7"/>
  <c r="J13" i="7"/>
  <c r="K13" i="7"/>
  <c r="I13" i="7"/>
  <c r="H15" i="7"/>
  <c r="F14" i="7"/>
  <c r="F13" i="7"/>
  <c r="G14" i="7"/>
  <c r="G13" i="7"/>
  <c r="J14" i="7"/>
  <c r="K14" i="7"/>
  <c r="I14" i="7"/>
  <c r="Y8" i="7"/>
  <c r="V7" i="7"/>
  <c r="W7" i="7"/>
  <c r="X7" i="7"/>
  <c r="Q24" i="9"/>
  <c r="S7" i="7"/>
  <c r="E25" i="1"/>
  <c r="F25" i="1" s="1"/>
  <c r="I24" i="9"/>
  <c r="F24" i="9"/>
  <c r="S8" i="7"/>
  <c r="J7" i="7"/>
  <c r="Q46" i="15"/>
  <c r="Q48" i="15" s="1"/>
  <c r="J8" i="7"/>
  <c r="AA8" i="7"/>
  <c r="Y7" i="7"/>
  <c r="AA13" i="7"/>
  <c r="P46" i="15"/>
  <c r="P48" i="15" s="1"/>
  <c r="AA14" i="7"/>
  <c r="H14" i="7"/>
  <c r="H7" i="7"/>
  <c r="H8" i="7"/>
  <c r="F15" i="7"/>
  <c r="AA9" i="7"/>
  <c r="F7" i="7"/>
  <c r="AA15" i="7"/>
  <c r="O46" i="15"/>
  <c r="O48" i="15" s="1"/>
  <c r="X8" i="7"/>
  <c r="V8" i="7"/>
  <c r="F8" i="7"/>
  <c r="T7" i="7"/>
  <c r="AB8" i="7"/>
  <c r="AB10" i="7" s="1"/>
  <c r="G15" i="7"/>
  <c r="G7" i="7"/>
  <c r="G8" i="7"/>
  <c r="I8" i="7"/>
  <c r="AB14" i="7"/>
  <c r="W8" i="7"/>
  <c r="M5" i="7"/>
  <c r="N46" i="15"/>
  <c r="N48" i="15" s="1"/>
  <c r="X9" i="7"/>
  <c r="M46" i="15"/>
  <c r="M48" i="15" s="1"/>
  <c r="U8" i="7"/>
  <c r="I7" i="7"/>
  <c r="U7" i="7"/>
  <c r="Z7" i="7"/>
  <c r="T8" i="7"/>
  <c r="J46" i="15"/>
  <c r="J48" i="15" s="1"/>
  <c r="L46" i="15"/>
  <c r="L48" i="15" s="1"/>
  <c r="W6" i="7"/>
  <c r="AH34" i="15"/>
  <c r="AC15" i="7"/>
  <c r="AC14" i="7"/>
  <c r="AC7" i="7"/>
  <c r="AC13" i="7"/>
  <c r="AC8" i="7"/>
  <c r="L5" i="7"/>
  <c r="AB13" i="7"/>
  <c r="AB15" i="7"/>
  <c r="R46" i="15"/>
  <c r="R48" i="15" s="1"/>
  <c r="K46" i="15"/>
  <c r="K48" i="15" s="1"/>
  <c r="H6" i="7"/>
  <c r="H13" i="7" s="1"/>
  <c r="T6" i="7"/>
  <c r="I46" i="15"/>
  <c r="I48" i="15" s="1"/>
  <c r="AG34" i="15"/>
  <c r="D18" i="13" s="1"/>
  <c r="AK25" i="15"/>
  <c r="AJ25" i="15" s="1"/>
  <c r="S46" i="15"/>
  <c r="S48" i="15" s="1"/>
  <c r="AH45" i="15"/>
  <c r="V9" i="7"/>
  <c r="AG45" i="15"/>
  <c r="D19" i="13" s="1"/>
  <c r="AK39" i="15"/>
  <c r="AJ39" i="15" s="1"/>
  <c r="AK33" i="15"/>
  <c r="Q8" i="7"/>
  <c r="Q7" i="7"/>
  <c r="P7" i="7"/>
  <c r="P8" i="7"/>
  <c r="R7" i="7"/>
  <c r="R8" i="7"/>
  <c r="E5" i="7"/>
  <c r="K8" i="7"/>
  <c r="K7" i="7"/>
  <c r="N7" i="7"/>
  <c r="N8" i="7"/>
  <c r="AL14" i="15"/>
  <c r="AM15" i="15"/>
  <c r="AI45" i="15"/>
  <c r="AI34" i="15"/>
  <c r="AK44" i="15"/>
  <c r="AM25" i="15"/>
  <c r="AL25" i="15" s="1"/>
  <c r="O8" i="7"/>
  <c r="O7" i="7"/>
  <c r="AJ14" i="15"/>
  <c r="AK15" i="15"/>
  <c r="Z10" i="7" l="1"/>
  <c r="M13" i="7"/>
  <c r="L13" i="7"/>
  <c r="L15" i="7"/>
  <c r="F17" i="7"/>
  <c r="G17" i="7"/>
  <c r="H17" i="7"/>
  <c r="I17" i="7"/>
  <c r="Y10" i="7"/>
  <c r="M14" i="7"/>
  <c r="L14" i="7"/>
  <c r="S17" i="7"/>
  <c r="R17" i="7"/>
  <c r="S10" i="7"/>
  <c r="J17" i="7"/>
  <c r="F10" i="7"/>
  <c r="J10" i="7"/>
  <c r="AA10" i="7"/>
  <c r="AA17" i="7"/>
  <c r="W9" i="7"/>
  <c r="W10" i="7" s="1"/>
  <c r="W17" i="7"/>
  <c r="AC10" i="7"/>
  <c r="U10" i="7"/>
  <c r="G10" i="7"/>
  <c r="X10" i="7"/>
  <c r="V10" i="7"/>
  <c r="V17" i="7"/>
  <c r="M8" i="7"/>
  <c r="M7" i="7"/>
  <c r="I10" i="7"/>
  <c r="AB17" i="7"/>
  <c r="AB18" i="7" s="1"/>
  <c r="U17" i="7"/>
  <c r="O10" i="7"/>
  <c r="Z18" i="7"/>
  <c r="D5" i="7"/>
  <c r="C5" i="7" s="1"/>
  <c r="Q10" i="7"/>
  <c r="E14" i="7"/>
  <c r="AH46" i="15"/>
  <c r="AH48" i="15" s="1"/>
  <c r="AC17" i="7"/>
  <c r="E8" i="7"/>
  <c r="L7" i="7"/>
  <c r="L8" i="7"/>
  <c r="AI46" i="15"/>
  <c r="AI48" i="15" s="1"/>
  <c r="T9" i="7"/>
  <c r="T10" i="7" s="1"/>
  <c r="E13" i="7"/>
  <c r="E6" i="7"/>
  <c r="H9" i="7"/>
  <c r="D6" i="7"/>
  <c r="P10" i="7"/>
  <c r="Q17" i="7"/>
  <c r="AG46" i="15"/>
  <c r="AG48" i="15" s="1"/>
  <c r="D20" i="13"/>
  <c r="K17" i="7"/>
  <c r="AJ15" i="15"/>
  <c r="AK16" i="15"/>
  <c r="AM45" i="15"/>
  <c r="AL44" i="15"/>
  <c r="K10" i="7"/>
  <c r="O17" i="7"/>
  <c r="AL33" i="15"/>
  <c r="AL34" i="15" s="1"/>
  <c r="AM34" i="15"/>
  <c r="AJ44" i="15"/>
  <c r="AK45" i="15"/>
  <c r="N10" i="7"/>
  <c r="P17" i="7"/>
  <c r="AJ33" i="15"/>
  <c r="AJ34" i="15" s="1"/>
  <c r="AK34" i="15"/>
  <c r="E4" i="1"/>
  <c r="AL15" i="15"/>
  <c r="R10" i="7"/>
  <c r="E7" i="7"/>
  <c r="N17" i="7"/>
  <c r="AM46" i="15" l="1"/>
  <c r="G18" i="7"/>
  <c r="F18" i="7"/>
  <c r="D15" i="7"/>
  <c r="Y18" i="7"/>
  <c r="I18" i="7"/>
  <c r="L17" i="7"/>
  <c r="S18" i="7"/>
  <c r="M17" i="7"/>
  <c r="AA18" i="7"/>
  <c r="J18" i="7"/>
  <c r="AC18" i="7"/>
  <c r="E15" i="7"/>
  <c r="E17" i="7" s="1"/>
  <c r="X18" i="7"/>
  <c r="V18" i="7"/>
  <c r="U18" i="7"/>
  <c r="W18" i="7"/>
  <c r="M10" i="7"/>
  <c r="D8" i="7"/>
  <c r="C8" i="7" s="1"/>
  <c r="O18" i="7"/>
  <c r="P18" i="7"/>
  <c r="Q18" i="7"/>
  <c r="D13" i="7"/>
  <c r="C13" i="7" s="1"/>
  <c r="C6" i="7"/>
  <c r="L10" i="7"/>
  <c r="D14" i="7"/>
  <c r="C14" i="7" s="1"/>
  <c r="D7" i="7"/>
  <c r="E9" i="7"/>
  <c r="T17" i="7"/>
  <c r="T18" i="7" s="1"/>
  <c r="H10" i="7"/>
  <c r="H18" i="7" s="1"/>
  <c r="D9" i="7"/>
  <c r="G19" i="13"/>
  <c r="AL45" i="15"/>
  <c r="E14" i="1"/>
  <c r="E15" i="1" s="1"/>
  <c r="H19" i="13" s="1"/>
  <c r="N18" i="7"/>
  <c r="E5" i="1"/>
  <c r="AJ45" i="15"/>
  <c r="F19" i="13"/>
  <c r="AK46" i="15"/>
  <c r="F18" i="13"/>
  <c r="R18" i="7"/>
  <c r="G18" i="13"/>
  <c r="E11" i="1"/>
  <c r="E12" i="1" s="1"/>
  <c r="H18" i="13" s="1"/>
  <c r="K18" i="7"/>
  <c r="M18" i="7" l="1"/>
  <c r="C15" i="7"/>
  <c r="L18" i="7"/>
  <c r="D17" i="7"/>
  <c r="C17" i="7" s="1"/>
  <c r="E18" i="1" s="1"/>
  <c r="I18" i="13" s="1"/>
  <c r="I20" i="13" s="1"/>
  <c r="C9" i="7"/>
  <c r="D10" i="7"/>
  <c r="E10" i="7"/>
  <c r="E18" i="7" s="1"/>
  <c r="C7" i="7"/>
  <c r="G20" i="13"/>
  <c r="G25" i="13" s="1"/>
  <c r="H20" i="13"/>
  <c r="E13" i="1"/>
  <c r="F13" i="1" s="1"/>
  <c r="F20" i="13"/>
  <c r="F25" i="13" s="1"/>
  <c r="AJ46" i="15"/>
  <c r="AJ48" i="15" s="1"/>
  <c r="AK48" i="15"/>
  <c r="AL46" i="15"/>
  <c r="AL48" i="15" s="1"/>
  <c r="AM48" i="15"/>
  <c r="E16" i="1"/>
  <c r="F16" i="1" s="1"/>
  <c r="E6" i="1"/>
  <c r="M19" i="13"/>
  <c r="L19" i="13" s="1"/>
  <c r="F18" i="1" l="1"/>
  <c r="D18" i="7"/>
  <c r="C18" i="7" s="1"/>
  <c r="C10" i="7"/>
  <c r="E17" i="1" s="1"/>
  <c r="F17" i="1" s="1"/>
  <c r="E10" i="1"/>
  <c r="J18" i="13" l="1"/>
  <c r="J20" i="13" s="1"/>
  <c r="E19" i="1"/>
  <c r="E20" i="1" s="1"/>
  <c r="E26" i="1" s="1"/>
  <c r="F10" i="1"/>
  <c r="E28" i="1"/>
  <c r="K18" i="13" s="1"/>
  <c r="F20" i="1" l="1"/>
  <c r="F19" i="1"/>
  <c r="K20" i="13"/>
  <c r="M18" i="13"/>
  <c r="E29" i="1"/>
  <c r="F26" i="1"/>
  <c r="M20" i="13" l="1"/>
  <c r="L20" i="13" s="1"/>
  <c r="L18" i="13"/>
  <c r="E33" i="1"/>
  <c r="F33" i="1" s="1"/>
  <c r="F29" i="1"/>
  <c r="M25" i="13" l="1"/>
  <c r="L25" i="13" s="1"/>
</calcChain>
</file>

<file path=xl/comments1.xml><?xml version="1.0" encoding="utf-8"?>
<comments xmlns="http://schemas.openxmlformats.org/spreadsheetml/2006/main">
  <authors>
    <author>lg</author>
  </authors>
  <commentList>
    <comment ref="F3" authorId="0" shapeId="0">
      <text>
        <r>
          <rPr>
            <sz val="9"/>
            <color indexed="81"/>
            <rFont val="돋움"/>
            <family val="3"/>
            <charset val="129"/>
          </rPr>
          <t>위엠비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sharedStrings.xml><?xml version="1.0" encoding="utf-8"?>
<sst xmlns="http://schemas.openxmlformats.org/spreadsheetml/2006/main" count="774" uniqueCount="540">
  <si>
    <t>구분</t>
    <phoneticPr fontId="7" type="noConversion"/>
  </si>
  <si>
    <t>개_중</t>
  </si>
  <si>
    <t>개_고</t>
  </si>
  <si>
    <t>상무</t>
  </si>
  <si>
    <t>이사</t>
  </si>
  <si>
    <t>사원</t>
  </si>
  <si>
    <t>컨_특</t>
  </si>
  <si>
    <t>컨_고</t>
  </si>
  <si>
    <t>컨_중</t>
  </si>
  <si>
    <t>컨_초</t>
  </si>
  <si>
    <t>개_초</t>
  </si>
  <si>
    <t>개_특</t>
  </si>
  <si>
    <t>단가</t>
    <phoneticPr fontId="7" type="noConversion"/>
  </si>
  <si>
    <r>
      <t>2월</t>
    </r>
    <r>
      <rPr>
        <sz val="10"/>
        <rFont val="돋움"/>
        <family val="3"/>
        <charset val="129"/>
      </rPr>
      <t/>
    </r>
  </si>
  <si>
    <r>
      <t>3월</t>
    </r>
    <r>
      <rPr>
        <sz val="10"/>
        <rFont val="돋움"/>
        <family val="3"/>
        <charset val="129"/>
      </rPr>
      <t/>
    </r>
  </si>
  <si>
    <r>
      <t>4월</t>
    </r>
    <r>
      <rPr>
        <sz val="10"/>
        <rFont val="돋움"/>
        <family val="3"/>
        <charset val="129"/>
      </rPr>
      <t/>
    </r>
  </si>
  <si>
    <r>
      <t>5월</t>
    </r>
    <r>
      <rPr>
        <sz val="10"/>
        <rFont val="돋움"/>
        <family val="3"/>
        <charset val="129"/>
      </rPr>
      <t/>
    </r>
  </si>
  <si>
    <r>
      <t>6월</t>
    </r>
    <r>
      <rPr>
        <sz val="10"/>
        <rFont val="돋움"/>
        <family val="3"/>
        <charset val="129"/>
      </rPr>
      <t/>
    </r>
  </si>
  <si>
    <r>
      <t>7월</t>
    </r>
    <r>
      <rPr>
        <sz val="10"/>
        <rFont val="돋움"/>
        <family val="3"/>
        <charset val="129"/>
      </rPr>
      <t/>
    </r>
  </si>
  <si>
    <r>
      <t>8월</t>
    </r>
    <r>
      <rPr>
        <sz val="10"/>
        <rFont val="돋움"/>
        <family val="3"/>
        <charset val="129"/>
      </rPr>
      <t/>
    </r>
  </si>
  <si>
    <r>
      <t>9월</t>
    </r>
    <r>
      <rPr>
        <sz val="10"/>
        <rFont val="돋움"/>
        <family val="3"/>
        <charset val="129"/>
      </rPr>
      <t/>
    </r>
  </si>
  <si>
    <r>
      <t>10월</t>
    </r>
    <r>
      <rPr>
        <sz val="10"/>
        <rFont val="돋움"/>
        <family val="3"/>
        <charset val="129"/>
      </rPr>
      <t/>
    </r>
  </si>
  <si>
    <r>
      <t>11월</t>
    </r>
    <r>
      <rPr>
        <sz val="10"/>
        <rFont val="돋움"/>
        <family val="3"/>
        <charset val="129"/>
      </rPr>
      <t/>
    </r>
  </si>
  <si>
    <r>
      <t>12월</t>
    </r>
    <r>
      <rPr>
        <sz val="10"/>
        <rFont val="돋움"/>
        <family val="3"/>
        <charset val="129"/>
      </rPr>
      <t/>
    </r>
  </si>
  <si>
    <t>내부단가</t>
    <phoneticPr fontId="7" type="noConversion"/>
  </si>
  <si>
    <t>투입예정 1주일 전</t>
  </si>
  <si>
    <t>투입예정 2개월 전</t>
  </si>
  <si>
    <t>투입예정 1개월 전</t>
  </si>
  <si>
    <t>납품 1개월 전</t>
  </si>
  <si>
    <t>사용일 전</t>
  </si>
  <si>
    <t xml:space="preserve">    ▶ PM/사업본부장
        자체 확정</t>
  </si>
  <si>
    <t>■ 인력 확정</t>
  </si>
  <si>
    <t>□ PM 전결(웹메일)</t>
  </si>
  <si>
    <t>■ 협력업체 인력 구성</t>
    <phoneticPr fontId="7" type="noConversion"/>
  </si>
  <si>
    <t xml:space="preserve">    ▶ 팀원 구성
    ▶ 수지차 확정</t>
    <phoneticPr fontId="7" type="noConversion"/>
  </si>
  <si>
    <t>요청 후</t>
    <phoneticPr fontId="7" type="noConversion"/>
  </si>
  <si>
    <t>■ 수지표의 월별 회식/접대비 예산초과 사용</t>
    <phoneticPr fontId="7" type="noConversion"/>
  </si>
  <si>
    <t>⊙ 견적서(초안) : 협력업체 용역, 상품
⊙ 인력 Profile</t>
    <phoneticPr fontId="7" type="noConversion"/>
  </si>
  <si>
    <t>■ 팀원 워크샵</t>
    <phoneticPr fontId="7" type="noConversion"/>
  </si>
  <si>
    <t>□ Site별 Template에 맞는 SOW</t>
    <phoneticPr fontId="7" type="noConversion"/>
  </si>
  <si>
    <t>□ 없음 : PM 및 팀원</t>
  </si>
  <si>
    <t>컨설팅</t>
  </si>
  <si>
    <t>외주_개발</t>
  </si>
  <si>
    <t>외주_컨설팅</t>
  </si>
  <si>
    <t>위엠비_개발</t>
  </si>
  <si>
    <t>위엠비
직급</t>
    <phoneticPr fontId="7" type="noConversion"/>
  </si>
  <si>
    <t>위엠비_컨설팅</t>
  </si>
  <si>
    <t>차년</t>
    <phoneticPr fontId="7" type="noConversion"/>
  </si>
  <si>
    <r>
      <t>10월</t>
    </r>
    <r>
      <rPr>
        <sz val="10"/>
        <rFont val="돋움"/>
        <family val="3"/>
        <charset val="129"/>
      </rPr>
      <t/>
    </r>
    <phoneticPr fontId="7" type="noConversion"/>
  </si>
  <si>
    <t>□ 경영관리부장 -&gt;  기술본부장
    ▷참조 : PMO그룹장, 사업본부장</t>
  </si>
  <si>
    <t>□ 요청 : 사업본부장 -&gt; 기술본부장(웹메일)</t>
  </si>
  <si>
    <t>□ 제공 : 기술본부장 -&gt;사업본부장(웹메일)</t>
  </si>
  <si>
    <t>□ 경영관리부장 -&gt; 기술본부장 -&gt; 대표이사
    ▷협의 : PM, 사업본부장</t>
  </si>
  <si>
    <t>□ PM -&gt; 사업본부장 -&gt; 기술본부장 -&gt; 대표이사
    ▷참조 : 경영관리부장</t>
  </si>
  <si>
    <t>□ 경영관리부장 -&gt; 기술본부장 -&gt; 대표이사
    ▷참조 : PM, 사업본부장</t>
  </si>
  <si>
    <t>□ 경영관리부장 전결(웹메일)</t>
  </si>
  <si>
    <t>□ 경영관리부장이 업체별 발주 요청
□ 발주서 타당성 검토
    ▷ 상기 수지표와 검증</t>
  </si>
  <si>
    <t>□ 제공(웹메일) : 기술본부장 -&gt; PM
□ 확정(웹메일) : PM -&gt; 기술본부장</t>
    <phoneticPr fontId="7" type="noConversion"/>
  </si>
  <si>
    <t>□ PM -&gt; PMO그룹장 -&gt; 대표이사</t>
  </si>
  <si>
    <t>□ PM -&gt; PMO그룹장 -&gt; 대표이사</t>
    <phoneticPr fontId="7" type="noConversion"/>
  </si>
  <si>
    <t>⊙ RFP, 제안서
⊙ 견적서
⊙ 수지표</t>
    <phoneticPr fontId="7" type="noConversion"/>
  </si>
  <si>
    <t xml:space="preserve">□ 참석자: PM, PMO그룹장, 
               기술본부장,경영관리본부
□ 계약여부, 계약금액 최종결정
</t>
    <phoneticPr fontId="7" type="noConversion"/>
  </si>
  <si>
    <t>계약 직후</t>
    <phoneticPr fontId="7" type="noConversion"/>
  </si>
  <si>
    <t>⊙ 수지표(대비)</t>
    <phoneticPr fontId="7" type="noConversion"/>
  </si>
  <si>
    <t>□ 기술인력지원요청서 양식사용</t>
    <phoneticPr fontId="7" type="noConversion"/>
  </si>
  <si>
    <t>□ PM-&gt;PMO그룹장-&gt;기술본부장-&gt;대표이사
    ▷합의: (사업본부장),경영관리부장</t>
    <phoneticPr fontId="7" type="noConversion"/>
  </si>
  <si>
    <t>프로젝트 수행 프로세스</t>
    <phoneticPr fontId="7" type="noConversion"/>
  </si>
  <si>
    <t>액티비티</t>
    <phoneticPr fontId="7" type="noConversion"/>
  </si>
  <si>
    <t>시점</t>
    <phoneticPr fontId="7" type="noConversion"/>
  </si>
  <si>
    <t>결재라인</t>
    <phoneticPr fontId="7" type="noConversion"/>
  </si>
  <si>
    <t>비고</t>
    <phoneticPr fontId="7" type="noConversion"/>
  </si>
  <si>
    <t>첨부자료</t>
    <phoneticPr fontId="7" type="noConversion"/>
  </si>
  <si>
    <t>[ 사전영업지원 ]</t>
    <phoneticPr fontId="7" type="noConversion"/>
  </si>
  <si>
    <t>■ 영업지원요청</t>
    <phoneticPr fontId="7" type="noConversion"/>
  </si>
  <si>
    <t>기술본부 
인력지원필요시</t>
    <phoneticPr fontId="7" type="noConversion"/>
  </si>
  <si>
    <t>□ 영업대표-&gt;사업본부장-&gt;PMO그룹장-&gt;기술본부장</t>
    <phoneticPr fontId="7" type="noConversion"/>
  </si>
  <si>
    <t>[ 제안 ]</t>
    <phoneticPr fontId="7" type="noConversion"/>
  </si>
  <si>
    <t>■ 제안팀 구성 및
   발령 요청</t>
    <phoneticPr fontId="7" type="noConversion"/>
  </si>
  <si>
    <t>RFP 수령 전/후</t>
    <phoneticPr fontId="7" type="noConversion"/>
  </si>
  <si>
    <t>□  사업본부장 전결(웹메일)
    ▷참조 : 경영관리부장, 제안팀원</t>
    <phoneticPr fontId="7" type="noConversion"/>
  </si>
  <si>
    <t>□ PMO그룹장, 기술본부장, 
    대표이사 사전 협의
□ 프로젝트 수행 직원 : PM사전협의</t>
    <phoneticPr fontId="7" type="noConversion"/>
  </si>
  <si>
    <t>■ 제안팀 발령</t>
    <phoneticPr fontId="7" type="noConversion"/>
  </si>
  <si>
    <t>발령요청 시</t>
    <phoneticPr fontId="7" type="noConversion"/>
  </si>
  <si>
    <t>□ 게시판 공지
    ▷ 사내게시판 : 인사(프로젝트팀)</t>
    <phoneticPr fontId="7" type="noConversion"/>
  </si>
  <si>
    <t xml:space="preserve">    ▶사업본부장 확정</t>
    <phoneticPr fontId="7" type="noConversion"/>
  </si>
  <si>
    <t>□ 사업본부장 전결</t>
    <phoneticPr fontId="7" type="noConversion"/>
  </si>
  <si>
    <t xml:space="preserve">    ▶ 인력수배 요청</t>
    <phoneticPr fontId="7" type="noConversion"/>
  </si>
  <si>
    <t>⊙ 인력요청서</t>
    <phoneticPr fontId="7" type="noConversion"/>
  </si>
  <si>
    <t xml:space="preserve">    ▶ 인력수배 확정</t>
    <phoneticPr fontId="7" type="noConversion"/>
  </si>
  <si>
    <t>인력수배 요청 후</t>
    <phoneticPr fontId="7" type="noConversion"/>
  </si>
  <si>
    <t>■ 제안심사 소위</t>
    <phoneticPr fontId="7" type="noConversion"/>
  </si>
  <si>
    <t>제안서 제출전</t>
    <phoneticPr fontId="7" type="noConversion"/>
  </si>
  <si>
    <t>□ 영업대표 발의(업무연락 공지)</t>
    <phoneticPr fontId="7" type="noConversion"/>
  </si>
  <si>
    <t>□ 참석자: PM, PMO그룹장, 
               기술본부장,경영관리본부
□ 제안여부, 제안금액 결정</t>
    <phoneticPr fontId="7" type="noConversion"/>
  </si>
  <si>
    <t>[ 계약 ]</t>
    <phoneticPr fontId="7" type="noConversion"/>
  </si>
  <si>
    <t>■ 계약내용검토</t>
    <phoneticPr fontId="7" type="noConversion"/>
  </si>
  <si>
    <t>계약 전</t>
    <phoneticPr fontId="7" type="noConversion"/>
  </si>
  <si>
    <t>□ 영업대표/PM 발의</t>
    <phoneticPr fontId="7" type="noConversion"/>
  </si>
  <si>
    <t>⊙ 계약서 초안
⊙ 내역서(과업지시서 or SOW) 초안
⊙ 기술협상서
⊙ 수지표(협상결과에 따른 조정)</t>
    <phoneticPr fontId="7" type="noConversion"/>
  </si>
  <si>
    <t>[ 프로젝트 수주 품의 ]</t>
    <phoneticPr fontId="7" type="noConversion"/>
  </si>
  <si>
    <t>■ 수주 품의</t>
    <phoneticPr fontId="7" type="noConversion"/>
  </si>
  <si>
    <t>□ 영업대표-&gt;(합의)-&gt;사업본부장-&gt;경영관리부장-&gt;대표이사
    ▷합의 : PM, PMO그룹장, 기술본부장</t>
    <phoneticPr fontId="7" type="noConversion"/>
  </si>
  <si>
    <t>⊙ 계약서
⊙ 내역서(과업지시서 or SOW)
⊙ 기술협상서
⊙ 수지표 : 확정분</t>
    <phoneticPr fontId="7" type="noConversion"/>
  </si>
  <si>
    <t>[ 프로젝트 사전 준비 ]</t>
    <phoneticPr fontId="7" type="noConversion"/>
  </si>
  <si>
    <t>프로젝트 착수 전</t>
    <phoneticPr fontId="7" type="noConversion"/>
  </si>
  <si>
    <t>□ PM 전결(웹메일)</t>
    <phoneticPr fontId="7" type="noConversion"/>
  </si>
  <si>
    <t xml:space="preserve">□ 당사 직원 및 협력업체 참여 가능
□ 예산 :  사전승인 원칙
□ 경비정산 : 프로젝트 수행경비로 계산 </t>
    <phoneticPr fontId="7" type="noConversion"/>
  </si>
  <si>
    <t>⊙ 회식/접대비 사전승인 신청서</t>
    <phoneticPr fontId="7" type="noConversion"/>
  </si>
  <si>
    <t>■ 제안서 숙지</t>
    <phoneticPr fontId="7" type="noConversion"/>
  </si>
  <si>
    <t>□ 없음 : PM 및 팀원</t>
    <phoneticPr fontId="7" type="noConversion"/>
  </si>
  <si>
    <t>□ 제안범위
□ Site별 방법론 등</t>
    <phoneticPr fontId="7" type="noConversion"/>
  </si>
  <si>
    <t>■ 수지차 공유</t>
    <phoneticPr fontId="7" type="noConversion"/>
  </si>
  <si>
    <t>□ 없음 : PM 및 사업본부장</t>
    <phoneticPr fontId="7" type="noConversion"/>
  </si>
  <si>
    <t>■ WBS</t>
    <phoneticPr fontId="7" type="noConversion"/>
  </si>
  <si>
    <t>□ 일정 : 단계-타스크- 액티비티-산출물
□ 산출물 Template : Site별-업무별 Template
□ R&amp;R 정의</t>
    <phoneticPr fontId="7" type="noConversion"/>
  </si>
  <si>
    <t>■ SOW</t>
    <phoneticPr fontId="7" type="noConversion"/>
  </si>
  <si>
    <t>■ 품질보증계획서</t>
    <phoneticPr fontId="7" type="noConversion"/>
  </si>
  <si>
    <t>□ Site별 Template에 맞는 품질보증계획서</t>
    <phoneticPr fontId="7" type="noConversion"/>
  </si>
  <si>
    <t>■ 프로젝트 수행계획서</t>
    <phoneticPr fontId="7" type="noConversion"/>
  </si>
  <si>
    <t>□ Site별 Template에 맞는 수행계획서</t>
    <phoneticPr fontId="7" type="noConversion"/>
  </si>
  <si>
    <t>■ 프로젝트 관리용 시스템</t>
    <phoneticPr fontId="7" type="noConversion"/>
  </si>
  <si>
    <t>□ 장비 : 서버, 프린터, 빔프로젝터 등</t>
    <phoneticPr fontId="7" type="noConversion"/>
  </si>
  <si>
    <t>■ 각종 증명서</t>
    <phoneticPr fontId="7" type="noConversion"/>
  </si>
  <si>
    <r>
      <rPr>
        <b/>
        <u/>
        <sz val="10"/>
        <color indexed="10"/>
        <rFont val="나눔고딕"/>
        <family val="3"/>
        <charset val="129"/>
      </rPr>
      <t>□ 프로세스 숙지</t>
    </r>
    <r>
      <rPr>
        <sz val="10"/>
        <rFont val="나눔고딕"/>
        <family val="3"/>
        <charset val="129"/>
      </rPr>
      <t xml:space="preserve">
□ 인력계획
□ 경비예산 등</t>
    </r>
    <phoneticPr fontId="7" type="noConversion"/>
  </si>
  <si>
    <t>□ Site별 사전 조사 필요
    ▷ 재직증명서
    ▷ 기술경력증명서
    ▷ 신원보증서
    ▷ 출입증 발급서류 등</t>
    <phoneticPr fontId="7" type="noConversion"/>
  </si>
  <si>
    <t>[ 변경 요청 ]</t>
    <phoneticPr fontId="7" type="noConversion"/>
  </si>
  <si>
    <t>■ 변경 요청</t>
    <phoneticPr fontId="7" type="noConversion"/>
  </si>
  <si>
    <t>손익 변경 예상시</t>
    <phoneticPr fontId="7" type="noConversion"/>
  </si>
  <si>
    <t>[ 당사인력 투입 ]</t>
    <phoneticPr fontId="7" type="noConversion"/>
  </si>
  <si>
    <t>■ 제안시점 확정</t>
    <phoneticPr fontId="7" type="noConversion"/>
  </si>
  <si>
    <t xml:space="preserve">    ▶ 요청</t>
    <phoneticPr fontId="7" type="noConversion"/>
  </si>
  <si>
    <t>□ PM -&gt; 사업본부장 -&gt; 기술본부장 -&gt; 대표이사
    ▷협의 : PMO그룹장
    ▷참조 : 경영관리부장</t>
    <phoneticPr fontId="7" type="noConversion"/>
  </si>
  <si>
    <t>⊙ 수지표 : 인력계획-투입구분 = 투입(정상)</t>
    <phoneticPr fontId="7" type="noConversion"/>
  </si>
  <si>
    <t xml:space="preserve">    ▶ 발령</t>
    <phoneticPr fontId="7" type="noConversion"/>
  </si>
  <si>
    <t>□ 경영관리부장 -&gt; 기술본부장 -&gt; 대표이사
    ▷협의 : PMO그룹장, 사업본부장</t>
    <phoneticPr fontId="7" type="noConversion"/>
  </si>
  <si>
    <t>■ 변경/추가 투입</t>
    <phoneticPr fontId="7" type="noConversion"/>
  </si>
  <si>
    <t>요건발생 즉시</t>
    <phoneticPr fontId="7" type="noConversion"/>
  </si>
  <si>
    <t>□ 변경/추가투입 인력에 대한 사전 협의 필요
    ▷요청 : PM, 사업본부장
    ▷협의 : PMO그룹장,
                 기술본부장, 대표이사</t>
    <phoneticPr fontId="7" type="noConversion"/>
  </si>
  <si>
    <t>⊙ 수지표 : 인력계획-투입구분 = 투입(*)</t>
    <phoneticPr fontId="7" type="noConversion"/>
  </si>
  <si>
    <t>[ 외주인력 투입 ]</t>
    <phoneticPr fontId="7" type="noConversion"/>
  </si>
  <si>
    <t>■ 인력 수배(수주품의시 미확정/변경 인력)</t>
    <phoneticPr fontId="7" type="noConversion"/>
  </si>
  <si>
    <t>□ PM 전결(웹메일)
    단, PM 투입전에는 사업본부장이 요청</t>
    <phoneticPr fontId="7" type="noConversion"/>
  </si>
  <si>
    <t>□ 기술본부에 인력수배 요청
    ▷ From : PM =&gt;To 기술본부장</t>
    <phoneticPr fontId="7" type="noConversion"/>
  </si>
  <si>
    <t>⊙ 수지표 : 인력계획-투입구분 = 인력수배</t>
    <phoneticPr fontId="7" type="noConversion"/>
  </si>
  <si>
    <t xml:space="preserve">    ▶ 인력수배</t>
    <phoneticPr fontId="7" type="noConversion"/>
  </si>
  <si>
    <t>인력수배 요청 시</t>
    <phoneticPr fontId="7" type="noConversion"/>
  </si>
  <si>
    <t>□ 기술본부장 전결(웹메일)</t>
    <phoneticPr fontId="7" type="noConversion"/>
  </si>
  <si>
    <t>□ 협력업체에 해당인력 수배
    ▷ From : 인력공급본부장 =&gt;To 협력업체</t>
    <phoneticPr fontId="7" type="noConversion"/>
  </si>
  <si>
    <t>X</t>
    <phoneticPr fontId="7" type="noConversion"/>
  </si>
  <si>
    <t>□ PM : 인력 적정성(능력, 태도, 가격 등) 검토
           및 확정</t>
    <phoneticPr fontId="7" type="noConversion"/>
  </si>
  <si>
    <t>⊙ 인력 Profile(단가 포함)</t>
    <phoneticPr fontId="7" type="noConversion"/>
  </si>
  <si>
    <t xml:space="preserve">    ▶ 제안시점 확정</t>
    <phoneticPr fontId="7" type="noConversion"/>
  </si>
  <si>
    <t>□ 외주인력 계약요청으로 갈음</t>
    <phoneticPr fontId="7" type="noConversion"/>
  </si>
  <si>
    <r>
      <t xml:space="preserve">□ 외주인력 계약요청으로 갈음
</t>
    </r>
    <r>
      <rPr>
        <b/>
        <sz val="10"/>
        <color indexed="10"/>
        <rFont val="나눔고딕"/>
        <family val="3"/>
        <charset val="129"/>
      </rPr>
      <t xml:space="preserve">    단, 수지차의 조달단가를 초과한 경우
    투입 1개월 전에 전략기획본부 협의
    =&gt; 가격 재협상/인력 재수배 검토</t>
    </r>
    <phoneticPr fontId="7" type="noConversion"/>
  </si>
  <si>
    <t>■ 계약 요청</t>
    <phoneticPr fontId="7" type="noConversion"/>
  </si>
  <si>
    <t>□ 대금지급 방법 : 원계약 조건 준수
□ 프리랜서 지양
    ▷ 월지급에 따른 자금 부담 완화</t>
    <phoneticPr fontId="7" type="noConversion"/>
  </si>
  <si>
    <t>■ 계약</t>
    <phoneticPr fontId="7" type="noConversion"/>
  </si>
  <si>
    <t>투입 후 2주일 이내</t>
    <phoneticPr fontId="7" type="noConversion"/>
  </si>
  <si>
    <t>⊙ 수지표 : 인력계획-투입구분 = 투입(*)
⊙ 계약서</t>
    <phoneticPr fontId="7" type="noConversion"/>
  </si>
  <si>
    <t>[ 상품 구매 계약 ]</t>
    <phoneticPr fontId="7" type="noConversion"/>
  </si>
  <si>
    <t>■ 발주 요청</t>
    <phoneticPr fontId="7" type="noConversion"/>
  </si>
  <si>
    <t>□ PM -&gt; 사업본부장 -&gt; 기술본부장 -&gt; 대표이사
    ▷참조 : 경영관리부장</t>
    <phoneticPr fontId="7" type="noConversion"/>
  </si>
  <si>
    <r>
      <t xml:space="preserve">□ 수지표의 제품계획/견적서 기준 
</t>
    </r>
    <r>
      <rPr>
        <sz val="10"/>
        <color indexed="30"/>
        <rFont val="나눔고딕"/>
        <family val="3"/>
        <charset val="129"/>
      </rPr>
      <t xml:space="preserve">    단, 원가변동 발생시 사전협의 필요</t>
    </r>
    <phoneticPr fontId="7" type="noConversion"/>
  </si>
  <si>
    <t>⊙ 수지표 : 제품계획-요청구분 = 계약(*)</t>
    <phoneticPr fontId="7" type="noConversion"/>
  </si>
  <si>
    <t>■ 발주 의뢰</t>
    <phoneticPr fontId="7" type="noConversion"/>
  </si>
  <si>
    <t>발주 요청 접수 후</t>
    <phoneticPr fontId="7" type="noConversion"/>
  </si>
  <si>
    <t>납품 후 1주일 이내</t>
    <phoneticPr fontId="7" type="noConversion"/>
  </si>
  <si>
    <t>[ 프로젝트 경비 ]</t>
    <phoneticPr fontId="7" type="noConversion"/>
  </si>
  <si>
    <t>■ 수지표의 월별 회식/접대비 예산이내 사용</t>
    <phoneticPr fontId="7" type="noConversion"/>
  </si>
  <si>
    <t xml:space="preserve">    ▶ 건별 30만원 이내</t>
    <phoneticPr fontId="7" type="noConversion"/>
  </si>
  <si>
    <t xml:space="preserve">    ▶ 건별 30만원 이상</t>
    <phoneticPr fontId="7" type="noConversion"/>
  </si>
  <si>
    <t xml:space="preserve">    ▶ 사용 건별</t>
    <phoneticPr fontId="7" type="noConversion"/>
  </si>
  <si>
    <t>□ PM -&gt;  PMO그룹장 -&gt; 대표이사</t>
    <phoneticPr fontId="7" type="noConversion"/>
  </si>
  <si>
    <t>■ 야근식대/야근교통비</t>
    <phoneticPr fontId="7" type="noConversion"/>
  </si>
  <si>
    <t>사용 익월초</t>
    <phoneticPr fontId="7" type="noConversion"/>
  </si>
  <si>
    <t>□ PM -&gt; PMO그룹장</t>
    <phoneticPr fontId="7" type="noConversion"/>
  </si>
  <si>
    <t>□ 외주인력 계약내용 준수
    ▷ 미지급 대상자(계약조건 확인) 지급 금지</t>
    <phoneticPr fontId="7" type="noConversion"/>
  </si>
  <si>
    <t>⊙ 경비 정산서
⊙ 야근식대 정산서</t>
    <phoneticPr fontId="7" type="noConversion"/>
  </si>
  <si>
    <t>[ 프로젝트 주간보고 ]</t>
    <phoneticPr fontId="7" type="noConversion"/>
  </si>
  <si>
    <t>■ 주간보고</t>
    <phoneticPr fontId="7" type="noConversion"/>
  </si>
  <si>
    <t>매주 금요일</t>
    <phoneticPr fontId="7" type="noConversion"/>
  </si>
  <si>
    <t>□ PM PMO그룹장
    ▷참조 : 사업본부장, 기술본부장</t>
    <phoneticPr fontId="7" type="noConversion"/>
  </si>
  <si>
    <t>□ 팀원별 수행결과
    ▷ 프로젝트 근태/결과물에 대한 평가
□ 이슈관리
    ▷ 누적관리 =&gt; 종료 후 활용 가능하게….</t>
    <phoneticPr fontId="7" type="noConversion"/>
  </si>
  <si>
    <t>⊙ 프로젝트 주간 보고서</t>
    <phoneticPr fontId="7" type="noConversion"/>
  </si>
  <si>
    <t>[ 휴가 ]</t>
    <phoneticPr fontId="7" type="noConversion"/>
  </si>
  <si>
    <t>■ PM</t>
    <phoneticPr fontId="7" type="noConversion"/>
  </si>
  <si>
    <t>휴가 전</t>
    <phoneticPr fontId="7" type="noConversion"/>
  </si>
  <si>
    <t>□ PM -&gt; PMO그룹장
    ▷참조 : 영업부장, 사업본부장,
                 경영관리부장, 기술본부장, 대표이사</t>
    <phoneticPr fontId="7" type="noConversion"/>
  </si>
  <si>
    <t>□ 미제출 시 무단결근 처리</t>
    <phoneticPr fontId="7" type="noConversion"/>
  </si>
  <si>
    <t>⊙ 휴가계획서</t>
    <phoneticPr fontId="7" type="noConversion"/>
  </si>
  <si>
    <t>■ 팀원</t>
    <phoneticPr fontId="7" type="noConversion"/>
  </si>
  <si>
    <t>□ 팀원 -&gt; PM -&gt; PMO그룹장
    ▷참조 : 영업부장, 사업본부장,
                 경영관리부장, 기술본부장, 대표이사</t>
    <phoneticPr fontId="7" type="noConversion"/>
  </si>
  <si>
    <t>[ 프로젝트 종료보고 ]</t>
    <phoneticPr fontId="7" type="noConversion"/>
  </si>
  <si>
    <t>■ 종료보고</t>
    <phoneticPr fontId="7" type="noConversion"/>
  </si>
  <si>
    <t>종료후 2주일 이내</t>
    <phoneticPr fontId="7" type="noConversion"/>
  </si>
  <si>
    <t>⊙ 프로젝트 종료 보고서
⊙ 계획대비 정산서</t>
    <phoneticPr fontId="7" type="noConversion"/>
  </si>
  <si>
    <t>프로젝트 수주 품의</t>
    <phoneticPr fontId="7" type="noConversion"/>
  </si>
  <si>
    <t>[ 프로젝트 개요 ]</t>
    <phoneticPr fontId="7" type="noConversion"/>
  </si>
  <si>
    <t>고객명</t>
    <phoneticPr fontId="7" type="noConversion"/>
  </si>
  <si>
    <t>계약형태</t>
    <phoneticPr fontId="7" type="noConversion"/>
  </si>
  <si>
    <t>주사업자</t>
    <phoneticPr fontId="7" type="noConversion"/>
  </si>
  <si>
    <t>프로젝트명</t>
    <phoneticPr fontId="7" type="noConversion"/>
  </si>
  <si>
    <t>계약유형</t>
    <phoneticPr fontId="7" type="noConversion"/>
  </si>
  <si>
    <t>기타</t>
    <phoneticPr fontId="7" type="noConversion"/>
  </si>
  <si>
    <t>PM명</t>
    <phoneticPr fontId="7" type="noConversion"/>
  </si>
  <si>
    <t>수행장소</t>
    <phoneticPr fontId="7" type="noConversion"/>
  </si>
  <si>
    <t>개요</t>
    <phoneticPr fontId="7" type="noConversion"/>
  </si>
  <si>
    <t>특이사항</t>
    <phoneticPr fontId="7" type="noConversion"/>
  </si>
  <si>
    <t>Risk</t>
    <phoneticPr fontId="7" type="noConversion"/>
  </si>
  <si>
    <t>[ 수지표 요약 ]</t>
    <phoneticPr fontId="7" type="noConversion"/>
  </si>
  <si>
    <t xml:space="preserve"> * 자동 작성됨</t>
    <phoneticPr fontId="7" type="noConversion"/>
  </si>
  <si>
    <t>용역</t>
    <phoneticPr fontId="7" type="noConversion"/>
  </si>
  <si>
    <t>구분</t>
    <phoneticPr fontId="7" type="noConversion"/>
  </si>
  <si>
    <t>M/M</t>
    <phoneticPr fontId="7" type="noConversion"/>
  </si>
  <si>
    <t>기준가</t>
    <phoneticPr fontId="7" type="noConversion"/>
  </si>
  <si>
    <t>제안가</t>
    <phoneticPr fontId="7" type="noConversion"/>
  </si>
  <si>
    <t>내부원가</t>
    <phoneticPr fontId="7" type="noConversion"/>
  </si>
  <si>
    <t>지연비용</t>
    <phoneticPr fontId="7" type="noConversion"/>
  </si>
  <si>
    <t>특별경비</t>
    <phoneticPr fontId="7" type="noConversion"/>
  </si>
  <si>
    <t>일반경비</t>
    <phoneticPr fontId="7" type="noConversion"/>
  </si>
  <si>
    <t>수익률</t>
    <phoneticPr fontId="7" type="noConversion"/>
  </si>
  <si>
    <t>손익</t>
    <phoneticPr fontId="7" type="noConversion"/>
  </si>
  <si>
    <t>위엠비</t>
    <phoneticPr fontId="7" type="noConversion"/>
  </si>
  <si>
    <t>외주</t>
    <phoneticPr fontId="7" type="noConversion"/>
  </si>
  <si>
    <t>소계</t>
    <phoneticPr fontId="7" type="noConversion"/>
  </si>
  <si>
    <t>제품/상품</t>
    <phoneticPr fontId="7" type="noConversion"/>
  </si>
  <si>
    <t>원가</t>
    <phoneticPr fontId="7" type="noConversion"/>
  </si>
  <si>
    <t>합계</t>
    <phoneticPr fontId="7" type="noConversion"/>
  </si>
  <si>
    <t>[ 대금 조건 ]</t>
    <phoneticPr fontId="7" type="noConversion"/>
  </si>
  <si>
    <t>선급금</t>
    <phoneticPr fontId="7" type="noConversion"/>
  </si>
  <si>
    <t>비율(%)</t>
    <phoneticPr fontId="7" type="noConversion"/>
  </si>
  <si>
    <t>시기</t>
    <phoneticPr fontId="7" type="noConversion"/>
  </si>
  <si>
    <t>[ 협력 업체 ]</t>
    <phoneticPr fontId="7" type="noConversion"/>
  </si>
  <si>
    <t>업체명</t>
    <phoneticPr fontId="7" type="noConversion"/>
  </si>
  <si>
    <t>역할</t>
    <phoneticPr fontId="7" type="noConversion"/>
  </si>
  <si>
    <t>담당자</t>
    <phoneticPr fontId="7" type="noConversion"/>
  </si>
  <si>
    <t>연락처</t>
    <phoneticPr fontId="7" type="noConversion"/>
  </si>
  <si>
    <t>비고</t>
    <phoneticPr fontId="7" type="noConversion"/>
  </si>
  <si>
    <t>[ 영업 이력 ]</t>
    <phoneticPr fontId="7" type="noConversion"/>
  </si>
  <si>
    <t>수령일</t>
    <phoneticPr fontId="7" type="noConversion"/>
  </si>
  <si>
    <t>작성 시작일</t>
    <phoneticPr fontId="7" type="noConversion"/>
  </si>
  <si>
    <t>작성 종료일</t>
    <phoneticPr fontId="7" type="noConversion"/>
  </si>
  <si>
    <t>제출일</t>
    <phoneticPr fontId="7" type="noConversion"/>
  </si>
  <si>
    <t>발표일</t>
    <phoneticPr fontId="7" type="noConversion"/>
  </si>
  <si>
    <t>PM</t>
    <phoneticPr fontId="7" type="noConversion"/>
  </si>
  <si>
    <t>발표자</t>
    <phoneticPr fontId="7" type="noConversion"/>
  </si>
  <si>
    <t>팀원</t>
    <phoneticPr fontId="7" type="noConversion"/>
  </si>
  <si>
    <t>구       분</t>
    <phoneticPr fontId="7" type="noConversion"/>
  </si>
  <si>
    <t>금액</t>
    <phoneticPr fontId="7" type="noConversion"/>
  </si>
  <si>
    <t>지표</t>
    <phoneticPr fontId="7" type="noConversion"/>
  </si>
  <si>
    <t>금액 설명</t>
    <phoneticPr fontId="7" type="noConversion"/>
  </si>
  <si>
    <t>지표 설명</t>
    <phoneticPr fontId="7" type="noConversion"/>
  </si>
  <si>
    <t xml:space="preserve"> **색 표시란만 조정하세요!</t>
    <phoneticPr fontId="7" type="noConversion"/>
  </si>
  <si>
    <t>프
로
젝
트</t>
    <phoneticPr fontId="7" type="noConversion"/>
  </si>
  <si>
    <t>수주</t>
    <phoneticPr fontId="7" type="noConversion"/>
  </si>
  <si>
    <t>용역</t>
    <phoneticPr fontId="7" type="noConversion"/>
  </si>
  <si>
    <t>당사</t>
    <phoneticPr fontId="7" type="noConversion"/>
  </si>
  <si>
    <t>당사계약금액, 부가세 제외</t>
    <phoneticPr fontId="7" type="noConversion"/>
  </si>
  <si>
    <t>당사 평균 단가</t>
    <phoneticPr fontId="7" type="noConversion"/>
  </si>
  <si>
    <t>외주</t>
    <phoneticPr fontId="7" type="noConversion"/>
  </si>
  <si>
    <t>외주 평균 단가</t>
    <phoneticPr fontId="7" type="noConversion"/>
  </si>
  <si>
    <t>용역소계</t>
    <phoneticPr fontId="7" type="noConversion"/>
  </si>
  <si>
    <t>평균단가</t>
    <phoneticPr fontId="7" type="noConversion"/>
  </si>
  <si>
    <t>제품</t>
    <phoneticPr fontId="7" type="noConversion"/>
  </si>
  <si>
    <t>당사제품</t>
    <phoneticPr fontId="7" type="noConversion"/>
  </si>
  <si>
    <t>타사상품</t>
    <phoneticPr fontId="7" type="noConversion"/>
  </si>
  <si>
    <t>타사계약금액, 부가세 제외</t>
    <phoneticPr fontId="7" type="noConversion"/>
  </si>
  <si>
    <t>제품소계</t>
    <phoneticPr fontId="7" type="noConversion"/>
  </si>
  <si>
    <t>수주 합계</t>
    <phoneticPr fontId="7" type="noConversion"/>
  </si>
  <si>
    <t>부가가치세 제외된 가격</t>
    <phoneticPr fontId="7" type="noConversion"/>
  </si>
  <si>
    <t>용역
손익</t>
    <phoneticPr fontId="7" type="noConversion"/>
  </si>
  <si>
    <t>당사 원가 (-)</t>
    <phoneticPr fontId="7" type="noConversion"/>
  </si>
  <si>
    <t>당사 평균 원가(내부가격)</t>
    <phoneticPr fontId="7" type="noConversion"/>
  </si>
  <si>
    <t>지연 비용</t>
    <phoneticPr fontId="7" type="noConversion"/>
  </si>
  <si>
    <t>SM 계약인 경우에는 0%, 기타는 10% 적용</t>
    <phoneticPr fontId="7" type="noConversion"/>
  </si>
  <si>
    <t>손익 소계</t>
    <phoneticPr fontId="7" type="noConversion"/>
  </si>
  <si>
    <t xml:space="preserve">외주  </t>
    <phoneticPr fontId="7" type="noConversion"/>
  </si>
  <si>
    <t>외주 원가 (-)</t>
    <phoneticPr fontId="7" type="noConversion"/>
  </si>
  <si>
    <t>외주 평균 조달 원가</t>
    <phoneticPr fontId="7" type="noConversion"/>
  </si>
  <si>
    <t>Project 경비</t>
    <phoneticPr fontId="7" type="noConversion"/>
  </si>
  <si>
    <t>일반 경비</t>
    <phoneticPr fontId="7" type="noConversion"/>
  </si>
  <si>
    <t>특별 경비</t>
    <phoneticPr fontId="7" type="noConversion"/>
  </si>
  <si>
    <t>경비 소계</t>
    <phoneticPr fontId="7" type="noConversion"/>
  </si>
  <si>
    <t>용역 손익 합계</t>
    <phoneticPr fontId="7" type="noConversion"/>
  </si>
  <si>
    <t>용역 손익 / 용역 수주 합계</t>
    <phoneticPr fontId="7" type="noConversion"/>
  </si>
  <si>
    <t>제품
손익</t>
    <phoneticPr fontId="7" type="noConversion"/>
  </si>
  <si>
    <t>제품 원가</t>
    <phoneticPr fontId="7" type="noConversion"/>
  </si>
  <si>
    <t>제품원가 비율</t>
    <phoneticPr fontId="7" type="noConversion"/>
  </si>
  <si>
    <t>당사제품 손익 / 당사제품 수주금액</t>
    <phoneticPr fontId="7" type="noConversion"/>
  </si>
  <si>
    <t>타사</t>
    <phoneticPr fontId="7" type="noConversion"/>
  </si>
  <si>
    <t>상품 원가</t>
    <phoneticPr fontId="7" type="noConversion"/>
  </si>
  <si>
    <t>타사상품 손익 / 타사상품 수주금액</t>
    <phoneticPr fontId="7" type="noConversion"/>
  </si>
  <si>
    <t>제품 손익 합계</t>
    <phoneticPr fontId="7" type="noConversion"/>
  </si>
  <si>
    <t>제품손익/ 제품수주금액</t>
    <phoneticPr fontId="7" type="noConversion"/>
  </si>
  <si>
    <t>프로젝트 손익 합계</t>
    <phoneticPr fontId="7" type="noConversion"/>
  </si>
  <si>
    <t>수주합계 / 프로젝트 수익</t>
    <phoneticPr fontId="7" type="noConversion"/>
  </si>
  <si>
    <t>손익합계</t>
    <phoneticPr fontId="7" type="noConversion"/>
  </si>
  <si>
    <t>사업
손익</t>
    <phoneticPr fontId="7" type="noConversion"/>
  </si>
  <si>
    <t>당사 제품 원가 (+)</t>
    <phoneticPr fontId="7" type="noConversion"/>
  </si>
  <si>
    <t>사업 손익 합계</t>
    <phoneticPr fontId="7" type="noConversion"/>
  </si>
  <si>
    <t>사업손익 / 수주합계</t>
    <phoneticPr fontId="7" type="noConversion"/>
  </si>
  <si>
    <t>부가
수익</t>
    <phoneticPr fontId="7" type="noConversion"/>
  </si>
  <si>
    <t>부가 예상 수익 (+)</t>
    <phoneticPr fontId="7" type="noConversion"/>
  </si>
  <si>
    <t>부가 예상 비용 (-)</t>
    <phoneticPr fontId="7" type="noConversion"/>
  </si>
  <si>
    <t>SM 등 후속사업 예상 비용</t>
    <phoneticPr fontId="7" type="noConversion"/>
  </si>
  <si>
    <t>부가 수익 합계</t>
    <phoneticPr fontId="7" type="noConversion"/>
  </si>
  <si>
    <t>회사 손익 합계</t>
    <phoneticPr fontId="7" type="noConversion"/>
  </si>
  <si>
    <t>회사수익합계 / 수주합계</t>
    <phoneticPr fontId="7" type="noConversion"/>
  </si>
  <si>
    <t>[ 인 력   계 획 ]</t>
    <phoneticPr fontId="7" type="noConversion"/>
  </si>
  <si>
    <t xml:space="preserve"> **색 표시란만 조정하세요!</t>
    <phoneticPr fontId="7" type="noConversion"/>
  </si>
  <si>
    <t>(단위:천원)</t>
    <phoneticPr fontId="7" type="noConversion"/>
  </si>
  <si>
    <t>업무영역</t>
    <phoneticPr fontId="7" type="noConversion"/>
  </si>
  <si>
    <t>역할</t>
    <phoneticPr fontId="7" type="noConversion"/>
  </si>
  <si>
    <t>세부업무</t>
    <phoneticPr fontId="7" type="noConversion"/>
  </si>
  <si>
    <t>회사명</t>
    <phoneticPr fontId="7" type="noConversion"/>
  </si>
  <si>
    <t>소속 및 직군</t>
    <phoneticPr fontId="7" type="noConversion"/>
  </si>
  <si>
    <t>등급</t>
    <phoneticPr fontId="7" type="noConversion"/>
  </si>
  <si>
    <t>성명</t>
    <phoneticPr fontId="7" type="noConversion"/>
  </si>
  <si>
    <t>총투입   MM</t>
    <phoneticPr fontId="7" type="noConversion"/>
  </si>
  <si>
    <t>금액</t>
    <phoneticPr fontId="7" type="noConversion"/>
  </si>
  <si>
    <t>1월</t>
    <phoneticPr fontId="7" type="noConversion"/>
  </si>
  <si>
    <r>
      <t>5월</t>
    </r>
    <r>
      <rPr>
        <sz val="10"/>
        <rFont val="돋움"/>
        <family val="3"/>
        <charset val="129"/>
      </rPr>
      <t/>
    </r>
    <phoneticPr fontId="7" type="noConversion"/>
  </si>
  <si>
    <t>01월</t>
    <phoneticPr fontId="7" type="noConversion"/>
  </si>
  <si>
    <t>합계</t>
    <phoneticPr fontId="7" type="noConversion"/>
  </si>
  <si>
    <t>당년</t>
    <phoneticPr fontId="7" type="noConversion"/>
  </si>
  <si>
    <t>제안가</t>
    <phoneticPr fontId="7" type="noConversion"/>
  </si>
  <si>
    <t>소계</t>
    <phoneticPr fontId="7" type="noConversion"/>
  </si>
  <si>
    <t>합계(소계 자동 계산)</t>
    <phoneticPr fontId="7" type="noConversion"/>
  </si>
  <si>
    <t>[ 분석 : 업체별-등급별 매출 및 원가 ]</t>
    <phoneticPr fontId="7" type="noConversion"/>
  </si>
  <si>
    <t>당사</t>
    <phoneticPr fontId="7" type="noConversion"/>
  </si>
  <si>
    <t>당사 소계</t>
    <phoneticPr fontId="7" type="noConversion"/>
  </si>
  <si>
    <t>외주</t>
    <phoneticPr fontId="7" type="noConversion"/>
  </si>
  <si>
    <t>외주_컨설팅</t>
    <phoneticPr fontId="7" type="noConversion"/>
  </si>
  <si>
    <t>소계</t>
    <phoneticPr fontId="7" type="noConversion"/>
  </si>
  <si>
    <t>외주_개발</t>
    <phoneticPr fontId="7" type="noConversion"/>
  </si>
  <si>
    <t>개_특</t>
    <phoneticPr fontId="7" type="noConversion"/>
  </si>
  <si>
    <t>개_고</t>
    <phoneticPr fontId="7" type="noConversion"/>
  </si>
  <si>
    <t>개_중</t>
    <phoneticPr fontId="7" type="noConversion"/>
  </si>
  <si>
    <t>개_초</t>
    <phoneticPr fontId="7" type="noConversion"/>
  </si>
  <si>
    <t>외주 소계</t>
    <phoneticPr fontId="7" type="noConversion"/>
  </si>
  <si>
    <t>합계</t>
    <phoneticPr fontId="7" type="noConversion"/>
  </si>
  <si>
    <t>검증</t>
    <phoneticPr fontId="7" type="noConversion"/>
  </si>
  <si>
    <t>소계</t>
    <phoneticPr fontId="7" type="noConversion"/>
  </si>
  <si>
    <t>[ 제품/상품  계획 ]</t>
    <phoneticPr fontId="7" type="noConversion"/>
  </si>
  <si>
    <t>[ 제품/상품  발주 의뢰 ]</t>
    <phoneticPr fontId="7" type="noConversion"/>
  </si>
  <si>
    <t>(단위:천원)</t>
    <phoneticPr fontId="7" type="noConversion"/>
  </si>
  <si>
    <t>제품명</t>
    <phoneticPr fontId="7" type="noConversion"/>
  </si>
  <si>
    <t>매출</t>
    <phoneticPr fontId="7" type="noConversion"/>
  </si>
  <si>
    <t>매입</t>
    <phoneticPr fontId="7" type="noConversion"/>
  </si>
  <si>
    <t>구매 계약</t>
    <phoneticPr fontId="7" type="noConversion"/>
  </si>
  <si>
    <t>수량</t>
    <phoneticPr fontId="7" type="noConversion"/>
  </si>
  <si>
    <t>단가</t>
    <phoneticPr fontId="7" type="noConversion"/>
  </si>
  <si>
    <t>할인률</t>
    <phoneticPr fontId="7" type="noConversion"/>
  </si>
  <si>
    <t>당사마진</t>
    <phoneticPr fontId="7" type="noConversion"/>
  </si>
  <si>
    <t>마진율</t>
    <phoneticPr fontId="7" type="noConversion"/>
  </si>
  <si>
    <t>요청일</t>
    <phoneticPr fontId="7" type="noConversion"/>
  </si>
  <si>
    <t>요청구분</t>
    <phoneticPr fontId="7" type="noConversion"/>
  </si>
  <si>
    <t>차액(제안-계약)</t>
    <phoneticPr fontId="7" type="noConversion"/>
  </si>
  <si>
    <t>[ 프 로 젝 트   경 비 ]</t>
    <phoneticPr fontId="7" type="noConversion"/>
  </si>
  <si>
    <t>투여공수</t>
    <phoneticPr fontId="7" type="noConversion"/>
  </si>
  <si>
    <t>외주</t>
    <phoneticPr fontId="7" type="noConversion"/>
  </si>
  <si>
    <t>일반경비</t>
    <phoneticPr fontId="7" type="noConversion"/>
  </si>
  <si>
    <t>야근식대_당사</t>
    <phoneticPr fontId="7" type="noConversion"/>
  </si>
  <si>
    <t>특별경비</t>
    <phoneticPr fontId="7" type="noConversion"/>
  </si>
  <si>
    <t>워크샵</t>
    <phoneticPr fontId="7" type="noConversion"/>
  </si>
  <si>
    <t>임차비(지방)</t>
    <phoneticPr fontId="7" type="noConversion"/>
  </si>
  <si>
    <t>교통비(지방)</t>
    <phoneticPr fontId="7" type="noConversion"/>
  </si>
  <si>
    <t>Kic-Off비용</t>
    <phoneticPr fontId="7" type="noConversion"/>
  </si>
  <si>
    <t>* 인당 계산되는 소모품비 및 음료대는 당사가 "을"로 계약시에는 당사 및 외주 인력을 합하여 승하고 당사가 "병"이하로 계약시에는 당사 인력 만 승하시기 바랍니다.</t>
    <phoneticPr fontId="7" type="noConversion"/>
  </si>
  <si>
    <t>개발</t>
    <phoneticPr fontId="7" type="noConversion"/>
  </si>
  <si>
    <t>[ 기 준   경 비 ]</t>
    <phoneticPr fontId="7" type="noConversion"/>
  </si>
  <si>
    <t>(단위:천원)</t>
    <phoneticPr fontId="7" type="noConversion"/>
  </si>
  <si>
    <t>구분</t>
    <phoneticPr fontId="7" type="noConversion"/>
  </si>
  <si>
    <t>기준</t>
    <phoneticPr fontId="7" type="noConversion"/>
  </si>
  <si>
    <t>기준액</t>
    <phoneticPr fontId="7" type="noConversion"/>
  </si>
  <si>
    <t>월*인</t>
    <phoneticPr fontId="7" type="noConversion"/>
  </si>
  <si>
    <t>야근식대</t>
    <phoneticPr fontId="7" type="noConversion"/>
  </si>
  <si>
    <t>내부</t>
    <phoneticPr fontId="7" type="noConversion"/>
  </si>
  <si>
    <t>워크샾</t>
    <phoneticPr fontId="7" type="noConversion"/>
  </si>
  <si>
    <t>횟수*인</t>
    <phoneticPr fontId="7" type="noConversion"/>
  </si>
  <si>
    <t>1인당 50,000, 분기당 1회 이내</t>
    <phoneticPr fontId="7" type="noConversion"/>
  </si>
  <si>
    <t>1인당 150,000, 시작월 및 종료월</t>
    <phoneticPr fontId="7" type="noConversion"/>
  </si>
  <si>
    <t>지방 출장비(월 22일 기준 일 20,000원 반영)</t>
    <phoneticPr fontId="7" type="noConversion"/>
  </si>
  <si>
    <t>기타</t>
    <phoneticPr fontId="7" type="noConversion"/>
  </si>
  <si>
    <t>사무실 임대 또는 PM의 의사결정에 의한 경비</t>
    <phoneticPr fontId="7" type="noConversion"/>
  </si>
  <si>
    <t>영업대표/PM</t>
    <phoneticPr fontId="7" type="noConversion"/>
  </si>
  <si>
    <t>경상비용</t>
    <phoneticPr fontId="7" type="noConversion"/>
  </si>
  <si>
    <t>경상비용</t>
    <phoneticPr fontId="7" type="noConversion"/>
  </si>
  <si>
    <t>수석(L)</t>
    <phoneticPr fontId="7" type="noConversion"/>
  </si>
  <si>
    <t>수석(S)</t>
    <phoneticPr fontId="7" type="noConversion"/>
  </si>
  <si>
    <t>책임(M)</t>
    <phoneticPr fontId="7" type="noConversion"/>
  </si>
  <si>
    <t>책임(A)</t>
    <phoneticPr fontId="7" type="noConversion"/>
  </si>
  <si>
    <t>상품
(타사)</t>
    <phoneticPr fontId="7" type="noConversion"/>
  </si>
  <si>
    <t>Kick-Off비용</t>
    <phoneticPr fontId="7" type="noConversion"/>
  </si>
  <si>
    <t>출장교통비 - 항공권,KTX,렌터카,주유비 등</t>
    <phoneticPr fontId="7" type="noConversion"/>
  </si>
  <si>
    <t>인당 50,000/일</t>
    <phoneticPr fontId="7" type="noConversion"/>
  </si>
  <si>
    <t>지방 임차비</t>
    <phoneticPr fontId="7" type="noConversion"/>
  </si>
  <si>
    <t>인당 20,000/일</t>
    <phoneticPr fontId="7" type="noConversion"/>
  </si>
  <si>
    <t>인당 100,000/일</t>
    <phoneticPr fontId="7" type="noConversion"/>
  </si>
  <si>
    <t>출장비(지방)</t>
    <phoneticPr fontId="7" type="noConversion"/>
  </si>
  <si>
    <t>결재</t>
    <phoneticPr fontId="7" type="noConversion"/>
  </si>
  <si>
    <t>협조</t>
    <phoneticPr fontId="7" type="noConversion"/>
  </si>
  <si>
    <t>인상율</t>
    <phoneticPr fontId="7" type="noConversion"/>
  </si>
  <si>
    <t>직군</t>
    <phoneticPr fontId="7" type="noConversion"/>
  </si>
  <si>
    <t>고급</t>
    <phoneticPr fontId="7" type="noConversion"/>
  </si>
  <si>
    <t>중급</t>
    <phoneticPr fontId="7" type="noConversion"/>
  </si>
  <si>
    <t>초급</t>
    <phoneticPr fontId="7" type="noConversion"/>
  </si>
  <si>
    <t>평균</t>
    <phoneticPr fontId="7" type="noConversion"/>
  </si>
  <si>
    <t>[ 기 준    단 가 ]</t>
    <phoneticPr fontId="7" type="noConversion"/>
  </si>
  <si>
    <t>소속 및 직군</t>
    <phoneticPr fontId="7" type="noConversion"/>
  </si>
  <si>
    <t>직급</t>
    <phoneticPr fontId="7" type="noConversion"/>
  </si>
  <si>
    <t>등급</t>
    <phoneticPr fontId="7" type="noConversion"/>
  </si>
  <si>
    <t>제안단가</t>
    <phoneticPr fontId="7" type="noConversion"/>
  </si>
  <si>
    <t>내부단가</t>
    <phoneticPr fontId="7" type="noConversion"/>
  </si>
  <si>
    <t>제안단가</t>
    <phoneticPr fontId="7" type="noConversion"/>
  </si>
  <si>
    <t>내부단가</t>
    <phoneticPr fontId="7" type="noConversion"/>
  </si>
  <si>
    <t>제안단가</t>
    <phoneticPr fontId="7" type="noConversion"/>
  </si>
  <si>
    <t>기준</t>
    <phoneticPr fontId="7" type="noConversion"/>
  </si>
  <si>
    <t>적용</t>
    <phoneticPr fontId="7" type="noConversion"/>
  </si>
  <si>
    <t>할인률</t>
    <phoneticPr fontId="7" type="noConversion"/>
  </si>
  <si>
    <t>적용</t>
    <phoneticPr fontId="7" type="noConversion"/>
  </si>
  <si>
    <t>인상율</t>
    <phoneticPr fontId="7" type="noConversion"/>
  </si>
  <si>
    <t>적용</t>
    <phoneticPr fontId="7" type="noConversion"/>
  </si>
  <si>
    <t>할인률</t>
    <phoneticPr fontId="7" type="noConversion"/>
  </si>
  <si>
    <t>적용</t>
    <phoneticPr fontId="7" type="noConversion"/>
  </si>
  <si>
    <t>할인률</t>
    <phoneticPr fontId="7" type="noConversion"/>
  </si>
  <si>
    <t>컨설팅</t>
    <phoneticPr fontId="7" type="noConversion"/>
  </si>
  <si>
    <t>특급</t>
    <phoneticPr fontId="7" type="noConversion"/>
  </si>
  <si>
    <t>특급</t>
    <phoneticPr fontId="7" type="noConversion"/>
  </si>
  <si>
    <t>수석(L)</t>
    <phoneticPr fontId="7" type="noConversion"/>
  </si>
  <si>
    <t>고급</t>
    <phoneticPr fontId="7" type="noConversion"/>
  </si>
  <si>
    <t>수석(S)</t>
    <phoneticPr fontId="7" type="noConversion"/>
  </si>
  <si>
    <t>책임(M)</t>
    <phoneticPr fontId="7" type="noConversion"/>
  </si>
  <si>
    <t>책임(A)</t>
    <phoneticPr fontId="7" type="noConversion"/>
  </si>
  <si>
    <t>초급</t>
    <phoneticPr fontId="7" type="noConversion"/>
  </si>
  <si>
    <t>초급</t>
    <phoneticPr fontId="7" type="noConversion"/>
  </si>
  <si>
    <t>위엠비_개발</t>
    <phoneticPr fontId="7" type="noConversion"/>
  </si>
  <si>
    <t>개발</t>
    <phoneticPr fontId="7" type="noConversion"/>
  </si>
  <si>
    <t>상무</t>
    <phoneticPr fontId="7" type="noConversion"/>
  </si>
  <si>
    <t>위엠비_개발</t>
    <phoneticPr fontId="7" type="noConversion"/>
  </si>
  <si>
    <t>개발</t>
    <phoneticPr fontId="7" type="noConversion"/>
  </si>
  <si>
    <t>특급</t>
    <phoneticPr fontId="7" type="noConversion"/>
  </si>
  <si>
    <t>위엠비_개발</t>
    <phoneticPr fontId="7" type="noConversion"/>
  </si>
  <si>
    <t>개발</t>
    <phoneticPr fontId="7" type="noConversion"/>
  </si>
  <si>
    <t>책임(M)</t>
    <phoneticPr fontId="7" type="noConversion"/>
  </si>
  <si>
    <t>중급</t>
    <phoneticPr fontId="7" type="noConversion"/>
  </si>
  <si>
    <t>개발</t>
    <phoneticPr fontId="7" type="noConversion"/>
  </si>
  <si>
    <t>책임(A)</t>
    <phoneticPr fontId="7" type="noConversion"/>
  </si>
  <si>
    <t>초급</t>
    <phoneticPr fontId="7" type="noConversion"/>
  </si>
  <si>
    <t>위엠비_개발</t>
    <phoneticPr fontId="7" type="noConversion"/>
  </si>
  <si>
    <t>개발</t>
    <phoneticPr fontId="7" type="noConversion"/>
  </si>
  <si>
    <t>평균</t>
    <phoneticPr fontId="7" type="noConversion"/>
  </si>
  <si>
    <t>외주_컨설팅</t>
    <phoneticPr fontId="7" type="noConversion"/>
  </si>
  <si>
    <t>외주_개발</t>
    <phoneticPr fontId="7" type="noConversion"/>
  </si>
  <si>
    <t>2018년 소프트웨어 노임단가표 (VAT별도)</t>
    <phoneticPr fontId="7" type="noConversion"/>
  </si>
  <si>
    <t>기준단가</t>
    <phoneticPr fontId="266" type="noConversion"/>
  </si>
  <si>
    <t>직접인건비</t>
    <phoneticPr fontId="266" type="noConversion"/>
  </si>
  <si>
    <r>
      <rPr>
        <sz val="10"/>
        <color rgb="FFFF0000"/>
        <rFont val="돋움"/>
        <family val="3"/>
        <charset val="129"/>
      </rPr>
      <t>제경비</t>
    </r>
    <r>
      <rPr>
        <sz val="11"/>
        <color rgb="FFFF0000"/>
        <rFont val="맑은 고딕"/>
        <family val="2"/>
        <charset val="129"/>
        <scheme val="minor"/>
      </rPr>
      <t>10%</t>
    </r>
    <phoneticPr fontId="7" type="noConversion"/>
  </si>
  <si>
    <r>
      <rPr>
        <sz val="10"/>
        <color rgb="FFFF0000"/>
        <rFont val="돋움"/>
        <family val="3"/>
        <charset val="129"/>
      </rPr>
      <t>기술료</t>
    </r>
    <r>
      <rPr>
        <sz val="11"/>
        <color rgb="FFFF0000"/>
        <rFont val="맑은 고딕"/>
        <family val="2"/>
        <charset val="129"/>
        <scheme val="minor"/>
      </rPr>
      <t>20%</t>
    </r>
    <phoneticPr fontId="7" type="noConversion"/>
  </si>
  <si>
    <t>제안금액</t>
    <phoneticPr fontId="266" type="noConversion"/>
  </si>
  <si>
    <t>기술사</t>
    <phoneticPr fontId="7" type="noConversion"/>
  </si>
  <si>
    <t>특급</t>
    <phoneticPr fontId="7" type="noConversion"/>
  </si>
  <si>
    <t>고급</t>
    <phoneticPr fontId="7" type="noConversion"/>
  </si>
  <si>
    <t>중급</t>
    <phoneticPr fontId="7" type="noConversion"/>
  </si>
  <si>
    <t>초급</t>
    <phoneticPr fontId="7" type="noConversion"/>
  </si>
  <si>
    <t>초급</t>
    <phoneticPr fontId="7" type="noConversion"/>
  </si>
  <si>
    <t>이사</t>
    <phoneticPr fontId="7" type="noConversion"/>
  </si>
  <si>
    <t>부장</t>
    <phoneticPr fontId="7" type="noConversion"/>
  </si>
  <si>
    <t>차장</t>
    <phoneticPr fontId="7" type="noConversion"/>
  </si>
  <si>
    <t>과장</t>
    <phoneticPr fontId="7" type="noConversion"/>
  </si>
  <si>
    <t>차부장</t>
    <phoneticPr fontId="7" type="noConversion"/>
  </si>
  <si>
    <t>대리</t>
    <phoneticPr fontId="7" type="noConversion"/>
  </si>
  <si>
    <t>기간</t>
    <phoneticPr fontId="7" type="noConversion"/>
  </si>
  <si>
    <t>SI</t>
  </si>
  <si>
    <t>매출액 18%</t>
    <phoneticPr fontId="7" type="noConversion"/>
  </si>
  <si>
    <t>소계</t>
    <phoneticPr fontId="7" type="noConversion"/>
  </si>
  <si>
    <t>프로젝트부서비</t>
    <phoneticPr fontId="7" type="noConversion"/>
  </si>
  <si>
    <t>인당 25,000</t>
    <phoneticPr fontId="7" type="noConversion"/>
  </si>
  <si>
    <t>프로젝트부서비(외주)</t>
    <phoneticPr fontId="7" type="noConversion"/>
  </si>
  <si>
    <t>프로젝트부서비(내부)</t>
    <phoneticPr fontId="7" type="noConversion"/>
  </si>
  <si>
    <t>프로젝트부서비</t>
    <phoneticPr fontId="7" type="noConversion"/>
  </si>
  <si>
    <t>내부</t>
    <phoneticPr fontId="7" type="noConversion"/>
  </si>
  <si>
    <t>(주)위엠비</t>
    <phoneticPr fontId="7" type="noConversion"/>
  </si>
  <si>
    <t>(주)위엠비</t>
    <phoneticPr fontId="7" type="noConversion"/>
  </si>
  <si>
    <t>비상주</t>
    <phoneticPr fontId="7" type="noConversion"/>
  </si>
  <si>
    <t>외주</t>
    <phoneticPr fontId="7" type="noConversion"/>
  </si>
  <si>
    <t>그룹장</t>
    <phoneticPr fontId="7" type="noConversion"/>
  </si>
  <si>
    <t>제품
(자사)</t>
    <phoneticPr fontId="7" type="noConversion"/>
  </si>
  <si>
    <t>개발</t>
    <phoneticPr fontId="7" type="noConversion"/>
  </si>
  <si>
    <t>(주)위엠비</t>
    <phoneticPr fontId="7" type="noConversion"/>
  </si>
  <si>
    <t>주계약</t>
  </si>
  <si>
    <t>화면 개발</t>
    <phoneticPr fontId="7" type="noConversion"/>
  </si>
  <si>
    <t>인터페이스</t>
    <phoneticPr fontId="7" type="noConversion"/>
  </si>
  <si>
    <t>수석(S)</t>
  </si>
  <si>
    <t>당년(2024년)</t>
    <phoneticPr fontId="7" type="noConversion"/>
  </si>
  <si>
    <t>인당 10,000/일</t>
    <phoneticPr fontId="7" type="noConversion"/>
  </si>
  <si>
    <t>책임(M)</t>
  </si>
  <si>
    <t>정현우 이사</t>
    <phoneticPr fontId="7" type="noConversion"/>
  </si>
  <si>
    <t>정현우</t>
    <phoneticPr fontId="7" type="noConversion"/>
  </si>
  <si>
    <t>최진희</t>
    <phoneticPr fontId="7" type="noConversion"/>
  </si>
  <si>
    <t>이재형</t>
    <phoneticPr fontId="7" type="noConversion"/>
  </si>
  <si>
    <t>디자인</t>
    <phoneticPr fontId="7" type="noConversion"/>
  </si>
  <si>
    <t>책임(A)</t>
  </si>
  <si>
    <t>김령희</t>
    <phoneticPr fontId="7" type="noConversion"/>
  </si>
  <si>
    <t>대표이사</t>
    <phoneticPr fontId="7" type="noConversion"/>
  </si>
  <si>
    <t>경영지원실</t>
    <phoneticPr fontId="7" type="noConversion"/>
  </si>
  <si>
    <t>X</t>
  </si>
  <si>
    <t>KOEN 스마트 도면관리시스템 구축 용역</t>
    <phoneticPr fontId="7" type="noConversion"/>
  </si>
  <si>
    <t>한국남동발전㈜</t>
    <phoneticPr fontId="7" type="noConversion"/>
  </si>
  <si>
    <t>본사, 진주, 분당</t>
    <phoneticPr fontId="7" type="noConversion"/>
  </si>
  <si>
    <t>■ 신규 도면관리시스템 구축
■ 도면의 Life Cycle 시스템화 구현
■ 모바일 플랫폼 구현
■ 도면관리 편의기능 구현</t>
    <phoneticPr fontId="7" type="noConversion"/>
  </si>
  <si>
    <t>중도금</t>
    <phoneticPr fontId="7" type="noConversion"/>
  </si>
  <si>
    <t>잔금</t>
    <phoneticPr fontId="7" type="noConversion"/>
  </si>
  <si>
    <t>사업관리</t>
    <phoneticPr fontId="7" type="noConversion"/>
  </si>
  <si>
    <t>7월</t>
    <phoneticPr fontId="7" type="noConversion"/>
  </si>
  <si>
    <t>6월</t>
  </si>
  <si>
    <t>11월</t>
  </si>
  <si>
    <t>12월</t>
  </si>
  <si>
    <t>차년(2025년)</t>
    <phoneticPr fontId="7" type="noConversion"/>
  </si>
  <si>
    <t>UI 개발</t>
    <phoneticPr fontId="7" type="noConversion"/>
  </si>
  <si>
    <t>김대우</t>
    <phoneticPr fontId="7" type="noConversion"/>
  </si>
  <si>
    <t>드로잉, 검수</t>
    <phoneticPr fontId="7" type="noConversion"/>
  </si>
  <si>
    <t>AJ네트웍스</t>
    <phoneticPr fontId="7" type="noConversion"/>
  </si>
  <si>
    <t>컨설팅</t>
    <phoneticPr fontId="7" type="noConversion"/>
  </si>
  <si>
    <t>-</t>
    <phoneticPr fontId="7" type="noConversion"/>
  </si>
  <si>
    <t>■ P&amp;ID, SLD 7,000장 이상
■ PDF, DWG, VISIO 파일 연계 (R&amp;D 지원 필요), R&amp;D 지원이 불가한 경우 도면 작성 인력 투입 대량 증가</t>
    <phoneticPr fontId="7" type="noConversion"/>
  </si>
  <si>
    <t>추민욱</t>
    <phoneticPr fontId="7" type="noConversion"/>
  </si>
  <si>
    <t>2024-11-14 ~ 2025-09-13</t>
    <phoneticPr fontId="7" type="noConversion"/>
  </si>
  <si>
    <t>수석(L)</t>
  </si>
  <si>
    <t>기타(해외출장)</t>
    <phoneticPr fontId="7" type="noConversion"/>
  </si>
  <si>
    <t>Wokshop비용, 임차비, 교통비 등</t>
    <phoneticPr fontId="7" type="noConversion"/>
  </si>
  <si>
    <t>2024.11.26일 계산서 발행</t>
    <phoneticPr fontId="7" type="noConversion"/>
  </si>
  <si>
    <t xml:space="preserve">2025.09월 중순 이후 예정 </t>
    <phoneticPr fontId="7" type="noConversion"/>
  </si>
  <si>
    <t>■ 외주(아르바이트) 인력 관리</t>
    <phoneticPr fontId="7" type="noConversion"/>
  </si>
  <si>
    <t>기술혁신본부장</t>
    <phoneticPr fontId="7" type="noConversion"/>
  </si>
  <si>
    <t>노트북,모니터, 사무가구 등 렌탈</t>
    <phoneticPr fontId="7" type="noConversion"/>
  </si>
  <si>
    <t>김철원</t>
    <phoneticPr fontId="7" type="noConversion"/>
  </si>
  <si>
    <t>X</t>
    <phoneticPr fontId="7" type="noConversion"/>
  </si>
  <si>
    <t>아르바이트</t>
    <phoneticPr fontId="7" type="noConversion"/>
  </si>
  <si>
    <t>미래전략본부장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</si>
</sst>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8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);[Red]\(#,##0\)"/>
    <numFmt numFmtId="177" formatCode="#,##0_ ;[Red]\-#,##0\ "/>
    <numFmt numFmtId="178" formatCode="#,##0_ "/>
    <numFmt numFmtId="179" formatCode="_-* #,##0.00_-;\-* #,##0.00_-;_-* &quot;-&quot;_-;_-@_-"/>
    <numFmt numFmtId="180" formatCode="_-* #,##0.0_-;\-* #,##0.0_-;_-* &quot;-&quot;_-;_-@_-"/>
    <numFmt numFmtId="181" formatCode="#,##0.0_);[Red]\(#,##0.0\)"/>
    <numFmt numFmtId="182" formatCode="0.0_);[Red]\(0.0\)"/>
    <numFmt numFmtId="183" formatCode="yy&quot;-&quot;m&quot;-&quot;d;@"/>
    <numFmt numFmtId="184" formatCode="#,##0.0_ ;[Red]\-#,##0.0\ "/>
    <numFmt numFmtId="185" formatCode="yyyy&quot;/&quot;m&quot;/&quot;d;@"/>
    <numFmt numFmtId="186" formatCode="yyyy&quot;년&quot;"/>
    <numFmt numFmtId="187" formatCode="_ &quot;₩&quot;* #,##0_ ;_ &quot;₩&quot;* \-#,##0_ ;_ &quot;₩&quot;* &quot;-&quot;_ ;_ @_ "/>
    <numFmt numFmtId="188" formatCode="###.#####"/>
    <numFmt numFmtId="189" formatCode="#,##0.00_);\(#,##0.00\)"/>
    <numFmt numFmtId="190" formatCode="_ * #,##0_ ;_ * \-#,##0_ ;_ * &quot;-&quot;_ ;_ @_ "/>
    <numFmt numFmtId="191" formatCode="#,##0\ &quot;.&quot;;[Red]\-#,##0\ &quot;.&quot;"/>
    <numFmt numFmtId="192" formatCode="_(&quot;$&quot;* #,##0_);_(&quot;$&quot;* \(#,##0\);_(&quot;$&quot;* &quot;-&quot;_);_(@_)"/>
    <numFmt numFmtId="193" formatCode="\U\$#,##0;&quot;-U$]&quot;#,##0"/>
    <numFmt numFmtId="194" formatCode="yy\-m\-d"/>
    <numFmt numFmtId="195" formatCode="_ * #,##0.00000_ ;_ * \-#,##0.00000_ ;_ * &quot;-&quot;_ ;_ @_ "/>
    <numFmt numFmtId="196" formatCode="&quot;₩&quot;#,##0.00;[Red]&quot;₩&quot;\-#,##0.00"/>
    <numFmt numFmtId="197" formatCode="_ &quot;₩&quot;* #,##0.00_ ;_ &quot;₩&quot;* \-#,##0.00_ ;_ &quot;₩&quot;* &quot;-&quot;??_ ;_ @_ "/>
    <numFmt numFmtId="198" formatCode="_-&quot;$&quot;* #,##0.00_-;\-&quot;$&quot;* #,##0.00_-;_-&quot;$&quot;* &quot;-&quot;??_-;_-@_-"/>
    <numFmt numFmtId="199" formatCode="_(&quot;$&quot;* #,##0.00_);_(&quot;$&quot;* \(#,##0.00\);_(&quot;$&quot;* &quot;-&quot;??_);_(@_)"/>
    <numFmt numFmtId="200" formatCode="_-* #,##0.00\ _F_-;\-* #,##0.00\ _F_-;_-* &quot;-&quot;??\ _F_-;_-@_-"/>
    <numFmt numFmtId="201" formatCode="_-* #,##0.00\ &quot;F&quot;_-;\-* #,##0.00\ &quot;F&quot;_-;_-* &quot;-&quot;??\ &quot;F&quot;_-;_-@_-"/>
    <numFmt numFmtId="202" formatCode="_(&quot;$&quot;* #,##0.00_);_(&quot;$&quot;* &quot;₩&quot;&quot;₩&quot;&quot;₩&quot;&quot;₩&quot;\(#,##0.00&quot;₩&quot;&quot;₩&quot;&quot;₩&quot;&quot;₩&quot;\);_(&quot;$&quot;* &quot;-&quot;??_);_(@_)"/>
    <numFmt numFmtId="203" formatCode="\$#,##0.00;\(\$#,##0.00\)"/>
    <numFmt numFmtId="204" formatCode="#,##0\ &quot;.&quot;;\-#,##0\ &quot;.&quot;"/>
    <numFmt numFmtId="205" formatCode="\$#,##0.0_);\(\$#,##0.0\)"/>
    <numFmt numFmtId="206" formatCode="&quot;HF-CM-&quot;0####"/>
    <numFmt numFmtId="207" formatCode="0E+00"/>
    <numFmt numFmtId="208" formatCode="\ \ @"/>
    <numFmt numFmtId="209" formatCode="&quot;₩&quot;#,##0;[Red]&quot;₩&quot;\-#,##0"/>
    <numFmt numFmtId="210" formatCode="_ * #,##0.00_ ;_ * \-#,##0.00_ ;_ * &quot;-&quot;??_ ;_ @_ "/>
    <numFmt numFmtId="211" formatCode="_(* #,##0.00_);_(* \(#,##0.00\);_(* &quot;-&quot;??_);_(@_)"/>
    <numFmt numFmtId="212" formatCode="_-* #,##0.000\ _F_-;\-* #,##0.000\ _F_-;_-* &quot;-&quot;??\ _F_-;_-@_-"/>
    <numFmt numFmtId="213" formatCode="#,##0;[Red]&quot;-&quot;#,##0"/>
    <numFmt numFmtId="214" formatCode="#,##0.00;[Red]&quot;-&quot;#,##0.00"/>
    <numFmt numFmtId="215" formatCode="General_)"/>
    <numFmt numFmtId="216" formatCode="#,##0.0_);\(#,##0.0\)"/>
    <numFmt numFmtId="217" formatCode="_(* #,##0.0000_);_(* \(#,##0.0000\);_(* &quot;-&quot;??_);_(@_)"/>
    <numFmt numFmtId="218" formatCode="#,##0.00&quot;￡&quot;_);[Red]\(#,##0.00&quot;￡&quot;\)"/>
    <numFmt numFmtId="219" formatCode="_ * #,##0_)&quot;￡&quot;_ ;_ * \(#,##0\)&quot;￡&quot;_ ;_ * &quot;-&quot;_)&quot;￡&quot;_ ;_ @_ "/>
    <numFmt numFmtId="220" formatCode="0.0%;\(0.0%\)"/>
    <numFmt numFmtId="221" formatCode="#,##0;\(#,##0\)"/>
    <numFmt numFmtId="222" formatCode="\$#.00"/>
    <numFmt numFmtId="223" formatCode="&quot;$&quot;#,##0\ ;\(&quot;$&quot;#,##0\)"/>
    <numFmt numFmtId="224" formatCode="#,##0.00000;[Red]\-#,##0.00000"/>
    <numFmt numFmtId="225" formatCode="0_);\(0\)"/>
    <numFmt numFmtId="226" formatCode="#,##0.0000000;[Red]\-#,##0.0000000"/>
    <numFmt numFmtId="227" formatCode="#,##0;&quot;-&quot;#,##0"/>
    <numFmt numFmtId="228" formatCode="#.00"/>
    <numFmt numFmtId="229" formatCode="#,##0.0"/>
    <numFmt numFmtId="230" formatCode="&quot;$&quot;#,##0;[Red]\-&quot;$&quot;#,##0"/>
    <numFmt numFmtId="231" formatCode="%#.00"/>
    <numFmt numFmtId="232" formatCode="0%_);[Red]\(0%\)"/>
    <numFmt numFmtId="233" formatCode="_ * #,##0.00_)&quot;￡&quot;_ ;_ * \(#,##0.00\)&quot;￡&quot;_ ;_ * &quot;-&quot;??_)&quot;￡&quot;_ ;_ @_ "/>
    <numFmt numFmtId="234" formatCode="&quot;₩&quot;#,##0.00;&quot;₩&quot;\-#,##0.00"/>
    <numFmt numFmtId="235" formatCode="mm&quot;월&quot;\ dd&quot;일&quot;"/>
    <numFmt numFmtId="236" formatCode="@\ \ \ \ \ \ \ \ \ \ \ \ \ \ "/>
    <numFmt numFmtId="237" formatCode="&quot;₩&quot;#,##0;&quot;₩&quot;\-#,##0"/>
    <numFmt numFmtId="238" formatCode="#."/>
    <numFmt numFmtId="239" formatCode="0.000_)"/>
    <numFmt numFmtId="240" formatCode="#,##0.0;\-#,##0.0"/>
    <numFmt numFmtId="241" formatCode="_ &quot;SFr.&quot;* #,##0_ ;_ &quot;SFr.&quot;* \-#,##0_ ;_ &quot;SFr.&quot;* &quot;-&quot;_ ;_ @_ "/>
    <numFmt numFmtId="242" formatCode="&quot;￦ &quot;#,##0_);\(&quot;￦ &quot;#,##0\);&quot;￦ &quot;\-_)"/>
    <numFmt numFmtId="243" formatCode="0;[Red]0"/>
    <numFmt numFmtId="244" formatCode="#,##0.00_);[Red]\(#,##0.00\)"/>
    <numFmt numFmtId="245" formatCode="#,##0.000_ ;[Red]\-#,##0.000\ "/>
    <numFmt numFmtId="246" formatCode="#,##0.00_ "/>
    <numFmt numFmtId="247" formatCode="0_ "/>
    <numFmt numFmtId="248" formatCode="0.0%"/>
    <numFmt numFmtId="249" formatCode="&quot;₩&quot;#,##0"/>
    <numFmt numFmtId="250" formatCode="#,##0.000"/>
    <numFmt numFmtId="251" formatCode="0.000"/>
    <numFmt numFmtId="252" formatCode="#,##0.0\ ;\(#,##0.0\)"/>
    <numFmt numFmtId="253" formatCode="0.0"/>
    <numFmt numFmtId="254" formatCode="yy&quot;/&quot;m&quot;/&quot;d"/>
    <numFmt numFmtId="255" formatCode="&quot;$&quot;_(#,##0.00_);&quot;$&quot;\(#,##0.00\)"/>
    <numFmt numFmtId="256" formatCode="00&quot;/&quot;00&quot;/&quot;00"/>
    <numFmt numFmtId="257" formatCode="#,##0.0_)\x;\(#,##0.0\)\x"/>
    <numFmt numFmtId="258" formatCode="0_);[Red]&quot;₩&quot;\!\(0&quot;₩&quot;\!\)"/>
    <numFmt numFmtId="259" formatCode="#,##0.0_)_x;\(#,##0.0\)_x"/>
    <numFmt numFmtId="260" formatCode="yyyy&quot;/&quot;m&quot;/&quot;d"/>
    <numFmt numFmtId="261" formatCode="0.0_)\%;\(0.0\)\%"/>
    <numFmt numFmtId="262" formatCode="#,##0.0_)_%;\(#,##0.0\)_%"/>
    <numFmt numFmtId="263" formatCode="#,##0.00\ &quot;F&quot;;\-#,##0.00\ &quot;F&quot;"/>
    <numFmt numFmtId="264" formatCode="0.0000"/>
    <numFmt numFmtId="265" formatCode="&quot;$&quot;#,##0_);&quot;₩&quot;\(&quot;$&quot;#,##0&quot;₩&quot;\)"/>
    <numFmt numFmtId="266" formatCode="&quot;₩&quot;#,##0;[Red]&quot;₩&quot;&quot;₩&quot;&quot;₩&quot;&quot;₩&quot;&quot;₩&quot;&quot;₩&quot;&quot;₩&quot;\-#,##0"/>
    <numFmt numFmtId="267" formatCode="&quot;₩&quot;#,##0.00;&quot;₩&quot;&quot;₩&quot;&quot;₩&quot;&quot;₩&quot;&quot;₩&quot;&quot;₩&quot;&quot;₩&quot;&quot;₩&quot;\-#,##0.00"/>
    <numFmt numFmtId="268" formatCode="_ * #,##0.00_ ;_ * &quot;₩&quot;&quot;₩&quot;&quot;₩&quot;&quot;₩&quot;\-#,##0.00_ ;_ * &quot;-&quot;??_ ;_ @_ "/>
    <numFmt numFmtId="269" formatCode="####"/>
    <numFmt numFmtId="270" formatCode="\$#,##0.00"/>
    <numFmt numFmtId="271" formatCode="0.0#"/>
    <numFmt numFmtId="272" formatCode="\,##"/>
    <numFmt numFmtId="273" formatCode="&quot;₩&quot;#,##0.00;[Red]&quot;₩&quot;&quot;₩&quot;&quot;₩&quot;&quot;₩&quot;&quot;₩&quot;&quot;₩&quot;\-&quot;₩&quot;#,##0.00"/>
    <numFmt numFmtId="274" formatCode="##"/>
    <numFmt numFmtId="275" formatCode="#,##0\ &quot;F&quot;;[Red]\-#,##0\ &quot;F&quot;"/>
    <numFmt numFmtId="276" formatCode="#,##0.00\ &quot;F&quot;;[Red]\-#,##0.00\ &quot;F&quot;"/>
    <numFmt numFmtId="277" formatCode="_-* #,##0.0_-;&quot;₩&quot;\!\-* #,##0.0_-;_-* &quot;-&quot;_-;_-@_-"/>
    <numFmt numFmtId="278" formatCode="&quot;₩&quot;#,##0;&quot;₩&quot;&quot;₩&quot;&quot;₩&quot;\-#,##0"/>
    <numFmt numFmtId="279" formatCode="###"/>
    <numFmt numFmtId="280" formatCode="_(* #,##0_);_(* &quot;₩&quot;&quot;₩&quot;&quot;₩&quot;&quot;₩&quot;&quot;₩&quot;&quot;₩&quot;\(#,##0&quot;₩&quot;&quot;₩&quot;&quot;₩&quot;&quot;₩&quot;&quot;₩&quot;&quot;₩&quot;\);_(* &quot;-&quot;??_);_(@_)"/>
    <numFmt numFmtId="281" formatCode="#&quot;₩&quot;\!\ ##0.00"/>
    <numFmt numFmtId="282" formatCode="#&quot;차&quot;\ "/>
    <numFmt numFmtId="283" formatCode="&quot;₩&quot;#,##0;&quot;₩&quot;&quot;₩&quot;&quot;₩&quot;&quot;₩&quot;&quot;₩&quot;&quot;₩&quot;&quot;₩&quot;&quot;₩&quot;\-#,##0"/>
    <numFmt numFmtId="284" formatCode="#,##0\ &quot;DM&quot;;[Red]\-#,##0\ &quot;DM&quot;"/>
    <numFmt numFmtId="285" formatCode="#,###"/>
    <numFmt numFmtId="286" formatCode="0.00_)"/>
    <numFmt numFmtId="287" formatCode="&quot;$&quot;#,##0_);\(&quot;$&quot;#,##0\)"/>
    <numFmt numFmtId="288" formatCode="_-* #,##0.000_-;\-* #,##0.000_-;_-* &quot;-&quot;_-;_-@_-"/>
  </numFmts>
  <fonts count="269">
    <font>
      <sz val="1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0"/>
      <name val="MS Sans Serif"/>
      <family val="2"/>
    </font>
    <font>
      <b/>
      <sz val="1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indexed="10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Arial"/>
      <family val="2"/>
    </font>
    <font>
      <sz val="12"/>
      <color indexed="24"/>
      <name val="바탕체"/>
      <family val="1"/>
      <charset val="129"/>
    </font>
    <font>
      <sz val="10"/>
      <name val="Helv"/>
      <family val="2"/>
    </font>
    <font>
      <sz val="10"/>
      <color indexed="8"/>
      <name val="굴림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¹UAAA¼"/>
      <family val="1"/>
      <charset val="129"/>
    </font>
    <font>
      <u/>
      <sz val="11"/>
      <color indexed="12"/>
      <name val="돋움"/>
      <family val="3"/>
    </font>
    <font>
      <u/>
      <sz val="11"/>
      <color indexed="20"/>
      <name val="돋움"/>
      <family val="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0"/>
      <color indexed="8"/>
      <name val="Arial"/>
      <family val="2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sz val="12"/>
      <name val="명조"/>
      <family val="3"/>
      <charset val="129"/>
    </font>
    <font>
      <sz val="14"/>
      <name val="??"/>
      <family val="1"/>
    </font>
    <font>
      <sz val="12"/>
      <name val="Arial"/>
      <family val="2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sz val="12"/>
      <name val="Times New Roman"/>
      <family val="1"/>
    </font>
    <font>
      <sz val="12"/>
      <name val="돋움체"/>
      <family val="3"/>
      <charset val="129"/>
    </font>
    <font>
      <b/>
      <sz val="15"/>
      <color indexed="24"/>
      <name val="¹UAAA¼"/>
      <family val="1"/>
      <charset val="129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0"/>
      <name val="바탕체"/>
      <family val="1"/>
      <charset val="129"/>
    </font>
    <font>
      <sz val="11"/>
      <color indexed="8"/>
      <name val="굴림"/>
      <family val="3"/>
      <charset val="129"/>
    </font>
    <font>
      <sz val="11"/>
      <color indexed="9"/>
      <name val="굴림"/>
      <family val="3"/>
      <charset val="129"/>
    </font>
    <font>
      <sz val="12"/>
      <name val="쭵oUAAA?쬾"/>
      <family val="1"/>
      <charset val="129"/>
    </font>
    <font>
      <sz val="12"/>
      <name val="¹ÙÅÁÃ¼"/>
      <family val="1"/>
      <charset val="129"/>
    </font>
    <font>
      <sz val="11"/>
      <name val="?RIi?RE?R??RE?o"/>
      <family val="3"/>
    </font>
    <font>
      <sz val="12"/>
      <name val="?UAAA?"/>
      <family val="1"/>
    </font>
    <font>
      <sz val="12"/>
      <name val="¨IoUAAA¡§u"/>
      <family val="1"/>
      <charset val="129"/>
    </font>
    <font>
      <sz val="11"/>
      <name val="??????o"/>
      <family val="3"/>
    </font>
    <font>
      <sz val="11"/>
      <name val="ⓒoUAAA¨u"/>
      <family val="1"/>
      <charset val="129"/>
    </font>
    <font>
      <sz val="11"/>
      <name val="¥ì¢¬¢¯o"/>
      <family val="3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1"/>
      <name val="¹ÙÅÁÃ¼"/>
      <family val="1"/>
      <charset val="129"/>
    </font>
    <font>
      <sz val="11"/>
      <name val="¹UAAA¼"/>
      <family val="1"/>
      <charset val="129"/>
    </font>
    <font>
      <sz val="11"/>
      <name val="￥i￠￢￠?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¸íÁ¶"/>
      <family val="3"/>
      <charset val="129"/>
    </font>
    <font>
      <sz val="14"/>
      <name val="μ¸¿o"/>
      <family val="3"/>
      <charset val="129"/>
    </font>
    <font>
      <sz val="12"/>
      <name val="¹UAAA "/>
      <family val="1"/>
      <charset val="129"/>
    </font>
    <font>
      <sz val="11"/>
      <name val="µ¸¿o"/>
      <family val="3"/>
      <charset val="129"/>
    </font>
    <font>
      <sz val="9"/>
      <name val="Arial"/>
      <family val="2"/>
    </font>
    <font>
      <sz val="10"/>
      <name val="μ¸¿oA¼"/>
      <family val="3"/>
      <charset val="129"/>
    </font>
    <font>
      <sz val="10"/>
      <name val="MS Sans Serif"/>
      <family val="2"/>
    </font>
    <font>
      <sz val="10"/>
      <name val="±¼¸²A¼"/>
      <family val="3"/>
      <charset val="129"/>
    </font>
    <font>
      <sz val="12"/>
      <name val="¸iA¶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name val="Tms Rmn"/>
      <family val="1"/>
    </font>
    <font>
      <sz val="10"/>
      <name val="µ¸¿o"/>
      <family val="3"/>
      <charset val="129"/>
    </font>
    <font>
      <sz val="12"/>
      <name val="µ¸¿oA "/>
      <family val="3"/>
      <charset val="129"/>
    </font>
    <font>
      <sz val="12"/>
      <name val="￥i￠￢￠?oA¨u"/>
      <family val="3"/>
      <charset val="129"/>
    </font>
    <font>
      <sz val="11"/>
      <name val="¡Ii¡E¡þ¡E?o"/>
      <family val="3"/>
      <charset val="129"/>
    </font>
    <font>
      <sz val="12"/>
      <name val="±¼¸²A¼"/>
      <family val="3"/>
      <charset val="129"/>
    </font>
    <font>
      <sz val="10"/>
      <name val="±¼¸²Ã¼"/>
      <family val="3"/>
      <charset val="129"/>
    </font>
    <font>
      <sz val="14"/>
      <name val="±¼¸²Ã¼"/>
      <family val="3"/>
      <charset val="129"/>
    </font>
    <font>
      <sz val="14"/>
      <name val="±¼¸²A¼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μ¸¿o"/>
      <family val="3"/>
      <charset val="129"/>
    </font>
    <font>
      <sz val="9"/>
      <name val="±¼¸²Ã¼"/>
      <family val="3"/>
      <charset val="129"/>
    </font>
    <font>
      <sz val="12"/>
      <name val="±¼¸²Ã¼"/>
      <family val="3"/>
      <charset val="129"/>
    </font>
    <font>
      <sz val="13"/>
      <name val="±¼¸²A¼"/>
      <family val="3"/>
      <charset val="129"/>
    </font>
    <font>
      <b/>
      <u/>
      <sz val="22"/>
      <name val="¹UAAA¼"/>
      <family val="1"/>
      <charset val="129"/>
    </font>
    <font>
      <b/>
      <u/>
      <sz val="22"/>
      <name val="¹ÙÅÁÃ¼"/>
      <family val="1"/>
      <charset val="129"/>
    </font>
    <font>
      <sz val="12"/>
      <name val="¹Ù"/>
      <family val="3"/>
      <charset val="129"/>
    </font>
    <font>
      <b/>
      <sz val="10"/>
      <name val="Helv"/>
      <family val="2"/>
    </font>
    <font>
      <b/>
      <sz val="8"/>
      <name val="Arial"/>
      <family val="2"/>
    </font>
    <font>
      <i/>
      <sz val="8"/>
      <color indexed="10"/>
      <name val="Tahoma"/>
      <family val="2"/>
    </font>
    <font>
      <sz val="1"/>
      <color indexed="8"/>
      <name val="Courier"/>
      <family val="3"/>
    </font>
    <font>
      <sz val="10"/>
      <name val="Times New Roman"/>
      <family val="1"/>
    </font>
    <font>
      <sz val="12"/>
      <color indexed="24"/>
      <name val="Arial"/>
      <family val="2"/>
    </font>
    <font>
      <sz val="10"/>
      <name val="MS Serif"/>
      <family val="1"/>
    </font>
    <font>
      <sz val="11"/>
      <name val="??"/>
      <family val="1"/>
    </font>
    <font>
      <sz val="8"/>
      <color indexed="19"/>
      <name val="Tahoma"/>
      <family val="2"/>
    </font>
    <font>
      <sz val="10"/>
      <color indexed="16"/>
      <name val="MS Serif"/>
      <family val="1"/>
    </font>
    <font>
      <i/>
      <sz val="8"/>
      <color indexed="11"/>
      <name val="Tahoma"/>
      <family val="2"/>
    </font>
    <font>
      <u/>
      <sz val="11"/>
      <color indexed="36"/>
      <name val="??"/>
      <family val="1"/>
    </font>
    <font>
      <i/>
      <sz val="8"/>
      <color indexed="12"/>
      <name val="Tahoma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b/>
      <sz val="12"/>
      <name val="Tms Rmn"/>
      <family val="1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u/>
      <sz val="11"/>
      <color indexed="12"/>
      <name val="??"/>
      <family val="1"/>
    </font>
    <font>
      <sz val="8"/>
      <color indexed="8"/>
      <name val="Tahoma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u/>
      <sz val="18"/>
      <name val="Times New Roman"/>
      <family val="1"/>
    </font>
    <font>
      <sz val="14"/>
      <name val="뼻뮝"/>
      <family val="1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8"/>
      <color indexed="12"/>
      <name val="Arial"/>
      <family val="2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1"/>
      <color indexed="10"/>
      <name val="굴림"/>
      <family val="3"/>
      <charset val="129"/>
    </font>
    <font>
      <b/>
      <sz val="11"/>
      <color indexed="52"/>
      <name val="굴림"/>
      <family val="3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2"/>
      <name val="官帕眉"/>
      <charset val="134"/>
    </font>
    <font>
      <sz val="11"/>
      <color indexed="20"/>
      <name val="굴림"/>
      <family val="3"/>
      <charset val="129"/>
    </font>
    <font>
      <sz val="10"/>
      <name val="돋움체"/>
      <family val="3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1"/>
      <charset val="129"/>
    </font>
    <font>
      <sz val="14"/>
      <name val="ＭＳ 明朝"/>
      <family val="3"/>
      <charset val="255"/>
    </font>
    <font>
      <sz val="1"/>
      <color indexed="0"/>
      <name val="Courier"/>
      <family val="3"/>
    </font>
    <font>
      <sz val="10"/>
      <name val="궁서"/>
      <family val="1"/>
      <charset val="129"/>
    </font>
    <font>
      <sz val="11"/>
      <color indexed="60"/>
      <name val="굴림"/>
      <family val="3"/>
      <charset val="129"/>
    </font>
    <font>
      <sz val="12"/>
      <name val="뼻뮝"/>
      <family val="1"/>
      <charset val="129"/>
    </font>
    <font>
      <i/>
      <sz val="11"/>
      <color indexed="23"/>
      <name val="굴림"/>
      <family val="3"/>
      <charset val="129"/>
    </font>
    <font>
      <b/>
      <sz val="11"/>
      <color indexed="9"/>
      <name val="굴림"/>
      <family val="3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Arial"/>
      <family val="2"/>
    </font>
    <font>
      <sz val="10"/>
      <name val="명조"/>
      <family val="3"/>
      <charset val="129"/>
    </font>
    <font>
      <sz val="11"/>
      <color indexed="52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12"/>
      <color indexed="8"/>
      <name val="新細明體"/>
      <family val="1"/>
      <charset val="255"/>
    </font>
    <font>
      <sz val="11"/>
      <color indexed="62"/>
      <name val="굴림"/>
      <family val="3"/>
      <charset val="129"/>
    </font>
    <font>
      <sz val="10"/>
      <color indexed="24"/>
      <name val="MS Sans Serif"/>
      <family val="2"/>
    </font>
    <font>
      <b/>
      <sz val="15"/>
      <color indexed="56"/>
      <name val="굴림"/>
      <family val="3"/>
      <charset val="129"/>
    </font>
    <font>
      <b/>
      <sz val="13"/>
      <color indexed="56"/>
      <name val="굴림"/>
      <family val="3"/>
      <charset val="129"/>
    </font>
    <font>
      <b/>
      <sz val="11"/>
      <color indexed="56"/>
      <name val="굴림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굴림"/>
      <family val="3"/>
      <charset val="129"/>
    </font>
    <font>
      <i/>
      <u/>
      <sz val="10"/>
      <color indexed="10"/>
      <name val="Arial"/>
      <family val="2"/>
    </font>
    <font>
      <sz val="12"/>
      <name val="宋体"/>
      <family val="3"/>
      <charset val="129"/>
    </font>
    <font>
      <b/>
      <sz val="11"/>
      <color indexed="63"/>
      <name val="굴림"/>
      <family val="3"/>
      <charset val="129"/>
    </font>
    <font>
      <sz val="11"/>
      <name val="柧挬"/>
      <charset val="134"/>
    </font>
    <font>
      <b/>
      <sz val="18"/>
      <name val="바탕체"/>
      <family val="1"/>
      <charset val="129"/>
    </font>
    <font>
      <b/>
      <sz val="12"/>
      <name val="돋움체"/>
      <family val="3"/>
      <charset val="129"/>
    </font>
    <font>
      <sz val="11"/>
      <name val="바탕체"/>
      <family val="1"/>
      <charset val="129"/>
    </font>
    <font>
      <sz val="11"/>
      <name val="굴림"/>
      <family val="3"/>
      <charset val="129"/>
    </font>
    <font>
      <sz val="12"/>
      <name val="Osaka"/>
      <family val="3"/>
      <charset val="255"/>
    </font>
    <font>
      <sz val="12"/>
      <name val="芥竟"/>
      <family val="1"/>
      <charset val="129"/>
    </font>
    <font>
      <sz val="12"/>
      <name val="바탕체"/>
      <family val="1"/>
    </font>
    <font>
      <sz val="10"/>
      <name val="¹UAAA¼"/>
      <family val="1"/>
    </font>
    <font>
      <sz val="10"/>
      <name val="¹ÙÅÁÃ¼"/>
      <family val="1"/>
    </font>
    <font>
      <sz val="12"/>
      <name val="¹UAAA¼"/>
      <family val="1"/>
    </font>
    <font>
      <sz val="12"/>
      <name val="¹ÙÅÁÃ¼"/>
      <family val="1"/>
    </font>
    <font>
      <sz val="10"/>
      <name val="±¼¸²A¼"/>
      <family val="3"/>
    </font>
    <font>
      <sz val="10"/>
      <name val="±¼¸²Ã¼"/>
      <family val="3"/>
    </font>
    <font>
      <sz val="11"/>
      <color theme="1"/>
      <name val="Arial"/>
      <family val="2"/>
    </font>
    <font>
      <sz val="10"/>
      <color indexed="8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0"/>
      <color indexed="2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i/>
      <sz val="10"/>
      <color indexed="23"/>
      <name val="맑은 고딕"/>
      <family val="3"/>
      <charset val="129"/>
    </font>
    <font>
      <sz val="10"/>
      <color indexed="17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0"/>
      <color indexed="52"/>
      <name val="맑은 고딕"/>
      <family val="3"/>
      <charset val="129"/>
    </font>
    <font>
      <sz val="10"/>
      <color indexed="60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indexed="9"/>
      <name val="나눔고딕"/>
      <family val="3"/>
      <charset val="129"/>
    </font>
    <font>
      <sz val="10"/>
      <name val="나눔고딕"/>
      <family val="3"/>
      <charset val="129"/>
    </font>
    <font>
      <b/>
      <sz val="10"/>
      <name val="나눔고딕"/>
      <family val="3"/>
      <charset val="129"/>
    </font>
    <font>
      <b/>
      <sz val="10"/>
      <color theme="0"/>
      <name val="나눔고딕"/>
      <family val="3"/>
      <charset val="129"/>
    </font>
    <font>
      <sz val="10"/>
      <color theme="0"/>
      <name val="나눔고딕"/>
      <family val="3"/>
      <charset val="129"/>
    </font>
    <font>
      <b/>
      <u/>
      <sz val="10"/>
      <color indexed="10"/>
      <name val="나눔고딕"/>
      <family val="3"/>
      <charset val="129"/>
    </font>
    <font>
      <b/>
      <sz val="10"/>
      <color indexed="10"/>
      <name val="나눔고딕"/>
      <family val="3"/>
      <charset val="129"/>
    </font>
    <font>
      <sz val="10"/>
      <color indexed="30"/>
      <name val="나눔고딕"/>
      <family val="3"/>
      <charset val="129"/>
    </font>
    <font>
      <sz val="10"/>
      <color rgb="FF0070C0"/>
      <name val="나눔고딕"/>
      <family val="3"/>
      <charset val="129"/>
    </font>
    <font>
      <sz val="10"/>
      <color rgb="FFFF0000"/>
      <name val="나눔고딕"/>
      <family val="3"/>
      <charset val="129"/>
    </font>
    <font>
      <sz val="14"/>
      <color indexed="9"/>
      <name val="나눔고딕"/>
      <family val="3"/>
      <charset val="129"/>
    </font>
    <font>
      <b/>
      <sz val="12"/>
      <name val="나눔고딕"/>
      <family val="3"/>
      <charset val="129"/>
    </font>
    <font>
      <sz val="10"/>
      <color indexed="12"/>
      <name val="나눔고딕"/>
      <family val="3"/>
      <charset val="129"/>
    </font>
    <font>
      <b/>
      <sz val="10"/>
      <color indexed="12"/>
      <name val="나눔고딕"/>
      <family val="3"/>
      <charset val="129"/>
    </font>
    <font>
      <b/>
      <i/>
      <sz val="10"/>
      <color indexed="12"/>
      <name val="나눔고딕"/>
      <family val="3"/>
      <charset val="129"/>
    </font>
    <font>
      <sz val="11"/>
      <name val="나눔고딕"/>
      <family val="3"/>
      <charset val="129"/>
    </font>
    <font>
      <sz val="10"/>
      <color indexed="10"/>
      <name val="나눔고딕"/>
      <family val="3"/>
      <charset val="129"/>
    </font>
    <font>
      <b/>
      <sz val="9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10"/>
      <color indexed="9"/>
      <name val="나눔고딕"/>
      <family val="3"/>
      <charset val="129"/>
    </font>
    <font>
      <b/>
      <sz val="11"/>
      <name val="나눔고딕"/>
      <family val="3"/>
      <charset val="129"/>
    </font>
    <font>
      <sz val="10"/>
      <color indexed="8"/>
      <name val="나눔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돋움"/>
      <family val="3"/>
      <charset val="129"/>
    </font>
    <font>
      <b/>
      <sz val="10"/>
      <name val="Arial"/>
      <family val="2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sz val="11"/>
      <name val="돋움체"/>
      <family val="3"/>
      <charset val="129"/>
    </font>
    <font>
      <sz val="11"/>
      <name val="굴림체"/>
      <family val="3"/>
      <charset val="129"/>
    </font>
    <font>
      <sz val="9"/>
      <name val="굴림체"/>
      <family val="3"/>
      <charset val="129"/>
    </font>
    <font>
      <b/>
      <sz val="11"/>
      <color indexed="18"/>
      <name val="Times New Roman"/>
      <family val="1"/>
    </font>
    <font>
      <b/>
      <u/>
      <sz val="8"/>
      <color indexed="8"/>
      <name val="Helv"/>
      <family val="2"/>
    </font>
    <font>
      <u/>
      <sz val="11"/>
      <color indexed="12"/>
      <name val="±¼¸²A¼"/>
      <family val="3"/>
      <charset val="129"/>
    </font>
    <font>
      <b/>
      <sz val="9"/>
      <name val="Helv"/>
      <family val="2"/>
    </font>
    <font>
      <sz val="8"/>
      <name val="LinePrinter"/>
      <family val="2"/>
    </font>
    <font>
      <i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2"/>
      <name val="Courier New"/>
      <family val="3"/>
    </font>
    <font>
      <b/>
      <sz val="8.5"/>
      <name val="MS Sans Serif"/>
      <family val="2"/>
    </font>
    <font>
      <b/>
      <sz val="8"/>
      <name val="Helv"/>
      <family val="2"/>
    </font>
    <font>
      <b/>
      <sz val="8"/>
      <color indexed="8"/>
      <name val="LinePrinter"/>
      <family val="2"/>
    </font>
    <font>
      <sz val="11"/>
      <name val="궁서체"/>
      <family val="1"/>
      <charset val="129"/>
    </font>
    <font>
      <b/>
      <sz val="9"/>
      <name val="Palatino"/>
      <family val="1"/>
    </font>
    <font>
      <sz val="9"/>
      <name val="Helvetica-Black"/>
      <family val="2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b/>
      <sz val="10"/>
      <name val="바탕체"/>
      <family val="1"/>
      <charset val="129"/>
    </font>
    <font>
      <sz val="9"/>
      <color indexed="60"/>
      <name val="굴림체"/>
      <family val="3"/>
      <charset val="129"/>
    </font>
    <font>
      <sz val="10"/>
      <color theme="1"/>
      <name val="서울남산체 M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10"/>
      <color indexed="8"/>
      <name val="돋움"/>
      <family val="3"/>
      <charset val="129"/>
    </font>
  </fonts>
  <fills count="8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9"/>
      </patternFill>
    </fill>
    <fill>
      <patternFill patternType="gray125">
        <fgColor indexed="9"/>
        <bgColor indexed="9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D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1FB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theme="9" tint="0.59999389629810485"/>
        <bgColor indexed="64"/>
      </patternFill>
    </fill>
  </fills>
  <borders count="1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thin">
        <color indexed="8"/>
      </right>
      <top/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247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9" fillId="0" borderId="0" applyNumberForma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>
      <alignment vertical="center"/>
    </xf>
    <xf numFmtId="0" fontId="20" fillId="0" borderId="0"/>
    <xf numFmtId="0" fontId="21" fillId="0" borderId="0"/>
    <xf numFmtId="0" fontId="22" fillId="0" borderId="0">
      <protection locked="0"/>
    </xf>
    <xf numFmtId="0" fontId="21" fillId="0" borderId="0"/>
    <xf numFmtId="0" fontId="22" fillId="0" borderId="0">
      <protection locked="0"/>
    </xf>
    <xf numFmtId="0" fontId="23" fillId="5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23" fillId="59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23" fillId="63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23" fillId="63" borderId="0" applyNumberFormat="0" applyBorder="0" applyAlignment="0" applyProtection="0">
      <alignment vertical="center"/>
    </xf>
    <xf numFmtId="0" fontId="23" fillId="63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23" fillId="64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23" fillId="64" borderId="0" applyNumberFormat="0" applyBorder="0" applyAlignment="0" applyProtection="0">
      <alignment vertical="center"/>
    </xf>
    <xf numFmtId="0" fontId="23" fillId="64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4" fillId="65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4" fillId="6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4" fillId="6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9" fontId="26" fillId="0" borderId="0" applyBorder="0"/>
    <xf numFmtId="0" fontId="19" fillId="0" borderId="0" applyFont="0" applyFill="0" applyBorder="0" applyAlignment="0" applyProtection="0"/>
    <xf numFmtId="0" fontId="27" fillId="0" borderId="0" applyNumberFormat="0" applyFill="0" applyBorder="0" applyAlignment="0">
      <alignment vertical="center"/>
      <protection locked="0"/>
    </xf>
    <xf numFmtId="0" fontId="28" fillId="0" borderId="0" applyNumberFormat="0" applyFill="0" applyBorder="0" applyAlignment="0">
      <alignment vertical="center"/>
      <protection locked="0"/>
    </xf>
    <xf numFmtId="0" fontId="24" fillId="6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69" borderId="0" applyNumberFormat="0" applyBorder="0" applyAlignment="0" applyProtection="0">
      <alignment vertical="center"/>
    </xf>
    <xf numFmtId="0" fontId="24" fillId="6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7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70" borderId="0" applyNumberFormat="0" applyBorder="0" applyAlignment="0" applyProtection="0">
      <alignment vertical="center"/>
    </xf>
    <xf numFmtId="0" fontId="24" fillId="7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71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71" borderId="0" applyNumberFormat="0" applyBorder="0" applyAlignment="0" applyProtection="0">
      <alignment vertical="center"/>
    </xf>
    <xf numFmtId="0" fontId="24" fillId="71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4" fillId="66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4" fillId="6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4" fillId="72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4" fillId="72" borderId="0" applyNumberFormat="0" applyBorder="0" applyAlignment="0" applyProtection="0">
      <alignment vertical="center"/>
    </xf>
    <xf numFmtId="0" fontId="24" fillId="72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1" fillId="27" borderId="107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0" fillId="73" borderId="113" applyNumberFormat="0" applyAlignment="0" applyProtection="0">
      <alignment vertical="center"/>
    </xf>
    <xf numFmtId="0" fontId="31" fillId="27" borderId="107" applyNumberFormat="0" applyAlignment="0" applyProtection="0">
      <alignment vertical="center"/>
    </xf>
    <xf numFmtId="0" fontId="31" fillId="27" borderId="107" applyNumberFormat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9" borderId="111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29" borderId="111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74" borderId="114" applyNumberFormat="0" applyFont="0" applyAlignment="0" applyProtection="0">
      <alignment vertical="center"/>
    </xf>
    <xf numFmtId="0" fontId="23" fillId="29" borderId="111" applyNumberFormat="0" applyFont="0" applyAlignment="0" applyProtection="0">
      <alignment vertical="center"/>
    </xf>
    <xf numFmtId="0" fontId="23" fillId="29" borderId="111" applyNumberFormat="0" applyFont="0" applyAlignment="0" applyProtection="0">
      <alignment vertical="center"/>
    </xf>
    <xf numFmtId="0" fontId="23" fillId="29" borderId="111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35" fillId="7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75" borderId="0" applyNumberFormat="0" applyBorder="0" applyAlignment="0" applyProtection="0">
      <alignment vertical="center"/>
    </xf>
    <xf numFmtId="0" fontId="35" fillId="7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76" borderId="115" applyNumberFormat="0" applyAlignment="0" applyProtection="0">
      <alignment vertical="center"/>
    </xf>
    <xf numFmtId="0" fontId="16" fillId="28" borderId="110" applyNumberFormat="0" applyAlignment="0" applyProtection="0">
      <alignment vertical="center"/>
    </xf>
    <xf numFmtId="0" fontId="39" fillId="76" borderId="115" applyNumberFormat="0" applyAlignment="0" applyProtection="0">
      <alignment vertical="center"/>
    </xf>
    <xf numFmtId="0" fontId="39" fillId="76" borderId="115" applyNumberFormat="0" applyAlignment="0" applyProtection="0">
      <alignment vertical="center"/>
    </xf>
    <xf numFmtId="0" fontId="16" fillId="28" borderId="110" applyNumberFormat="0" applyAlignment="0" applyProtection="0">
      <alignment vertical="center"/>
    </xf>
    <xf numFmtId="0" fontId="16" fillId="28" borderId="110" applyNumberFormat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8" fillId="0" borderId="0" applyFont="0" applyFill="0" applyBorder="0" applyAlignment="0">
      <alignment vertical="center"/>
      <protection locked="0"/>
    </xf>
    <xf numFmtId="0" fontId="2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0" borderId="116" applyNumberFormat="0" applyFill="0" applyAlignment="0" applyProtection="0">
      <alignment vertical="center"/>
    </xf>
    <xf numFmtId="0" fontId="42" fillId="0" borderId="109" applyNumberFormat="0" applyFill="0" applyAlignment="0" applyProtection="0">
      <alignment vertical="center"/>
    </xf>
    <xf numFmtId="0" fontId="41" fillId="0" borderId="116" applyNumberFormat="0" applyFill="0" applyAlignment="0" applyProtection="0">
      <alignment vertical="center"/>
    </xf>
    <xf numFmtId="0" fontId="41" fillId="0" borderId="116" applyNumberFormat="0" applyFill="0" applyAlignment="0" applyProtection="0">
      <alignment vertical="center"/>
    </xf>
    <xf numFmtId="0" fontId="42" fillId="0" borderId="109" applyNumberFormat="0" applyFill="0" applyAlignment="0" applyProtection="0">
      <alignment vertical="center"/>
    </xf>
    <xf numFmtId="0" fontId="42" fillId="0" borderId="109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15" fillId="0" borderId="112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43" fillId="0" borderId="117" applyNumberFormat="0" applyFill="0" applyAlignment="0" applyProtection="0">
      <alignment vertical="center"/>
    </xf>
    <xf numFmtId="0" fontId="15" fillId="0" borderId="112" applyNumberFormat="0" applyFill="0" applyAlignment="0" applyProtection="0">
      <alignment vertical="center"/>
    </xf>
    <xf numFmtId="0" fontId="15" fillId="0" borderId="112" applyNumberFormat="0" applyFill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5" fillId="26" borderId="107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4" fillId="60" borderId="113" applyNumberFormat="0" applyAlignment="0" applyProtection="0">
      <alignment vertical="center"/>
    </xf>
    <xf numFmtId="0" fontId="45" fillId="26" borderId="107" applyNumberFormat="0" applyAlignment="0" applyProtection="0">
      <alignment vertical="center"/>
    </xf>
    <xf numFmtId="0" fontId="45" fillId="26" borderId="107" applyNumberFormat="0" applyAlignment="0" applyProtection="0">
      <alignment vertical="center"/>
    </xf>
    <xf numFmtId="0" fontId="46" fillId="0" borderId="118" applyNumberFormat="0" applyFill="0" applyAlignment="0" applyProtection="0">
      <alignment vertical="center"/>
    </xf>
    <xf numFmtId="0" fontId="47" fillId="0" borderId="104" applyNumberFormat="0" applyFill="0" applyAlignment="0" applyProtection="0">
      <alignment vertical="center"/>
    </xf>
    <xf numFmtId="0" fontId="46" fillId="0" borderId="118" applyNumberFormat="0" applyFill="0" applyAlignment="0" applyProtection="0">
      <alignment vertical="center"/>
    </xf>
    <xf numFmtId="0" fontId="46" fillId="0" borderId="118" applyNumberFormat="0" applyFill="0" applyAlignment="0" applyProtection="0">
      <alignment vertical="center"/>
    </xf>
    <xf numFmtId="0" fontId="47" fillId="0" borderId="104" applyNumberFormat="0" applyFill="0" applyAlignment="0" applyProtection="0">
      <alignment vertical="center"/>
    </xf>
    <xf numFmtId="0" fontId="48" fillId="0" borderId="119" applyNumberFormat="0" applyFill="0" applyAlignment="0" applyProtection="0">
      <alignment vertical="center"/>
    </xf>
    <xf numFmtId="0" fontId="49" fillId="0" borderId="105" applyNumberFormat="0" applyFill="0" applyAlignment="0" applyProtection="0">
      <alignment vertical="center"/>
    </xf>
    <xf numFmtId="0" fontId="48" fillId="0" borderId="119" applyNumberFormat="0" applyFill="0" applyAlignment="0" applyProtection="0">
      <alignment vertical="center"/>
    </xf>
    <xf numFmtId="0" fontId="48" fillId="0" borderId="119" applyNumberFormat="0" applyFill="0" applyAlignment="0" applyProtection="0">
      <alignment vertical="center"/>
    </xf>
    <xf numFmtId="0" fontId="49" fillId="0" borderId="105" applyNumberFormat="0" applyFill="0" applyAlignment="0" applyProtection="0">
      <alignment vertical="center"/>
    </xf>
    <xf numFmtId="0" fontId="50" fillId="0" borderId="120" applyNumberFormat="0" applyFill="0" applyAlignment="0" applyProtection="0">
      <alignment vertical="center"/>
    </xf>
    <xf numFmtId="0" fontId="51" fillId="0" borderId="106" applyNumberFormat="0" applyFill="0" applyAlignment="0" applyProtection="0">
      <alignment vertical="center"/>
    </xf>
    <xf numFmtId="0" fontId="50" fillId="0" borderId="120" applyNumberFormat="0" applyFill="0" applyAlignment="0" applyProtection="0">
      <alignment vertical="center"/>
    </xf>
    <xf numFmtId="0" fontId="50" fillId="0" borderId="120" applyNumberFormat="0" applyFill="0" applyAlignment="0" applyProtection="0">
      <alignment vertical="center"/>
    </xf>
    <xf numFmtId="0" fontId="51" fillId="0" borderId="10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7" fillId="27" borderId="108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6" fillId="73" borderId="121" applyNumberFormat="0" applyAlignment="0" applyProtection="0">
      <alignment vertical="center"/>
    </xf>
    <xf numFmtId="0" fontId="57" fillId="27" borderId="108" applyNumberFormat="0" applyAlignment="0" applyProtection="0">
      <alignment vertical="center"/>
    </xf>
    <xf numFmtId="0" fontId="57" fillId="27" borderId="108" applyNumberFormat="0" applyAlignment="0" applyProtection="0">
      <alignment vertical="center"/>
    </xf>
    <xf numFmtId="42" fontId="8" fillId="0" borderId="0" applyFont="0" applyFill="0" applyBorder="0" applyAlignment="0">
      <alignment vertical="center"/>
      <protection locked="0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40" fillId="0" borderId="0"/>
    <xf numFmtId="0" fontId="8" fillId="0" borderId="0">
      <alignment vertical="center"/>
    </xf>
    <xf numFmtId="0" fontId="40" fillId="0" borderId="0"/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40" fillId="0" borderId="0"/>
    <xf numFmtId="0" fontId="8" fillId="0" borderId="0">
      <alignment vertical="center"/>
    </xf>
    <xf numFmtId="0" fontId="40" fillId="0" borderId="0"/>
    <xf numFmtId="0" fontId="8" fillId="0" borderId="0">
      <alignment vertical="center"/>
    </xf>
    <xf numFmtId="0" fontId="40" fillId="0" borderId="0"/>
    <xf numFmtId="0" fontId="8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8" fillId="0" borderId="0"/>
    <xf numFmtId="0" fontId="23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40" fillId="0" borderId="0"/>
    <xf numFmtId="0" fontId="23" fillId="0" borderId="0">
      <alignment vertical="center"/>
    </xf>
    <xf numFmtId="0" fontId="23" fillId="0" borderId="0">
      <alignment vertical="center"/>
    </xf>
    <xf numFmtId="0" fontId="4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7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0" fillId="0" borderId="0"/>
    <xf numFmtId="0" fontId="4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0" fillId="0" borderId="0"/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40" fillId="0" borderId="0"/>
    <xf numFmtId="0" fontId="19" fillId="0" borderId="0">
      <alignment vertical="center"/>
    </xf>
    <xf numFmtId="0" fontId="40" fillId="0" borderId="0"/>
    <xf numFmtId="0" fontId="19" fillId="0" borderId="0">
      <alignment vertical="center"/>
    </xf>
    <xf numFmtId="0" fontId="40" fillId="0" borderId="0"/>
    <xf numFmtId="0" fontId="19" fillId="0" borderId="0">
      <alignment vertical="center"/>
    </xf>
    <xf numFmtId="0" fontId="40" fillId="0" borderId="0"/>
    <xf numFmtId="0" fontId="19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0" fillId="0" borderId="0"/>
    <xf numFmtId="0" fontId="40" fillId="0" borderId="0"/>
    <xf numFmtId="0" fontId="23" fillId="0" borderId="0">
      <alignment vertical="center"/>
    </xf>
    <xf numFmtId="0" fontId="8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5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60" fillId="0" borderId="0"/>
    <xf numFmtId="41" fontId="60" fillId="0" borderId="0" applyFont="0" applyFill="0" applyBorder="0" applyAlignment="0" applyProtection="0"/>
    <xf numFmtId="0" fontId="58" fillId="0" borderId="0"/>
    <xf numFmtId="0" fontId="9" fillId="0" borderId="0" applyNumberFormat="0" applyFill="0" applyBorder="0" applyAlignment="0" applyProtection="0"/>
    <xf numFmtId="5" fontId="8" fillId="0" borderId="0" applyFont="0" applyFill="0" applyBorder="0" applyAlignment="0" applyProtection="0"/>
    <xf numFmtId="0" fontId="58" fillId="0" borderId="0"/>
    <xf numFmtId="0" fontId="61" fillId="0" borderId="79"/>
    <xf numFmtId="0" fontId="58" fillId="0" borderId="0"/>
    <xf numFmtId="0" fontId="58" fillId="0" borderId="0"/>
    <xf numFmtId="0" fontId="58" fillId="0" borderId="0"/>
    <xf numFmtId="0" fontId="197" fillId="0" borderId="0"/>
    <xf numFmtId="40" fontId="6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58" fillId="0" borderId="0" applyFont="0" applyFill="0" applyBorder="0" applyAlignment="0" applyProtection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19" fillId="0" borderId="0"/>
    <xf numFmtId="0" fontId="5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3" fillId="0" borderId="0"/>
    <xf numFmtId="0" fontId="63" fillId="0" borderId="0"/>
    <xf numFmtId="0" fontId="58" fillId="0" borderId="0" applyFont="0" applyFill="0" applyBorder="0" applyAlignment="0" applyProtection="0"/>
    <xf numFmtId="0" fontId="63" fillId="0" borderId="0"/>
    <xf numFmtId="0" fontId="21" fillId="0" borderId="0"/>
    <xf numFmtId="0" fontId="63" fillId="0" borderId="0"/>
    <xf numFmtId="0" fontId="19" fillId="0" borderId="0"/>
    <xf numFmtId="0" fontId="26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21" fillId="0" borderId="0"/>
    <xf numFmtId="0" fontId="63" fillId="0" borderId="0"/>
    <xf numFmtId="0" fontId="19" fillId="0" borderId="0"/>
    <xf numFmtId="187" fontId="8" fillId="0" borderId="0" applyFont="0" applyFill="0" applyBorder="0" applyAlignment="0" applyProtection="0"/>
    <xf numFmtId="0" fontId="21" fillId="0" borderId="0"/>
    <xf numFmtId="0" fontId="21" fillId="0" borderId="0"/>
    <xf numFmtId="0" fontId="63" fillId="0" borderId="0"/>
    <xf numFmtId="0" fontId="1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/>
    <xf numFmtId="0" fontId="19" fillId="0" borderId="0"/>
    <xf numFmtId="0" fontId="63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63" fillId="0" borderId="0"/>
    <xf numFmtId="0" fontId="19" fillId="0" borderId="0"/>
    <xf numFmtId="0" fontId="19" fillId="0" borderId="0"/>
    <xf numFmtId="0" fontId="64" fillId="0" borderId="0" applyFont="0" applyFill="0" applyBorder="0" applyAlignment="0" applyProtection="0"/>
    <xf numFmtId="0" fontId="66" fillId="0" borderId="0"/>
    <xf numFmtId="9" fontId="19" fillId="77" borderId="0"/>
    <xf numFmtId="0" fontId="58" fillId="0" borderId="0"/>
    <xf numFmtId="0" fontId="67" fillId="0" borderId="0"/>
    <xf numFmtId="0" fontId="68" fillId="0" borderId="0" applyNumberFormat="0" applyFill="0" applyBorder="0" applyAlignment="0" applyProtection="0"/>
    <xf numFmtId="0" fontId="58" fillId="0" borderId="0"/>
    <xf numFmtId="40" fontId="69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/>
    <xf numFmtId="0" fontId="70" fillId="0" borderId="0"/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1" fontId="71" fillId="0" borderId="29">
      <alignment horizontal="center" vertical="center"/>
    </xf>
    <xf numFmtId="0" fontId="19" fillId="0" borderId="0"/>
    <xf numFmtId="188" fontId="71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72" fillId="55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60" borderId="0" applyNumberFormat="0" applyBorder="0" applyAlignment="0" applyProtection="0">
      <alignment vertical="center"/>
    </xf>
    <xf numFmtId="0" fontId="58" fillId="0" borderId="0"/>
    <xf numFmtId="0" fontId="72" fillId="61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72" fillId="63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61" borderId="0" applyNumberFormat="0" applyBorder="0" applyAlignment="0" applyProtection="0">
      <alignment vertical="center"/>
    </xf>
    <xf numFmtId="0" fontId="72" fillId="64" borderId="0" applyNumberFormat="0" applyBorder="0" applyAlignment="0" applyProtection="0">
      <alignment vertical="center"/>
    </xf>
    <xf numFmtId="0" fontId="73" fillId="65" borderId="0" applyNumberFormat="0" applyBorder="0" applyAlignment="0" applyProtection="0">
      <alignment vertical="center"/>
    </xf>
    <xf numFmtId="0" fontId="73" fillId="62" borderId="0" applyNumberFormat="0" applyBorder="0" applyAlignment="0" applyProtection="0">
      <alignment vertical="center"/>
    </xf>
    <xf numFmtId="0" fontId="73" fillId="63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7" borderId="0" applyNumberFormat="0" applyBorder="0" applyAlignment="0" applyProtection="0">
      <alignment vertical="center"/>
    </xf>
    <xf numFmtId="0" fontId="73" fillId="6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9" fontId="64" fillId="0" borderId="0">
      <alignment vertical="center"/>
    </xf>
    <xf numFmtId="0" fontId="74" fillId="0" borderId="0" applyFont="0" applyFill="0" applyBorder="0" applyAlignment="0" applyProtection="0"/>
    <xf numFmtId="190" fontId="75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41" fontId="80" fillId="0" borderId="0" applyFont="0" applyFill="0" applyBorder="0" applyAlignment="0" applyProtection="0"/>
    <xf numFmtId="41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64" fillId="78" borderId="122">
      <alignment horizontal="center" vertical="center"/>
    </xf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87" fontId="26" fillId="0" borderId="0" applyFont="0" applyFill="0" applyBorder="0" applyAlignment="0" applyProtection="0"/>
    <xf numFmtId="192" fontId="87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86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187" fontId="75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187" fontId="86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187" fontId="86" fillId="0" borderId="0" applyFont="0" applyFill="0" applyBorder="0" applyAlignment="0" applyProtection="0"/>
    <xf numFmtId="193" fontId="89" fillId="0" borderId="0" applyFont="0" applyFill="0" applyBorder="0" applyAlignment="0" applyProtection="0"/>
    <xf numFmtId="187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187" fontId="91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187" fontId="86" fillId="0" borderId="0" applyFont="0" applyFill="0" applyBorder="0" applyAlignment="0" applyProtection="0"/>
    <xf numFmtId="0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89" fillId="0" borderId="0" applyFont="0" applyFill="0" applyBorder="0" applyAlignment="0" applyProtection="0"/>
    <xf numFmtId="194" fontId="8" fillId="0" borderId="0" applyFont="0" applyFill="0" applyBorder="0" applyAlignment="0" applyProtection="0"/>
    <xf numFmtId="0" fontId="89" fillId="0" borderId="0" applyFont="0" applyFill="0" applyBorder="0" applyAlignment="0" applyProtection="0"/>
    <xf numFmtId="195" fontId="8" fillId="0" borderId="0" applyFont="0" applyFill="0" applyBorder="0" applyAlignment="0" applyProtection="0"/>
    <xf numFmtId="0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196" fontId="92" fillId="0" borderId="0" applyFont="0" applyFill="0" applyBorder="0" applyAlignment="0" applyProtection="0"/>
    <xf numFmtId="187" fontId="90" fillId="0" borderId="0" applyFont="0" applyFill="0" applyBorder="0" applyAlignment="0" applyProtection="0"/>
    <xf numFmtId="187" fontId="75" fillId="0" borderId="0" applyFont="0" applyFill="0" applyBorder="0" applyAlignment="0" applyProtection="0"/>
    <xf numFmtId="187" fontId="85" fillId="0" borderId="0" applyFont="0" applyFill="0" applyBorder="0" applyAlignment="0" applyProtection="0"/>
    <xf numFmtId="187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91" fillId="0" borderId="0" applyFont="0" applyFill="0" applyBorder="0" applyAlignment="0" applyProtection="0"/>
    <xf numFmtId="187" fontId="26" fillId="0" borderId="0" applyFont="0" applyFill="0" applyBorder="0" applyAlignment="0" applyProtection="0"/>
    <xf numFmtId="196" fontId="92" fillId="0" borderId="0" applyFont="0" applyFill="0" applyBorder="0" applyAlignment="0" applyProtection="0"/>
    <xf numFmtId="42" fontId="93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192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187" fontId="75" fillId="0" borderId="0" applyFont="0" applyFill="0" applyBorder="0" applyAlignment="0" applyProtection="0"/>
    <xf numFmtId="42" fontId="85" fillId="0" borderId="0" applyFont="0" applyFill="0" applyBorder="0" applyAlignment="0" applyProtection="0"/>
    <xf numFmtId="42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42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87" fontId="85" fillId="0" borderId="0" applyFont="0" applyFill="0" applyBorder="0" applyAlignment="0" applyProtection="0"/>
    <xf numFmtId="187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187" fontId="90" fillId="0" borderId="0" applyFont="0" applyFill="0" applyBorder="0" applyAlignment="0" applyProtection="0"/>
    <xf numFmtId="187" fontId="91" fillId="0" borderId="0" applyFont="0" applyFill="0" applyBorder="0" applyAlignment="0" applyProtection="0"/>
    <xf numFmtId="0" fontId="85" fillId="0" borderId="0" applyFont="0" applyFill="0" applyBorder="0" applyAlignment="0" applyProtection="0"/>
    <xf numFmtId="18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8" fontId="94" fillId="0" borderId="0" applyFont="0" applyFill="0" applyBorder="0" applyAlignment="0" applyProtection="0"/>
    <xf numFmtId="199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8" fontId="94" fillId="0" borderId="0" applyFont="0" applyFill="0" applyBorder="0" applyAlignment="0" applyProtection="0"/>
    <xf numFmtId="0" fontId="19" fillId="0" borderId="0" applyFont="0" applyFill="0" applyBorder="0" applyAlignment="0" applyProtection="0"/>
    <xf numFmtId="200" fontId="94" fillId="0" borderId="0" applyFont="0" applyFill="0" applyBorder="0" applyAlignment="0" applyProtection="0"/>
    <xf numFmtId="198" fontId="94" fillId="0" borderId="0" applyFont="0" applyFill="0" applyBorder="0" applyAlignment="0" applyProtection="0"/>
    <xf numFmtId="198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201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4" fillId="0" borderId="0" applyFont="0" applyFill="0" applyBorder="0" applyAlignment="0" applyProtection="0"/>
    <xf numFmtId="198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202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9" fontId="96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0" fontId="77" fillId="0" borderId="0" applyFont="0" applyFill="0" applyBorder="0" applyAlignment="0" applyProtection="0"/>
    <xf numFmtId="197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202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63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199" fontId="95" fillId="0" borderId="0" applyFont="0" applyFill="0" applyBorder="0" applyAlignment="0" applyProtection="0"/>
    <xf numFmtId="201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201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8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95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9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7" fontId="94" fillId="0" borderId="0" applyFont="0" applyFill="0" applyBorder="0" applyAlignment="0" applyProtection="0"/>
    <xf numFmtId="199" fontId="19" fillId="0" borderId="0" applyFont="0" applyFill="0" applyBorder="0" applyAlignment="0" applyProtection="0"/>
    <xf numFmtId="197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199" fontId="1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97" fontId="26" fillId="0" borderId="0" applyFont="0" applyFill="0" applyBorder="0" applyAlignment="0" applyProtection="0"/>
    <xf numFmtId="203" fontId="8" fillId="0" borderId="0" applyFont="0" applyFill="0" applyBorder="0" applyAlignment="0" applyProtection="0"/>
    <xf numFmtId="0" fontId="88" fillId="0" borderId="0" applyFont="0" applyFill="0" applyBorder="0" applyAlignment="0" applyProtection="0"/>
    <xf numFmtId="44" fontId="86" fillId="0" borderId="0" applyFont="0" applyFill="0" applyBorder="0" applyAlignment="0" applyProtection="0"/>
    <xf numFmtId="197" fontId="26" fillId="0" borderId="0" applyFont="0" applyFill="0" applyBorder="0" applyAlignment="0" applyProtection="0"/>
    <xf numFmtId="197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197" fontId="26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97" fontId="85" fillId="0" borderId="0" applyFont="0" applyFill="0" applyBorder="0" applyAlignment="0" applyProtection="0"/>
    <xf numFmtId="204" fontId="8" fillId="0" borderId="0" applyFont="0" applyFill="0" applyBorder="0" applyAlignment="0" applyProtection="0"/>
    <xf numFmtId="197" fontId="26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197" fontId="85" fillId="0" borderId="0" applyFont="0" applyFill="0" applyBorder="0" applyAlignment="0" applyProtection="0"/>
    <xf numFmtId="204" fontId="8" fillId="0" borderId="0" applyFont="0" applyFill="0" applyBorder="0" applyAlignment="0" applyProtection="0"/>
    <xf numFmtId="205" fontId="89" fillId="0" borderId="0" applyFont="0" applyFill="0" applyBorder="0" applyAlignment="0" applyProtection="0"/>
    <xf numFmtId="204" fontId="8" fillId="0" borderId="0" applyFont="0" applyFill="0" applyBorder="0" applyAlignment="0" applyProtection="0"/>
    <xf numFmtId="0" fontId="85" fillId="0" borderId="0" applyFont="0" applyFill="0" applyBorder="0" applyAlignment="0" applyProtection="0"/>
    <xf numFmtId="206" fontId="8" fillId="0" borderId="0" applyFont="0" applyFill="0" applyBorder="0" applyAlignment="0" applyProtection="0"/>
    <xf numFmtId="197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197" fontId="90" fillId="0" borderId="0" applyFont="0" applyFill="0" applyBorder="0" applyAlignment="0" applyProtection="0"/>
    <xf numFmtId="204" fontId="8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97" fontId="85" fillId="0" borderId="0" applyFont="0" applyFill="0" applyBorder="0" applyAlignment="0" applyProtection="0"/>
    <xf numFmtId="204" fontId="8" fillId="0" borderId="0" applyFont="0" applyFill="0" applyBorder="0" applyAlignment="0" applyProtection="0"/>
    <xf numFmtId="0" fontId="97" fillId="0" borderId="0" applyFont="0" applyFill="0" applyBorder="0" applyAlignment="0" applyProtection="0"/>
    <xf numFmtId="197" fontId="75" fillId="0" borderId="0" applyFont="0" applyFill="0" applyBorder="0" applyAlignment="0" applyProtection="0"/>
    <xf numFmtId="197" fontId="26" fillId="0" borderId="0" applyFont="0" applyFill="0" applyBorder="0" applyAlignment="0" applyProtection="0"/>
    <xf numFmtId="0" fontId="89" fillId="0" borderId="0" applyFont="0" applyFill="0" applyBorder="0" applyAlignment="0" applyProtection="0"/>
    <xf numFmtId="207" fontId="19" fillId="0" borderId="0" applyFont="0" applyFill="0" applyBorder="0" applyAlignment="0" applyProtection="0"/>
    <xf numFmtId="0" fontId="89" fillId="0" borderId="0" applyFont="0" applyFill="0" applyBorder="0" applyAlignment="0" applyProtection="0"/>
    <xf numFmtId="208" fontId="8" fillId="0" borderId="0" applyFont="0" applyFill="0" applyBorder="0" applyAlignment="0" applyProtection="0"/>
    <xf numFmtId="0" fontId="89" fillId="0" borderId="0" applyFont="0" applyFill="0" applyBorder="0" applyAlignment="0" applyProtection="0"/>
    <xf numFmtId="204" fontId="8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209" fontId="92" fillId="0" borderId="0" applyFont="0" applyFill="0" applyBorder="0" applyAlignment="0" applyProtection="0"/>
    <xf numFmtId="197" fontId="90" fillId="0" borderId="0" applyFont="0" applyFill="0" applyBorder="0" applyAlignment="0" applyProtection="0"/>
    <xf numFmtId="204" fontId="8" fillId="0" borderId="0" applyFont="0" applyFill="0" applyBorder="0" applyAlignment="0" applyProtection="0"/>
    <xf numFmtId="197" fontId="85" fillId="0" borderId="0" applyFont="0" applyFill="0" applyBorder="0" applyAlignment="0" applyProtection="0"/>
    <xf numFmtId="204" fontId="8" fillId="0" borderId="0" applyFont="0" applyFill="0" applyBorder="0" applyAlignment="0" applyProtection="0"/>
    <xf numFmtId="0" fontId="26" fillId="0" borderId="0" applyFont="0" applyFill="0" applyBorder="0" applyAlignment="0" applyProtection="0"/>
    <xf numFmtId="197" fontId="75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91" fillId="0" borderId="0" applyFont="0" applyFill="0" applyBorder="0" applyAlignment="0" applyProtection="0"/>
    <xf numFmtId="197" fontId="26" fillId="0" borderId="0" applyFont="0" applyFill="0" applyBorder="0" applyAlignment="0" applyProtection="0"/>
    <xf numFmtId="209" fontId="92" fillId="0" borderId="0" applyFont="0" applyFill="0" applyBorder="0" applyAlignment="0" applyProtection="0"/>
    <xf numFmtId="44" fontId="93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99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197" fontId="26" fillId="0" borderId="0" applyFont="0" applyFill="0" applyBorder="0" applyAlignment="0" applyProtection="0"/>
    <xf numFmtId="204" fontId="8" fillId="0" borderId="0" applyFont="0" applyFill="0" applyBorder="0" applyAlignment="0" applyProtection="0"/>
    <xf numFmtId="44" fontId="85" fillId="0" borderId="0" applyFont="0" applyFill="0" applyBorder="0" applyAlignment="0" applyProtection="0"/>
    <xf numFmtId="44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197" fontId="90" fillId="0" borderId="0" applyFont="0" applyFill="0" applyBorder="0" applyAlignment="0" applyProtection="0"/>
    <xf numFmtId="204" fontId="8" fillId="0" borderId="0" applyFont="0" applyFill="0" applyBorder="0" applyAlignment="0" applyProtection="0"/>
    <xf numFmtId="0" fontId="85" fillId="0" borderId="0" applyFont="0" applyFill="0" applyBorder="0" applyAlignment="0" applyProtection="0"/>
    <xf numFmtId="42" fontId="79" fillId="0" borderId="0" applyFont="0" applyFill="0" applyBorder="0" applyAlignment="0" applyProtection="0"/>
    <xf numFmtId="44" fontId="79" fillId="0" borderId="0" applyFont="0" applyFill="0" applyBorder="0" applyAlignment="0" applyProtection="0"/>
    <xf numFmtId="42" fontId="81" fillId="0" borderId="0" applyFont="0" applyFill="0" applyBorder="0" applyAlignment="0" applyProtection="0"/>
    <xf numFmtId="44" fontId="81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42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98" fillId="0" borderId="0"/>
    <xf numFmtId="19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211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19" fillId="0" borderId="0" applyFont="0" applyFill="0" applyBorder="0" applyAlignment="0" applyProtection="0"/>
    <xf numFmtId="212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00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4" fillId="0" borderId="0" applyFont="0" applyFill="0" applyBorder="0" applyAlignment="0" applyProtection="0"/>
    <xf numFmtId="43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211" fontId="96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63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00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00" fontId="19" fillId="0" borderId="0" applyFont="0" applyFill="0" applyBorder="0" applyAlignment="0" applyProtection="0"/>
    <xf numFmtId="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95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211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1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190" fontId="26" fillId="0" borderId="0" applyFont="0" applyFill="0" applyBorder="0" applyAlignment="0" applyProtection="0"/>
    <xf numFmtId="41" fontId="86" fillId="0" borderId="0" applyFont="0" applyFill="0" applyBorder="0" applyAlignment="0" applyProtection="0"/>
    <xf numFmtId="190" fontId="26" fillId="0" borderId="0" applyFont="0" applyFill="0" applyBorder="0" applyAlignment="0" applyProtection="0"/>
    <xf numFmtId="19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190" fontId="75" fillId="0" borderId="0" applyFont="0" applyFill="0" applyBorder="0" applyAlignment="0" applyProtection="0"/>
    <xf numFmtId="190" fontId="75" fillId="0" borderId="0" applyFont="0" applyFill="0" applyBorder="0" applyAlignment="0" applyProtection="0"/>
    <xf numFmtId="190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6" fillId="0" borderId="0" applyFont="0" applyFill="0" applyBorder="0" applyAlignment="0"/>
    <xf numFmtId="190" fontId="75" fillId="0" borderId="0" applyFont="0" applyFill="0" applyBorder="0" applyAlignment="0" applyProtection="0"/>
    <xf numFmtId="190" fontId="26" fillId="0" borderId="0" applyFont="0" applyFill="0" applyBorder="0" applyAlignment="0" applyProtection="0"/>
    <xf numFmtId="190" fontId="75" fillId="0" borderId="0" applyFont="0" applyFill="0" applyBorder="0" applyAlignment="0" applyProtection="0"/>
    <xf numFmtId="190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38" fontId="26" fillId="0" borderId="0" applyFont="0" applyFill="0" applyBorder="0" applyAlignment="0" applyProtection="0"/>
    <xf numFmtId="190" fontId="75" fillId="0" borderId="0" applyFont="0" applyFill="0" applyBorder="0" applyAlignment="0" applyProtection="0"/>
    <xf numFmtId="190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213" fontId="92" fillId="0" borderId="0" applyFont="0" applyFill="0" applyBorder="0" applyAlignment="0" applyProtection="0"/>
    <xf numFmtId="190" fontId="90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190" fontId="75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1" fillId="0" borderId="0" applyFont="0" applyFill="0" applyBorder="0" applyAlignment="0" applyProtection="0"/>
    <xf numFmtId="213" fontId="100" fillId="0" borderId="0" applyFont="0" applyFill="0" applyBorder="0" applyAlignment="0" applyProtection="0"/>
    <xf numFmtId="213" fontId="9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210" fontId="26" fillId="0" borderId="0" applyFont="0" applyFill="0" applyBorder="0" applyAlignment="0" applyProtection="0"/>
    <xf numFmtId="43" fontId="86" fillId="0" borderId="0" applyFont="0" applyFill="0" applyBorder="0" applyAlignment="0" applyProtection="0"/>
    <xf numFmtId="210" fontId="26" fillId="0" borderId="0" applyFont="0" applyFill="0" applyBorder="0" applyAlignment="0" applyProtection="0"/>
    <xf numFmtId="21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210" fontId="75" fillId="0" borderId="0" applyFont="0" applyFill="0" applyBorder="0" applyAlignment="0" applyProtection="0"/>
    <xf numFmtId="210" fontId="75" fillId="0" borderId="0" applyFont="0" applyFill="0" applyBorder="0" applyAlignment="0" applyProtection="0"/>
    <xf numFmtId="210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210" fontId="75" fillId="0" borderId="0" applyFont="0" applyFill="0" applyBorder="0" applyAlignment="0" applyProtection="0"/>
    <xf numFmtId="210" fontId="26" fillId="0" borderId="0" applyFont="0" applyFill="0" applyBorder="0" applyAlignment="0" applyProtection="0"/>
    <xf numFmtId="210" fontId="75" fillId="0" borderId="0" applyFont="0" applyFill="0" applyBorder="0" applyAlignment="0" applyProtection="0"/>
    <xf numFmtId="210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210" fontId="75" fillId="0" borderId="0" applyFont="0" applyFill="0" applyBorder="0" applyAlignment="0" applyProtection="0"/>
    <xf numFmtId="210" fontId="2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214" fontId="92" fillId="0" borderId="0" applyFont="0" applyFill="0" applyBorder="0" applyAlignment="0" applyProtection="0"/>
    <xf numFmtId="210" fontId="90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26" fillId="0" borderId="0" applyFont="0" applyFill="0" applyBorder="0" applyAlignment="0" applyProtection="0"/>
    <xf numFmtId="210" fontId="75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1" fillId="0" borderId="0" applyFont="0" applyFill="0" applyBorder="0" applyAlignment="0" applyProtection="0"/>
    <xf numFmtId="214" fontId="100" fillId="0" borderId="0" applyFont="0" applyFill="0" applyBorder="0" applyAlignment="0" applyProtection="0"/>
    <xf numFmtId="214" fontId="9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85" fillId="0" borderId="0" applyFont="0" applyFill="0" applyBorder="0" applyAlignment="0" applyProtection="0"/>
    <xf numFmtId="58" fontId="8" fillId="0" borderId="0" applyFon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Protection="0">
      <alignment horizontal="left"/>
    </xf>
    <xf numFmtId="0" fontId="94" fillId="0" borderId="0"/>
    <xf numFmtId="0" fontId="7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9" fillId="0" borderId="0"/>
    <xf numFmtId="0" fontId="94" fillId="0" borderId="0"/>
    <xf numFmtId="0" fontId="95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5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5" fillId="0" borderId="0"/>
    <xf numFmtId="0" fontId="94" fillId="0" borderId="0"/>
    <xf numFmtId="0" fontId="9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5" fillId="0" borderId="0"/>
    <xf numFmtId="0" fontId="19" fillId="0" borderId="0"/>
    <xf numFmtId="0" fontId="19" fillId="0" borderId="0"/>
    <xf numFmtId="0" fontId="19" fillId="0" borderId="0"/>
    <xf numFmtId="0" fontId="94" fillId="0" borderId="0"/>
    <xf numFmtId="0" fontId="95" fillId="0" borderId="0"/>
    <xf numFmtId="0" fontId="94" fillId="0" borderId="0"/>
    <xf numFmtId="0" fontId="94" fillId="0" borderId="0"/>
    <xf numFmtId="0" fontId="95" fillId="0" borderId="0"/>
    <xf numFmtId="0" fontId="19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5" fillId="0" borderId="0"/>
    <xf numFmtId="0" fontId="19" fillId="0" borderId="0"/>
    <xf numFmtId="0" fontId="95" fillId="0" borderId="0"/>
    <xf numFmtId="0" fontId="94" fillId="0" borderId="0"/>
    <xf numFmtId="0" fontId="94" fillId="0" borderId="0"/>
    <xf numFmtId="0" fontId="19" fillId="0" borderId="0"/>
    <xf numFmtId="215" fontId="10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4" fillId="0" borderId="0"/>
    <xf numFmtId="0" fontId="95" fillId="0" borderId="0"/>
    <xf numFmtId="0" fontId="95" fillId="0" borderId="0"/>
    <xf numFmtId="0" fontId="95" fillId="0" borderId="0"/>
    <xf numFmtId="0" fontId="94" fillId="0" borderId="0"/>
    <xf numFmtId="0" fontId="95" fillId="0" borderId="0"/>
    <xf numFmtId="0" fontId="19" fillId="0" borderId="0"/>
    <xf numFmtId="0" fontId="19" fillId="0" borderId="0"/>
    <xf numFmtId="0" fontId="95" fillId="0" borderId="0"/>
    <xf numFmtId="215" fontId="103" fillId="0" borderId="0"/>
    <xf numFmtId="0" fontId="94" fillId="0" borderId="0"/>
    <xf numFmtId="0" fontId="95" fillId="0" borderId="0"/>
    <xf numFmtId="0" fontId="19" fillId="0" borderId="0"/>
    <xf numFmtId="0" fontId="95" fillId="0" borderId="0"/>
    <xf numFmtId="0" fontId="95" fillId="0" borderId="0"/>
    <xf numFmtId="0" fontId="19" fillId="0" borderId="0"/>
    <xf numFmtId="0" fontId="104" fillId="0" borderId="0"/>
    <xf numFmtId="0" fontId="94" fillId="0" borderId="0"/>
    <xf numFmtId="0" fontId="9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5" fillId="0" borderId="0"/>
    <xf numFmtId="0" fontId="19" fillId="0" borderId="0"/>
    <xf numFmtId="0" fontId="19" fillId="0" borderId="0"/>
    <xf numFmtId="0" fontId="95" fillId="0" borderId="0"/>
    <xf numFmtId="0" fontId="19" fillId="0" borderId="0"/>
    <xf numFmtId="0" fontId="95" fillId="0" borderId="0"/>
    <xf numFmtId="0" fontId="94" fillId="0" borderId="0"/>
    <xf numFmtId="0" fontId="19" fillId="0" borderId="0"/>
    <xf numFmtId="0" fontId="95" fillId="0" borderId="0"/>
    <xf numFmtId="0" fontId="19" fillId="0" borderId="0"/>
    <xf numFmtId="39" fontId="21" fillId="0" borderId="0"/>
    <xf numFmtId="0" fontId="19" fillId="0" borderId="0"/>
    <xf numFmtId="0" fontId="19" fillId="0" borderId="0"/>
    <xf numFmtId="0" fontId="95" fillId="0" borderId="0"/>
    <xf numFmtId="0" fontId="19" fillId="0" borderId="0"/>
    <xf numFmtId="0" fontId="19" fillId="0" borderId="0"/>
    <xf numFmtId="0" fontId="94" fillId="0" borderId="0"/>
    <xf numFmtId="0" fontId="94" fillId="0" borderId="0"/>
    <xf numFmtId="0" fontId="19" fillId="0" borderId="0"/>
    <xf numFmtId="0" fontId="94" fillId="0" borderId="0"/>
    <xf numFmtId="0" fontId="9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4" fillId="0" borderId="0"/>
    <xf numFmtId="0" fontId="94" fillId="0" borderId="0"/>
    <xf numFmtId="0" fontId="94" fillId="0" borderId="0"/>
    <xf numFmtId="0" fontId="19" fillId="0" borderId="0"/>
    <xf numFmtId="0" fontId="19" fillId="0" borderId="0"/>
    <xf numFmtId="0" fontId="19" fillId="0" borderId="0"/>
    <xf numFmtId="0" fontId="94" fillId="0" borderId="0"/>
    <xf numFmtId="0" fontId="19" fillId="0" borderId="0"/>
    <xf numFmtId="39" fontId="21" fillId="0" borderId="0"/>
    <xf numFmtId="0" fontId="94" fillId="0" borderId="0"/>
    <xf numFmtId="0" fontId="94" fillId="0" borderId="0"/>
    <xf numFmtId="0" fontId="19" fillId="0" borderId="0"/>
    <xf numFmtId="0" fontId="19" fillId="0" borderId="0"/>
    <xf numFmtId="0" fontId="95" fillId="0" borderId="0"/>
    <xf numFmtId="0" fontId="95" fillId="0" borderId="0"/>
    <xf numFmtId="0" fontId="10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5" fillId="0" borderId="0"/>
    <xf numFmtId="0" fontId="19" fillId="0" borderId="0"/>
    <xf numFmtId="0" fontId="19" fillId="0" borderId="0"/>
    <xf numFmtId="0" fontId="95" fillId="0" borderId="0"/>
    <xf numFmtId="0" fontId="95" fillId="0" borderId="0"/>
    <xf numFmtId="0" fontId="19" fillId="0" borderId="0"/>
    <xf numFmtId="0" fontId="95" fillId="0" borderId="0"/>
    <xf numFmtId="0" fontId="19" fillId="0" borderId="0"/>
    <xf numFmtId="0" fontId="9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4" fillId="0" borderId="0"/>
    <xf numFmtId="0" fontId="94" fillId="0" borderId="0"/>
    <xf numFmtId="0" fontId="9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5" fillId="0" borderId="0"/>
    <xf numFmtId="0" fontId="95" fillId="0" borderId="0"/>
    <xf numFmtId="0" fontId="19" fillId="0" borderId="0"/>
    <xf numFmtId="0" fontId="19" fillId="0" borderId="0"/>
    <xf numFmtId="0" fontId="94" fillId="0" borderId="0"/>
    <xf numFmtId="0" fontId="94" fillId="0" borderId="0"/>
    <xf numFmtId="0" fontId="95" fillId="0" borderId="0"/>
    <xf numFmtId="0" fontId="95" fillId="0" borderId="0"/>
    <xf numFmtId="0" fontId="19" fillId="0" borderId="0"/>
    <xf numFmtId="0" fontId="95" fillId="0" borderId="0"/>
    <xf numFmtId="0" fontId="95" fillId="0" borderId="0"/>
    <xf numFmtId="39" fontId="21" fillId="0" borderId="0"/>
    <xf numFmtId="0" fontId="19" fillId="0" borderId="0"/>
    <xf numFmtId="0" fontId="63" fillId="0" borderId="0"/>
    <xf numFmtId="0" fontId="105" fillId="0" borderId="0" applyFont="0"/>
    <xf numFmtId="0" fontId="9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9" fontId="21" fillId="0" borderId="0"/>
    <xf numFmtId="0" fontId="19" fillId="0" borderId="0"/>
    <xf numFmtId="0" fontId="95" fillId="0" borderId="0"/>
    <xf numFmtId="0" fontId="104" fillId="0" borderId="0"/>
    <xf numFmtId="0" fontId="94" fillId="0" borderId="0"/>
    <xf numFmtId="0" fontId="19" fillId="0" borderId="0"/>
    <xf numFmtId="39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6" fillId="0" borderId="0"/>
    <xf numFmtId="0" fontId="74" fillId="0" borderId="0"/>
    <xf numFmtId="0" fontId="79" fillId="0" borderId="0"/>
    <xf numFmtId="0" fontId="84" fillId="0" borderId="0"/>
    <xf numFmtId="0" fontId="82" fillId="0" borderId="0"/>
    <xf numFmtId="0" fontId="83" fillId="0" borderId="0"/>
    <xf numFmtId="0" fontId="106" fillId="0" borderId="0"/>
    <xf numFmtId="0" fontId="81" fillId="0" borderId="0"/>
    <xf numFmtId="0" fontId="89" fillId="0" borderId="0"/>
    <xf numFmtId="0" fontId="83" fillId="0" borderId="0"/>
    <xf numFmtId="0" fontId="82" fillId="0" borderId="0"/>
    <xf numFmtId="0" fontId="83" fillId="0" borderId="0"/>
    <xf numFmtId="0" fontId="82" fillId="0" borderId="0"/>
    <xf numFmtId="0" fontId="83" fillId="0" borderId="0"/>
    <xf numFmtId="0" fontId="107" fillId="0" borderId="0"/>
    <xf numFmtId="0" fontId="108" fillId="0" borderId="0"/>
    <xf numFmtId="0" fontId="109" fillId="0" borderId="0"/>
    <xf numFmtId="0" fontId="75" fillId="0" borderId="0"/>
    <xf numFmtId="0" fontId="97" fillId="0" borderId="0"/>
    <xf numFmtId="0" fontId="110" fillId="0" borderId="0">
      <alignment vertical="center"/>
    </xf>
    <xf numFmtId="0" fontId="111" fillId="0" borderId="0">
      <alignment vertical="center"/>
    </xf>
    <xf numFmtId="0" fontId="75" fillId="0" borderId="0"/>
    <xf numFmtId="0" fontId="26" fillId="0" borderId="0"/>
    <xf numFmtId="0" fontId="75" fillId="0" borderId="0"/>
    <xf numFmtId="0" fontId="85" fillId="0" borderId="0"/>
    <xf numFmtId="0" fontId="87" fillId="0" borderId="0"/>
    <xf numFmtId="0" fontId="26" fillId="0" borderId="0"/>
    <xf numFmtId="0" fontId="75" fillId="0" borderId="0"/>
    <xf numFmtId="0" fontId="90" fillId="0" borderId="0"/>
    <xf numFmtId="0" fontId="75" fillId="0" borderId="0"/>
    <xf numFmtId="0" fontId="26" fillId="0" borderId="0"/>
    <xf numFmtId="0" fontId="112" fillId="0" borderId="0"/>
    <xf numFmtId="0" fontId="112" fillId="0" borderId="0"/>
    <xf numFmtId="0" fontId="75" fillId="0" borderId="0"/>
    <xf numFmtId="0" fontId="26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98" fillId="0" borderId="0"/>
    <xf numFmtId="0" fontId="199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98" fillId="0" borderId="0"/>
    <xf numFmtId="0" fontId="199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98" fillId="0" borderId="0"/>
    <xf numFmtId="0" fontId="199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98" fillId="0" borderId="0"/>
    <xf numFmtId="0" fontId="199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114" fillId="0" borderId="0"/>
    <xf numFmtId="0" fontId="113" fillId="0" borderId="0"/>
    <xf numFmtId="0" fontId="26" fillId="0" borderId="0"/>
    <xf numFmtId="0" fontId="75" fillId="0" borderId="0"/>
    <xf numFmtId="0" fontId="75" fillId="0" borderId="0"/>
    <xf numFmtId="0" fontId="26" fillId="0" borderId="0"/>
    <xf numFmtId="0" fontId="75" fillId="0" borderId="0"/>
    <xf numFmtId="0" fontId="85" fillId="0" borderId="0"/>
    <xf numFmtId="0" fontId="86" fillId="0" borderId="0"/>
    <xf numFmtId="0" fontId="85" fillId="0" borderId="0"/>
    <xf numFmtId="0" fontId="86" fillId="0" borderId="0"/>
    <xf numFmtId="0" fontId="85" fillId="0" borderId="0"/>
    <xf numFmtId="0" fontId="75" fillId="0" borderId="0"/>
    <xf numFmtId="0" fontId="26" fillId="0" borderId="0"/>
    <xf numFmtId="0" fontId="75" fillId="0" borderId="0"/>
    <xf numFmtId="0" fontId="115" fillId="0" borderId="0"/>
    <xf numFmtId="0" fontId="86" fillId="0" borderId="0"/>
    <xf numFmtId="0" fontId="85" fillId="0" borderId="0"/>
    <xf numFmtId="0" fontId="86" fillId="0" borderId="0"/>
    <xf numFmtId="0" fontId="90" fillId="0" borderId="0"/>
    <xf numFmtId="0" fontId="86" fillId="0" borderId="0"/>
    <xf numFmtId="0" fontId="85" fillId="0" borderId="0"/>
    <xf numFmtId="0" fontId="91" fillId="0" borderId="0"/>
    <xf numFmtId="0" fontId="90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85" fillId="0" borderId="0"/>
    <xf numFmtId="0" fontId="86" fillId="0" borderId="0"/>
    <xf numFmtId="0" fontId="85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116" fillId="0" borderId="0"/>
    <xf numFmtId="0" fontId="26" fillId="0" borderId="0"/>
    <xf numFmtId="0" fontId="117" fillId="0" borderId="0"/>
    <xf numFmtId="0" fontId="90" fillId="0" borderId="0"/>
    <xf numFmtId="0" fontId="26" fillId="0" borderId="0"/>
    <xf numFmtId="0" fontId="75" fillId="0" borderId="0"/>
    <xf numFmtId="0" fontId="90" fillId="0" borderId="0"/>
    <xf numFmtId="0" fontId="91" fillId="0" borderId="0"/>
    <xf numFmtId="0" fontId="100" fillId="0" borderId="0" applyBorder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90" fillId="0" borderId="0"/>
    <xf numFmtId="0" fontId="92" fillId="0" borderId="0" applyBorder="0"/>
    <xf numFmtId="0" fontId="26" fillId="0" borderId="0"/>
    <xf numFmtId="0" fontId="75" fillId="0" borderId="0"/>
    <xf numFmtId="0" fontId="85" fillId="0" borderId="0"/>
    <xf numFmtId="0" fontId="75" fillId="0" borderId="0"/>
    <xf numFmtId="0" fontId="90" fillId="0" borderId="0"/>
    <xf numFmtId="0" fontId="117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00" fillId="0" borderId="0"/>
    <xf numFmtId="0" fontId="201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26" fillId="0" borderId="0"/>
    <xf numFmtId="0" fontId="75" fillId="0" borderId="0"/>
    <xf numFmtId="0" fontId="85" fillId="0" borderId="0"/>
    <xf numFmtId="0" fontId="86" fillId="0" borderId="0"/>
    <xf numFmtId="0" fontId="19" fillId="0" borderId="0"/>
    <xf numFmtId="0" fontId="19" fillId="0" borderId="0"/>
    <xf numFmtId="0" fontId="26" fillId="0" borderId="0"/>
    <xf numFmtId="0" fontId="86" fillId="0" borderId="0"/>
    <xf numFmtId="0" fontId="85" fillId="0" borderId="0"/>
    <xf numFmtId="0" fontId="75" fillId="0" borderId="0"/>
    <xf numFmtId="0" fontId="118" fillId="0" borderId="0"/>
    <xf numFmtId="0" fontId="92" fillId="0" borderId="0" applyBorder="0"/>
    <xf numFmtId="0" fontId="119" fillId="0" borderId="0" applyFont="0" applyAlignment="0"/>
    <xf numFmtId="0" fontId="120" fillId="0" borderId="0" applyFont="0" applyAlignment="0"/>
    <xf numFmtId="0" fontId="26" fillId="0" borderId="0"/>
    <xf numFmtId="0" fontId="75" fillId="0" borderId="0"/>
    <xf numFmtId="0" fontId="100" fillId="0" borderId="0" applyBorder="0"/>
    <xf numFmtId="0" fontId="92" fillId="0" borderId="0" applyBorder="0"/>
    <xf numFmtId="0" fontId="93" fillId="0" borderId="0"/>
    <xf numFmtId="0" fontId="117" fillId="0" borderId="0"/>
    <xf numFmtId="0" fontId="112" fillId="0" borderId="0"/>
    <xf numFmtId="0" fontId="26" fillId="0" borderId="0"/>
    <xf numFmtId="0" fontId="86" fillId="0" borderId="0"/>
    <xf numFmtId="0" fontId="108" fillId="0" borderId="0"/>
    <xf numFmtId="0" fontId="86" fillId="0" borderId="0"/>
    <xf numFmtId="0" fontId="85" fillId="0" borderId="0"/>
    <xf numFmtId="0" fontId="109" fillId="0" borderId="0"/>
    <xf numFmtId="0" fontId="99" fillId="0" borderId="0"/>
    <xf numFmtId="0" fontId="109" fillId="0" borderId="0"/>
    <xf numFmtId="0" fontId="26" fillId="0" borderId="0"/>
    <xf numFmtId="0" fontId="75" fillId="0" borderId="0"/>
    <xf numFmtId="0" fontId="26" fillId="0" borderId="0"/>
    <xf numFmtId="0" fontId="117" fillId="0" borderId="0"/>
    <xf numFmtId="0" fontId="85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02" fillId="0" borderId="0"/>
    <xf numFmtId="0" fontId="203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99" fillId="0" borderId="0"/>
    <xf numFmtId="0" fontId="109" fillId="0" borderId="0"/>
    <xf numFmtId="0" fontId="26" fillId="0" borderId="0" applyBorder="0"/>
    <xf numFmtId="0" fontId="75" fillId="0" borderId="0" applyBorder="0"/>
    <xf numFmtId="0" fontId="26" fillId="0" borderId="0"/>
    <xf numFmtId="0" fontId="121" fillId="0" borderId="0"/>
    <xf numFmtId="0" fontId="85" fillId="0" borderId="0"/>
    <xf numFmtId="0" fontId="86" fillId="0" borderId="0"/>
    <xf numFmtId="0" fontId="26" fillId="0" borderId="0"/>
    <xf numFmtId="0" fontId="75" fillId="0" borderId="0"/>
    <xf numFmtId="0" fontId="26" fillId="0" borderId="0"/>
    <xf numFmtId="0" fontId="8" fillId="0" borderId="0" applyFill="0" applyBorder="0" applyAlignment="0"/>
    <xf numFmtId="216" fontId="21" fillId="0" borderId="0" applyFill="0" applyBorder="0" applyAlignment="0"/>
    <xf numFmtId="217" fontId="21" fillId="0" borderId="0" applyFill="0" applyBorder="0" applyAlignment="0"/>
    <xf numFmtId="218" fontId="19" fillId="0" borderId="0" applyFill="0" applyBorder="0" applyAlignment="0"/>
    <xf numFmtId="219" fontId="19" fillId="0" borderId="0" applyFill="0" applyBorder="0" applyAlignment="0"/>
    <xf numFmtId="199" fontId="21" fillId="0" borderId="0" applyFill="0" applyBorder="0" applyAlignment="0"/>
    <xf numFmtId="220" fontId="21" fillId="0" borderId="0" applyFill="0" applyBorder="0" applyAlignment="0"/>
    <xf numFmtId="216" fontId="21" fillId="0" borderId="0" applyFill="0" applyBorder="0" applyAlignment="0"/>
    <xf numFmtId="0" fontId="19" fillId="0" borderId="0" applyFont="0"/>
    <xf numFmtId="0" fontId="122" fillId="0" borderId="0"/>
    <xf numFmtId="0" fontId="19" fillId="0" borderId="0" applyFont="0"/>
    <xf numFmtId="0" fontId="19" fillId="0" borderId="0" applyFont="0"/>
    <xf numFmtId="0" fontId="63" fillId="0" borderId="12">
      <alignment horizontal="center"/>
    </xf>
    <xf numFmtId="0" fontId="123" fillId="0" borderId="0" applyNumberFormat="0" applyFill="0" applyBorder="0" applyProtection="0">
      <alignment horizontal="center" wrapText="1"/>
    </xf>
    <xf numFmtId="0" fontId="124" fillId="0" borderId="0" applyNumberFormat="0" applyFill="0" applyBorder="0" applyProtection="0">
      <alignment horizontal="right"/>
    </xf>
    <xf numFmtId="4" fontId="125" fillId="0" borderId="0">
      <protection locked="0"/>
    </xf>
    <xf numFmtId="0" fontId="21" fillId="0" borderId="123"/>
    <xf numFmtId="0" fontId="7" fillId="0" borderId="0" applyFont="0" applyFill="0" applyBorder="0" applyAlignment="0" applyProtection="0"/>
    <xf numFmtId="199" fontId="21" fillId="0" borderId="0" applyFont="0" applyFill="0" applyBorder="0" applyAlignment="0" applyProtection="0"/>
    <xf numFmtId="221" fontId="126" fillId="0" borderId="0"/>
    <xf numFmtId="3" fontId="127" fillId="0" borderId="0" applyFont="0" applyFill="0" applyBorder="0" applyAlignment="0" applyProtection="0"/>
    <xf numFmtId="0" fontId="128" fillId="0" borderId="0" applyNumberFormat="0" applyAlignment="0">
      <alignment horizontal="left"/>
    </xf>
    <xf numFmtId="0" fontId="21" fillId="0" borderId="123"/>
    <xf numFmtId="0" fontId="65" fillId="0" borderId="0" applyFont="0" applyFill="0" applyBorder="0" applyAlignment="0" applyProtection="0"/>
    <xf numFmtId="222" fontId="125" fillId="0" borderId="0">
      <protection locked="0"/>
    </xf>
    <xf numFmtId="0" fontId="7" fillId="0" borderId="0" applyFont="0" applyFill="0" applyBorder="0" applyAlignment="0" applyProtection="0"/>
    <xf numFmtId="216" fontId="21" fillId="0" borderId="0" applyFont="0" applyFill="0" applyBorder="0" applyAlignment="0" applyProtection="0"/>
    <xf numFmtId="199" fontId="19" fillId="0" borderId="0" applyFont="0" applyFill="0" applyBorder="0" applyAlignment="0" applyProtection="0"/>
    <xf numFmtId="223" fontId="127" fillId="0" borderId="0" applyFont="0" applyFill="0" applyBorder="0" applyAlignment="0" applyProtection="0"/>
    <xf numFmtId="224" fontId="19" fillId="0" borderId="0"/>
    <xf numFmtId="12" fontId="19" fillId="0" borderId="0" applyFont="0" applyFill="0" applyProtection="0"/>
    <xf numFmtId="0" fontId="58" fillId="0" borderId="0" applyFont="0" applyFill="0" applyBorder="0" applyAlignment="0" applyProtection="0"/>
    <xf numFmtId="0" fontId="125" fillId="0" borderId="0">
      <protection locked="0"/>
    </xf>
    <xf numFmtId="14" fontId="40" fillId="0" borderId="0" applyFill="0" applyBorder="0" applyAlignment="0"/>
    <xf numFmtId="0" fontId="129" fillId="0" borderId="0">
      <protection locked="0"/>
    </xf>
    <xf numFmtId="225" fontId="8" fillId="0" borderId="0">
      <protection locked="0"/>
    </xf>
    <xf numFmtId="40" fontId="98" fillId="0" borderId="0" applyFont="0" applyFill="0" applyBorder="0" applyAlignment="0" applyProtection="0"/>
    <xf numFmtId="226" fontId="19" fillId="0" borderId="0"/>
    <xf numFmtId="0" fontId="130" fillId="0" borderId="0" applyNumberFormat="0" applyFill="0" applyBorder="0" applyProtection="0">
      <alignment horizontal="left"/>
    </xf>
    <xf numFmtId="199" fontId="21" fillId="0" borderId="0" applyFill="0" applyBorder="0" applyAlignment="0"/>
    <xf numFmtId="216" fontId="21" fillId="0" borderId="0" applyFill="0" applyBorder="0" applyAlignment="0"/>
    <xf numFmtId="199" fontId="21" fillId="0" borderId="0" applyFill="0" applyBorder="0" applyAlignment="0"/>
    <xf numFmtId="220" fontId="21" fillId="0" borderId="0" applyFill="0" applyBorder="0" applyAlignment="0"/>
    <xf numFmtId="216" fontId="21" fillId="0" borderId="0" applyFill="0" applyBorder="0" applyAlignment="0"/>
    <xf numFmtId="0" fontId="131" fillId="0" borderId="0" applyNumberFormat="0" applyAlignment="0">
      <alignment horizontal="left"/>
    </xf>
    <xf numFmtId="0" fontId="132" fillId="0" borderId="0" applyNumberFormat="0" applyFill="0" applyBorder="0" applyProtection="0">
      <alignment horizontal="right"/>
    </xf>
    <xf numFmtId="0" fontId="125" fillId="0" borderId="0">
      <protection locked="0"/>
    </xf>
    <xf numFmtId="0" fontId="125" fillId="0" borderId="0">
      <protection locked="0"/>
    </xf>
    <xf numFmtId="0" fontId="125" fillId="0" borderId="0">
      <protection locked="0"/>
    </xf>
    <xf numFmtId="0" fontId="125" fillId="0" borderId="0">
      <protection locked="0"/>
    </xf>
    <xf numFmtId="0" fontId="125" fillId="0" borderId="0">
      <protection locked="0"/>
    </xf>
    <xf numFmtId="0" fontId="125" fillId="0" borderId="0">
      <protection locked="0"/>
    </xf>
    <xf numFmtId="0" fontId="125" fillId="0" borderId="0">
      <protection locked="0"/>
    </xf>
    <xf numFmtId="227" fontId="8" fillId="0" borderId="0">
      <protection locked="0"/>
    </xf>
    <xf numFmtId="228" fontId="125" fillId="0" borderId="0"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Protection="0">
      <alignment horizontal="right"/>
    </xf>
    <xf numFmtId="38" fontId="135" fillId="5" borderId="0" applyNumberFormat="0" applyBorder="0" applyAlignment="0" applyProtection="0"/>
    <xf numFmtId="0" fontId="136" fillId="0" borderId="0">
      <alignment horizontal="left"/>
    </xf>
    <xf numFmtId="0" fontId="137" fillId="0" borderId="46" applyNumberFormat="0" applyAlignment="0" applyProtection="0">
      <alignment horizontal="left" vertical="center"/>
    </xf>
    <xf numFmtId="0" fontId="137" fillId="0" borderId="53">
      <alignment horizontal="left" vertical="center"/>
    </xf>
    <xf numFmtId="0" fontId="13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40" fillId="0" borderId="0"/>
    <xf numFmtId="0" fontId="141" fillId="0" borderId="0">
      <protection locked="0"/>
    </xf>
    <xf numFmtId="0" fontId="141" fillId="0" borderId="0">
      <protection locked="0"/>
    </xf>
    <xf numFmtId="0" fontId="142" fillId="0" borderId="71" applyNumberFormat="0" applyFill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>
      <alignment vertical="top"/>
      <protection locked="0"/>
    </xf>
    <xf numFmtId="197" fontId="58" fillId="0" borderId="0" applyFont="0" applyFill="0" applyBorder="0" applyAlignment="0" applyProtection="0"/>
    <xf numFmtId="10" fontId="135" fillId="79" borderId="12" applyNumberFormat="0" applyBorder="0" applyAlignment="0" applyProtection="0"/>
    <xf numFmtId="0" fontId="144" fillId="0" borderId="0" applyNumberFormat="0" applyFill="0" applyBorder="0" applyProtection="0">
      <alignment horizontal="left"/>
    </xf>
    <xf numFmtId="213" fontId="8" fillId="0" borderId="0">
      <protection locked="0"/>
    </xf>
    <xf numFmtId="229" fontId="8" fillId="0" borderId="0">
      <protection locked="0"/>
    </xf>
    <xf numFmtId="229" fontId="8" fillId="0" borderId="0">
      <protection locked="0"/>
    </xf>
    <xf numFmtId="187" fontId="58" fillId="0" borderId="0" applyFont="0" applyFill="0" applyBorder="0" applyAlignment="0" applyProtection="0"/>
    <xf numFmtId="199" fontId="21" fillId="0" borderId="0" applyFill="0" applyBorder="0" applyAlignment="0"/>
    <xf numFmtId="216" fontId="21" fillId="0" borderId="0" applyFill="0" applyBorder="0" applyAlignment="0"/>
    <xf numFmtId="199" fontId="21" fillId="0" borderId="0" applyFill="0" applyBorder="0" applyAlignment="0"/>
    <xf numFmtId="220" fontId="21" fillId="0" borderId="0" applyFill="0" applyBorder="0" applyAlignment="0"/>
    <xf numFmtId="216" fontId="21" fillId="0" borderId="0" applyFill="0" applyBorder="0" applyAlignment="0"/>
    <xf numFmtId="40" fontId="98" fillId="0" borderId="0" applyFont="0" applyFill="0" applyBorder="0" applyAlignment="0" applyProtection="0"/>
    <xf numFmtId="0" fontId="145" fillId="0" borderId="47"/>
    <xf numFmtId="230" fontId="98" fillId="0" borderId="0" applyFont="0" applyFill="0" applyBorder="0" applyAlignment="0" applyProtection="0"/>
    <xf numFmtId="196" fontId="19" fillId="0" borderId="0" applyFont="0" applyFill="0" applyBorder="0" applyAlignment="0" applyProtection="0"/>
    <xf numFmtId="203" fontId="8" fillId="0" borderId="0" applyFont="0" applyFill="0" applyBorder="0" applyAlignment="0" applyProtection="0"/>
    <xf numFmtId="199" fontId="40" fillId="0" borderId="0" applyFont="0" applyFill="0" applyBorder="0" applyAlignment="0" applyProtection="0"/>
    <xf numFmtId="0" fontId="126" fillId="0" borderId="0"/>
    <xf numFmtId="37" fontId="146" fillId="0" borderId="0"/>
    <xf numFmtId="0" fontId="63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9" fillId="0" borderId="0"/>
    <xf numFmtId="0" fontId="148" fillId="0" borderId="0" applyFont="0" applyFill="0" applyBorder="0" applyAlignment="0" applyProtection="0">
      <alignment horizontal="centerContinuous"/>
    </xf>
    <xf numFmtId="0" fontId="19" fillId="0" borderId="0"/>
    <xf numFmtId="40" fontId="14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30" fillId="0" borderId="0" applyNumberFormat="0" applyFill="0" applyBorder="0" applyProtection="0">
      <alignment horizontal="left"/>
    </xf>
    <xf numFmtId="231" fontId="125" fillId="0" borderId="0">
      <protection locked="0"/>
    </xf>
    <xf numFmtId="219" fontId="19" fillId="0" borderId="0" applyFont="0" applyFill="0" applyBorder="0" applyAlignment="0" applyProtection="0"/>
    <xf numFmtId="232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9" fontId="98" fillId="0" borderId="99" applyNumberFormat="0" applyBorder="0"/>
    <xf numFmtId="0" fontId="150" fillId="0" borderId="0" applyNumberFormat="0" applyFill="0" applyBorder="0" applyProtection="0">
      <alignment horizontal="right"/>
    </xf>
    <xf numFmtId="199" fontId="21" fillId="0" borderId="0" applyFill="0" applyBorder="0" applyAlignment="0"/>
    <xf numFmtId="216" fontId="21" fillId="0" borderId="0" applyFill="0" applyBorder="0" applyAlignment="0"/>
    <xf numFmtId="199" fontId="21" fillId="0" borderId="0" applyFill="0" applyBorder="0" applyAlignment="0"/>
    <xf numFmtId="220" fontId="21" fillId="0" borderId="0" applyFill="0" applyBorder="0" applyAlignment="0"/>
    <xf numFmtId="216" fontId="21" fillId="0" borderId="0" applyFill="0" applyBorder="0" applyAlignment="0"/>
    <xf numFmtId="4" fontId="151" fillId="0" borderId="0" applyFont="0" applyFill="0" applyBorder="0" applyProtection="0">
      <alignment horizontal="right"/>
    </xf>
    <xf numFmtId="210" fontId="58" fillId="0" borderId="0" applyFont="0" applyFill="0" applyBorder="0" applyAlignment="0" applyProtection="0"/>
    <xf numFmtId="30" fontId="152" fillId="0" borderId="0" applyNumberFormat="0" applyFill="0" applyBorder="0" applyAlignment="0" applyProtection="0">
      <alignment horizontal="left"/>
    </xf>
    <xf numFmtId="187" fontId="64" fillId="0" borderId="0" applyFont="0" applyFill="0" applyBorder="0" applyAlignment="0" applyProtection="0"/>
    <xf numFmtId="0" fontId="64" fillId="0" borderId="0">
      <alignment vertical="center"/>
    </xf>
    <xf numFmtId="0" fontId="145" fillId="0" borderId="0"/>
    <xf numFmtId="40" fontId="153" fillId="0" borderId="0" applyBorder="0">
      <alignment horizontal="right"/>
    </xf>
    <xf numFmtId="229" fontId="8" fillId="0" borderId="101">
      <protection locked="0"/>
    </xf>
    <xf numFmtId="49" fontId="40" fillId="0" borderId="0" applyFill="0" applyBorder="0" applyAlignment="0"/>
    <xf numFmtId="0" fontId="19" fillId="0" borderId="0" applyFill="0" applyBorder="0" applyAlignment="0"/>
    <xf numFmtId="233" fontId="19" fillId="0" borderId="0" applyFill="0" applyBorder="0" applyAlignment="0"/>
    <xf numFmtId="0" fontId="26" fillId="0" borderId="0"/>
    <xf numFmtId="0" fontId="144" fillId="0" borderId="0" applyNumberFormat="0" applyFill="0" applyBorder="0" applyProtection="0">
      <alignment horizontal="left"/>
    </xf>
    <xf numFmtId="0" fontId="125" fillId="0" borderId="73">
      <protection locked="0"/>
    </xf>
    <xf numFmtId="37" fontId="135" fillId="10" borderId="0" applyNumberFormat="0" applyBorder="0" applyAlignment="0" applyProtection="0"/>
    <xf numFmtId="37" fontId="135" fillId="0" borderId="0"/>
    <xf numFmtId="37" fontId="135" fillId="10" borderId="0" applyNumberFormat="0" applyBorder="0" applyAlignment="0" applyProtection="0"/>
    <xf numFmtId="3" fontId="154" fillId="0" borderId="71" applyProtection="0"/>
    <xf numFmtId="0" fontId="155" fillId="0" borderId="0" applyNumberFormat="0" applyFill="0" applyBorder="0" applyAlignment="0" applyProtection="0"/>
    <xf numFmtId="0" fontId="102" fillId="80" borderId="124" applyNumberFormat="0" applyAlignment="0" applyProtection="0"/>
    <xf numFmtId="0" fontId="156" fillId="0" borderId="0" applyNumberFormat="0" applyFill="0" applyBorder="0" applyProtection="0">
      <alignment horizontal="right"/>
    </xf>
    <xf numFmtId="234" fontId="64" fillId="0" borderId="0" applyFont="0" applyFill="0" applyBorder="0" applyAlignment="0" applyProtection="0"/>
    <xf numFmtId="235" fontId="8" fillId="0" borderId="0">
      <protection locked="0"/>
    </xf>
    <xf numFmtId="197" fontId="58" fillId="0" borderId="0" applyFont="0" applyFill="0" applyBorder="0" applyAlignment="0" applyProtection="0"/>
    <xf numFmtId="0" fontId="58" fillId="0" borderId="0"/>
    <xf numFmtId="0" fontId="73" fillId="69" borderId="0" applyNumberFormat="0" applyBorder="0" applyAlignment="0" applyProtection="0">
      <alignment vertical="center"/>
    </xf>
    <xf numFmtId="0" fontId="73" fillId="70" borderId="0" applyNumberFormat="0" applyBorder="0" applyAlignment="0" applyProtection="0">
      <alignment vertical="center"/>
    </xf>
    <xf numFmtId="0" fontId="73" fillId="71" borderId="0" applyNumberFormat="0" applyBorder="0" applyAlignment="0" applyProtection="0">
      <alignment vertical="center"/>
    </xf>
    <xf numFmtId="0" fontId="73" fillId="66" borderId="0" applyNumberFormat="0" applyBorder="0" applyAlignment="0" applyProtection="0">
      <alignment vertical="center"/>
    </xf>
    <xf numFmtId="0" fontId="73" fillId="67" borderId="0" applyNumberFormat="0" applyBorder="0" applyAlignment="0" applyProtection="0">
      <alignment vertical="center"/>
    </xf>
    <xf numFmtId="0" fontId="73" fillId="72" borderId="0" applyNumberFormat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58" fillId="73" borderId="113" applyNumberFormat="0" applyAlignment="0" applyProtection="0">
      <alignment vertical="center"/>
    </xf>
    <xf numFmtId="2" fontId="20" fillId="0" borderId="0" applyFon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236" fontId="71" fillId="0" borderId="0"/>
    <xf numFmtId="0" fontId="161" fillId="0" borderId="0"/>
    <xf numFmtId="9" fontId="162" fillId="0" borderId="0" applyFont="0" applyFill="0" applyBorder="0" applyAlignment="0" applyProtection="0"/>
    <xf numFmtId="237" fontId="8" fillId="0" borderId="12">
      <alignment horizontal="right" vertical="center" shrinkToFit="1"/>
    </xf>
    <xf numFmtId="0" fontId="163" fillId="56" borderId="0" applyNumberFormat="0" applyBorder="0" applyAlignment="0" applyProtection="0">
      <alignment vertical="center"/>
    </xf>
    <xf numFmtId="0" fontId="20" fillId="0" borderId="0" applyFont="0" applyFill="0" applyBorder="0" applyAlignment="0" applyProtection="0"/>
    <xf numFmtId="0" fontId="125" fillId="0" borderId="0">
      <protection locked="0"/>
    </xf>
    <xf numFmtId="38" fontId="164" fillId="0" borderId="0">
      <alignment vertical="center"/>
    </xf>
    <xf numFmtId="0" fontId="165" fillId="0" borderId="0" applyNumberFormat="0" applyFill="0" applyBorder="0" applyAlignment="0" applyProtection="0">
      <alignment vertical="top"/>
      <protection locked="0"/>
    </xf>
    <xf numFmtId="40" fontId="166" fillId="0" borderId="0" applyFont="0" applyFill="0" applyBorder="0" applyAlignment="0" applyProtection="0"/>
    <xf numFmtId="38" fontId="16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2" fillId="74" borderId="114" applyNumberFormat="0" applyFont="0" applyAlignment="0" applyProtection="0">
      <alignment vertical="center"/>
    </xf>
    <xf numFmtId="0" fontId="72" fillId="74" borderId="114" applyNumberFormat="0" applyFont="0" applyAlignment="0" applyProtection="0">
      <alignment vertical="center"/>
    </xf>
    <xf numFmtId="0" fontId="72" fillId="74" borderId="114" applyNumberFormat="0" applyFont="0" applyAlignment="0" applyProtection="0">
      <alignment vertical="center"/>
    </xf>
    <xf numFmtId="0" fontId="72" fillId="74" borderId="114" applyNumberFormat="0" applyFont="0" applyAlignment="0" applyProtection="0">
      <alignment vertical="center"/>
    </xf>
    <xf numFmtId="0" fontId="72" fillId="74" borderId="114" applyNumberFormat="0" applyFont="0" applyAlignment="0" applyProtection="0">
      <alignment vertical="center"/>
    </xf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67" fillId="0" borderId="0"/>
    <xf numFmtId="238" fontId="168" fillId="0" borderId="0">
      <protection locked="0"/>
    </xf>
    <xf numFmtId="238" fontId="168" fillId="0" borderId="0">
      <protection locked="0"/>
    </xf>
    <xf numFmtId="238" fontId="168" fillId="0" borderId="0">
      <protection locked="0"/>
    </xf>
    <xf numFmtId="0" fontId="169" fillId="0" borderId="125" applyFont="0" applyFill="0" applyBorder="0" applyAlignment="0" applyProtection="0"/>
    <xf numFmtId="0" fontId="169" fillId="0" borderId="0"/>
    <xf numFmtId="9" fontId="6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70" fillId="75" borderId="0" applyNumberFormat="0" applyBorder="0" applyAlignment="0" applyProtection="0">
      <alignment vertical="center"/>
    </xf>
    <xf numFmtId="0" fontId="66" fillId="0" borderId="0" applyBorder="0"/>
    <xf numFmtId="0" fontId="171" fillId="0" borderId="0"/>
    <xf numFmtId="0" fontId="171" fillId="0" borderId="0"/>
    <xf numFmtId="0" fontId="171" fillId="0" borderId="0"/>
    <xf numFmtId="0" fontId="8" fillId="0" borderId="0"/>
    <xf numFmtId="239" fontId="58" fillId="0" borderId="0" applyFont="0" applyFill="0" applyBorder="0" applyAlignment="0" applyProtection="0"/>
    <xf numFmtId="240" fontId="58" fillId="0" borderId="0" applyFont="0" applyFill="0" applyBorder="0" applyAlignment="0" applyProtection="0"/>
    <xf numFmtId="37" fontId="71" fillId="0" borderId="42" applyAlignment="0"/>
    <xf numFmtId="0" fontId="172" fillId="0" borderId="0" applyNumberFormat="0" applyFill="0" applyBorder="0" applyAlignment="0" applyProtection="0">
      <alignment vertical="center"/>
    </xf>
    <xf numFmtId="0" fontId="173" fillId="76" borderId="115" applyNumberFormat="0" applyAlignment="0" applyProtection="0">
      <alignment vertical="center"/>
    </xf>
    <xf numFmtId="187" fontId="8" fillId="0" borderId="0" applyFont="0" applyFill="0" applyBorder="0" applyAlignment="0" applyProtection="0"/>
    <xf numFmtId="0" fontId="174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5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04" fillId="54" borderId="12">
      <alignment vertical="center"/>
    </xf>
    <xf numFmtId="0" fontId="26" fillId="0" borderId="0" applyFont="0" applyFill="0" applyBorder="0" applyAlignment="0" applyProtection="0"/>
    <xf numFmtId="241" fontId="8" fillId="0" borderId="0" applyFont="0" applyFill="0" applyBorder="0" applyAlignment="0" applyProtection="0"/>
    <xf numFmtId="0" fontId="19" fillId="0" borderId="0" applyFont="0" applyFill="0" applyBorder="0" applyAlignment="0" applyProtection="0"/>
    <xf numFmtId="241" fontId="8" fillId="0" borderId="0" applyFont="0" applyFill="0" applyBorder="0" applyAlignment="0" applyProtection="0"/>
    <xf numFmtId="241" fontId="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76" fillId="0" borderId="126"/>
    <xf numFmtId="0" fontId="177" fillId="0" borderId="116" applyNumberFormat="0" applyFill="0" applyAlignment="0" applyProtection="0">
      <alignment vertical="center"/>
    </xf>
    <xf numFmtId="190" fontId="162" fillId="0" borderId="0" applyFont="0" applyFill="0" applyBorder="0" applyAlignment="0" applyProtection="0"/>
    <xf numFmtId="210" fontId="162" fillId="0" borderId="0" applyFont="0" applyFill="0" applyBorder="0" applyAlignment="0" applyProtection="0"/>
    <xf numFmtId="0" fontId="178" fillId="0" borderId="117" applyNumberFormat="0" applyFill="0" applyAlignment="0" applyProtection="0">
      <alignment vertical="center"/>
    </xf>
    <xf numFmtId="242" fontId="21" fillId="0" borderId="0" applyFont="0" applyFill="0" applyBorder="0" applyProtection="0">
      <alignment horizontal="right"/>
    </xf>
    <xf numFmtId="0" fontId="179" fillId="0" borderId="0"/>
    <xf numFmtId="0" fontId="180" fillId="60" borderId="113" applyNumberFormat="0" applyAlignment="0" applyProtection="0">
      <alignment vertical="center"/>
    </xf>
    <xf numFmtId="4" fontId="181" fillId="0" borderId="0" applyFont="0" applyFill="0" applyBorder="0" applyAlignment="0" applyProtection="0"/>
    <xf numFmtId="3" fontId="181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2" fillId="0" borderId="118" applyNumberFormat="0" applyFill="0" applyAlignment="0" applyProtection="0">
      <alignment vertical="center"/>
    </xf>
    <xf numFmtId="0" fontId="183" fillId="0" borderId="119" applyNumberFormat="0" applyFill="0" applyAlignment="0" applyProtection="0">
      <alignment vertical="center"/>
    </xf>
    <xf numFmtId="0" fontId="184" fillId="0" borderId="120" applyNumberFormat="0" applyFill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5" fillId="0" borderId="0"/>
    <xf numFmtId="0" fontId="186" fillId="57" borderId="0" applyNumberFormat="0" applyBorder="0" applyAlignment="0" applyProtection="0">
      <alignment vertical="center"/>
    </xf>
    <xf numFmtId="14" fontId="187" fillId="0" borderId="0" applyNumberFormat="0"/>
    <xf numFmtId="0" fontId="58" fillId="0" borderId="0"/>
    <xf numFmtId="0" fontId="162" fillId="0" borderId="0"/>
    <xf numFmtId="190" fontId="66" fillId="0" borderId="0" applyFont="0" applyFill="0" applyBorder="0" applyAlignment="0" applyProtection="0"/>
    <xf numFmtId="210" fontId="66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18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/>
    <xf numFmtId="0" fontId="189" fillId="73" borderId="121" applyNumberFormat="0" applyAlignment="0" applyProtection="0">
      <alignment vertical="center"/>
    </xf>
    <xf numFmtId="0" fontId="190" fillId="0" borderId="0"/>
    <xf numFmtId="238" fontId="168" fillId="0" borderId="0">
      <protection locked="0"/>
    </xf>
    <xf numFmtId="0" fontId="26" fillId="0" borderId="0" applyFont="0" applyFill="0" applyBorder="0" applyAlignment="0" applyProtection="0"/>
    <xf numFmtId="238" fontId="168" fillId="0" borderId="0">
      <protection locked="0"/>
    </xf>
    <xf numFmtId="238" fontId="168" fillId="0" borderId="0">
      <protection locked="0"/>
    </xf>
    <xf numFmtId="0" fontId="58" fillId="0" borderId="0" applyFont="0" applyFill="0" applyBorder="0" applyAlignment="0" applyProtection="0"/>
    <xf numFmtId="238" fontId="168" fillId="0" borderId="0">
      <protection locked="0"/>
    </xf>
    <xf numFmtId="0" fontId="8" fillId="0" borderId="0" applyFont="0" applyFill="0" applyBorder="0" applyAlignment="0" applyProtection="0"/>
    <xf numFmtId="0" fontId="169" fillId="0" borderId="73"/>
    <xf numFmtId="0" fontId="169" fillId="0" borderId="0"/>
    <xf numFmtId="0" fontId="169" fillId="0" borderId="0"/>
    <xf numFmtId="210" fontId="64" fillId="0" borderId="0" applyFont="0" applyFill="0" applyBorder="0" applyAlignment="0" applyProtection="0"/>
    <xf numFmtId="178" fontId="191" fillId="0" borderId="0" applyFont="0" applyFill="0" applyBorder="0" applyAlignment="0">
      <alignment vertical="center"/>
    </xf>
    <xf numFmtId="0" fontId="8" fillId="0" borderId="0" applyFont="0" applyFill="0" applyBorder="0" applyAlignment="0" applyProtection="0"/>
    <xf numFmtId="3" fontId="192" fillId="0" borderId="0"/>
    <xf numFmtId="0" fontId="67" fillId="0" borderId="0" applyFont="0" applyFill="0" applyBorder="0" applyAlignment="0" applyProtection="0"/>
    <xf numFmtId="238" fontId="168" fillId="0" borderId="0">
      <protection locked="0"/>
    </xf>
    <xf numFmtId="238" fontId="168" fillId="0" borderId="0">
      <protection locked="0"/>
    </xf>
    <xf numFmtId="238" fontId="168" fillId="0" borderId="0">
      <protection locked="0"/>
    </xf>
    <xf numFmtId="238" fontId="168" fillId="0" borderId="0">
      <protection locked="0"/>
    </xf>
    <xf numFmtId="0" fontId="8" fillId="0" borderId="0" applyFont="0" applyFill="0" applyBorder="0" applyAlignment="0" applyProtection="0"/>
    <xf numFmtId="0" fontId="193" fillId="0" borderId="0">
      <alignment vertical="center"/>
      <protection locked="0"/>
    </xf>
    <xf numFmtId="0" fontId="58" fillId="0" borderId="0" applyFont="0" applyFill="0" applyBorder="0" applyAlignment="0" applyProtection="0"/>
    <xf numFmtId="187" fontId="162" fillId="0" borderId="0" applyFont="0" applyFill="0" applyBorder="0" applyAlignment="0" applyProtection="0"/>
    <xf numFmtId="197" fontId="162" fillId="0" borderId="0" applyFont="0" applyFill="0" applyBorder="0" applyAlignment="0" applyProtection="0"/>
    <xf numFmtId="9" fontId="181" fillId="0" borderId="0" applyFont="0" applyFill="0" applyBorder="0" applyAlignment="0" applyProtection="0"/>
    <xf numFmtId="238" fontId="168" fillId="0" borderId="0">
      <protection locked="0"/>
    </xf>
    <xf numFmtId="238" fontId="168" fillId="0" borderId="0">
      <protection locked="0"/>
    </xf>
    <xf numFmtId="238" fontId="168" fillId="0" borderId="0">
      <protection locked="0"/>
    </xf>
    <xf numFmtId="0" fontId="17" fillId="0" borderId="0">
      <alignment vertical="center"/>
    </xf>
    <xf numFmtId="0" fontId="1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8" fillId="0" borderId="0"/>
    <xf numFmtId="0" fontId="8" fillId="0" borderId="0"/>
    <xf numFmtId="0" fontId="204" fillId="0" borderId="0">
      <alignment vertical="center"/>
    </xf>
    <xf numFmtId="0" fontId="8" fillId="0" borderId="0"/>
    <xf numFmtId="0" fontId="17" fillId="0" borderId="0">
      <alignment vertical="center"/>
    </xf>
    <xf numFmtId="0" fontId="194" fillId="0" borderId="0">
      <alignment vertical="center"/>
    </xf>
    <xf numFmtId="0" fontId="17" fillId="0" borderId="0">
      <alignment vertical="center"/>
    </xf>
    <xf numFmtId="0" fontId="72" fillId="0" borderId="0">
      <alignment vertical="center"/>
    </xf>
    <xf numFmtId="0" fontId="17" fillId="0" borderId="0">
      <alignment vertical="center"/>
    </xf>
    <xf numFmtId="0" fontId="195" fillId="0" borderId="0"/>
    <xf numFmtId="243" fontId="8" fillId="0" borderId="0" applyNumberFormat="0" applyAlignment="0">
      <alignment horizontal="center"/>
    </xf>
    <xf numFmtId="41" fontId="196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20" fillId="0" borderId="101" applyNumberFormat="0" applyFont="0" applyFill="0" applyAlignment="0" applyProtection="0"/>
    <xf numFmtId="237" fontId="181" fillId="0" borderId="0" applyFont="0" applyFill="0" applyBorder="0" applyAlignment="0" applyProtection="0"/>
    <xf numFmtId="237" fontId="181" fillId="0" borderId="0" applyFont="0" applyFill="0" applyBorder="0" applyAlignment="0" applyProtection="0"/>
    <xf numFmtId="0" fontId="19" fillId="0" borderId="0"/>
    <xf numFmtId="0" fontId="209" fillId="0" borderId="0" applyNumberFormat="0" applyFill="0" applyBorder="0" applyAlignment="0" applyProtection="0">
      <alignment vertical="center"/>
    </xf>
    <xf numFmtId="0" fontId="205" fillId="63" borderId="0" applyNumberFormat="0" applyBorder="0" applyAlignment="0" applyProtection="0">
      <alignment vertical="center"/>
    </xf>
    <xf numFmtId="0" fontId="205" fillId="58" borderId="0" applyNumberFormat="0" applyBorder="0" applyAlignment="0" applyProtection="0">
      <alignment vertical="center"/>
    </xf>
    <xf numFmtId="0" fontId="205" fillId="61" borderId="0" applyNumberFormat="0" applyBorder="0" applyAlignment="0" applyProtection="0">
      <alignment vertical="center"/>
    </xf>
    <xf numFmtId="0" fontId="205" fillId="64" borderId="0" applyNumberFormat="0" applyBorder="0" applyAlignment="0" applyProtection="0">
      <alignment vertical="center"/>
    </xf>
    <xf numFmtId="0" fontId="206" fillId="62" borderId="0" applyNumberFormat="0" applyBorder="0" applyAlignment="0" applyProtection="0">
      <alignment vertical="center"/>
    </xf>
    <xf numFmtId="0" fontId="206" fillId="63" borderId="0" applyNumberFormat="0" applyBorder="0" applyAlignment="0" applyProtection="0">
      <alignment vertical="center"/>
    </xf>
    <xf numFmtId="0" fontId="206" fillId="67" borderId="0" applyNumberFormat="0" applyBorder="0" applyAlignment="0" applyProtection="0">
      <alignment vertical="center"/>
    </xf>
    <xf numFmtId="0" fontId="206" fillId="68" borderId="0" applyNumberFormat="0" applyBorder="0" applyAlignment="0" applyProtection="0">
      <alignment vertical="center"/>
    </xf>
    <xf numFmtId="0" fontId="206" fillId="69" borderId="0" applyNumberFormat="0" applyBorder="0" applyAlignment="0" applyProtection="0">
      <alignment vertical="center"/>
    </xf>
    <xf numFmtId="0" fontId="206" fillId="70" borderId="0" applyNumberFormat="0" applyBorder="0" applyAlignment="0" applyProtection="0">
      <alignment vertical="center"/>
    </xf>
    <xf numFmtId="0" fontId="206" fillId="66" borderId="0" applyNumberFormat="0" applyBorder="0" applyAlignment="0" applyProtection="0">
      <alignment vertical="center"/>
    </xf>
    <xf numFmtId="0" fontId="206" fillId="67" borderId="0" applyNumberFormat="0" applyBorder="0" applyAlignment="0" applyProtection="0">
      <alignment vertical="center"/>
    </xf>
    <xf numFmtId="0" fontId="206" fillId="72" borderId="0" applyNumberFormat="0" applyBorder="0" applyAlignment="0" applyProtection="0">
      <alignment vertical="center"/>
    </xf>
    <xf numFmtId="0" fontId="207" fillId="56" borderId="0" applyNumberFormat="0" applyBorder="0" applyAlignment="0" applyProtection="0">
      <alignment vertical="center"/>
    </xf>
    <xf numFmtId="0" fontId="208" fillId="73" borderId="113" applyNumberFormat="0" applyAlignment="0" applyProtection="0">
      <alignment vertical="center"/>
    </xf>
    <xf numFmtId="0" fontId="14" fillId="76" borderId="115" applyNumberFormat="0" applyAlignment="0" applyProtection="0">
      <alignment vertical="center"/>
    </xf>
    <xf numFmtId="0" fontId="210" fillId="57" borderId="0" applyNumberFormat="0" applyBorder="0" applyAlignment="0" applyProtection="0">
      <alignment vertical="center"/>
    </xf>
    <xf numFmtId="0" fontId="46" fillId="0" borderId="118" applyNumberFormat="0" applyFill="0" applyAlignment="0" applyProtection="0">
      <alignment vertical="center"/>
    </xf>
    <xf numFmtId="0" fontId="48" fillId="0" borderId="119" applyNumberFormat="0" applyFill="0" applyAlignment="0" applyProtection="0">
      <alignment vertical="center"/>
    </xf>
    <xf numFmtId="0" fontId="50" fillId="0" borderId="120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11" fillId="60" borderId="113" applyNumberFormat="0" applyAlignment="0" applyProtection="0">
      <alignment vertical="center"/>
    </xf>
    <xf numFmtId="0" fontId="212" fillId="0" borderId="116" applyNumberFormat="0" applyFill="0" applyAlignment="0" applyProtection="0">
      <alignment vertical="center"/>
    </xf>
    <xf numFmtId="0" fontId="213" fillId="75" borderId="0" applyNumberFormat="0" applyBorder="0" applyAlignment="0" applyProtection="0">
      <alignment vertical="center"/>
    </xf>
    <xf numFmtId="0" fontId="40" fillId="74" borderId="114" applyNumberFormat="0" applyFont="0" applyAlignment="0" applyProtection="0">
      <alignment vertical="center"/>
    </xf>
    <xf numFmtId="0" fontId="214" fillId="73" borderId="121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15" fillId="0" borderId="1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top"/>
    </xf>
    <xf numFmtId="9" fontId="40" fillId="0" borderId="0" applyFont="0" applyFill="0" applyBorder="0" applyAlignment="0" applyProtection="0">
      <alignment vertical="top"/>
    </xf>
    <xf numFmtId="9" fontId="40" fillId="0" borderId="0" applyFont="0" applyFill="0" applyBorder="0" applyAlignment="0" applyProtection="0">
      <alignment vertical="top"/>
    </xf>
    <xf numFmtId="41" fontId="40" fillId="0" borderId="0" applyFont="0" applyFill="0" applyBorder="0" applyAlignment="0" applyProtection="0">
      <alignment vertical="top"/>
    </xf>
    <xf numFmtId="41" fontId="8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0" fontId="40" fillId="0" borderId="0">
      <alignment vertical="top"/>
    </xf>
    <xf numFmtId="0" fontId="40" fillId="0" borderId="0">
      <alignment vertical="top"/>
    </xf>
    <xf numFmtId="0" fontId="206" fillId="66" borderId="0" applyNumberFormat="0" applyBorder="0" applyAlignment="0" applyProtection="0">
      <alignment vertical="center"/>
    </xf>
    <xf numFmtId="0" fontId="206" fillId="65" borderId="0" applyNumberFormat="0" applyBorder="0" applyAlignment="0" applyProtection="0">
      <alignment vertical="center"/>
    </xf>
    <xf numFmtId="41" fontId="40" fillId="0" borderId="0" applyFont="0" applyFill="0" applyBorder="0" applyAlignment="0" applyProtection="0">
      <alignment vertical="top"/>
    </xf>
    <xf numFmtId="0" fontId="206" fillId="71" borderId="0" applyNumberFormat="0" applyBorder="0" applyAlignment="0" applyProtection="0">
      <alignment vertical="center"/>
    </xf>
    <xf numFmtId="0" fontId="205" fillId="62" borderId="0" applyNumberFormat="0" applyBorder="0" applyAlignment="0" applyProtection="0">
      <alignment vertical="center"/>
    </xf>
    <xf numFmtId="0" fontId="205" fillId="61" borderId="0" applyNumberFormat="0" applyBorder="0" applyAlignment="0" applyProtection="0">
      <alignment vertical="center"/>
    </xf>
    <xf numFmtId="0" fontId="205" fillId="60" borderId="0" applyNumberFormat="0" applyBorder="0" applyAlignment="0" applyProtection="0">
      <alignment vertical="center"/>
    </xf>
    <xf numFmtId="0" fontId="205" fillId="59" borderId="0" applyNumberFormat="0" applyBorder="0" applyAlignment="0" applyProtection="0">
      <alignment vertical="center"/>
    </xf>
    <xf numFmtId="0" fontId="205" fillId="58" borderId="0" applyNumberFormat="0" applyBorder="0" applyAlignment="0" applyProtection="0">
      <alignment vertical="center"/>
    </xf>
    <xf numFmtId="0" fontId="205" fillId="56" borderId="0" applyNumberFormat="0" applyBorder="0" applyAlignment="0" applyProtection="0">
      <alignment vertical="center"/>
    </xf>
    <xf numFmtId="0" fontId="205" fillId="55" borderId="0" applyNumberFormat="0" applyBorder="0" applyAlignment="0" applyProtection="0">
      <alignment vertical="center"/>
    </xf>
    <xf numFmtId="0" fontId="40" fillId="0" borderId="0">
      <alignment vertical="top"/>
    </xf>
    <xf numFmtId="0" fontId="205" fillId="5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39" fillId="0" borderId="0" applyNumberFormat="0" applyFill="0" applyBorder="0" applyAlignment="0" applyProtection="0"/>
    <xf numFmtId="0" fontId="238" fillId="0" borderId="0" applyNumberFormat="0" applyFill="0" applyBorder="0" applyAlignment="0" applyProtection="0">
      <alignment vertical="center"/>
    </xf>
    <xf numFmtId="250" fontId="58" fillId="0" borderId="0">
      <alignment vertical="center"/>
    </xf>
    <xf numFmtId="4" fontId="58" fillId="0" borderId="0">
      <alignment vertical="center"/>
    </xf>
    <xf numFmtId="0" fontId="40" fillId="0" borderId="0">
      <alignment vertical="top"/>
    </xf>
    <xf numFmtId="229" fontId="58" fillId="0" borderId="0">
      <alignment vertical="center"/>
    </xf>
    <xf numFmtId="0" fontId="194" fillId="0" borderId="19">
      <alignment horizontal="centerContinuous" vertical="center"/>
    </xf>
    <xf numFmtId="3" fontId="58" fillId="0" borderId="0">
      <alignment vertical="center"/>
    </xf>
    <xf numFmtId="0" fontId="71" fillId="0" borderId="0"/>
    <xf numFmtId="0" fontId="71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71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0" fontId="71" fillId="0" borderId="19">
      <alignment horizontal="centerContinuous" vertical="center"/>
    </xf>
    <xf numFmtId="0" fontId="71" fillId="0" borderId="19">
      <alignment horizontal="centerContinuous" vertical="center"/>
    </xf>
    <xf numFmtId="0" fontId="194" fillId="0" borderId="19">
      <alignment horizontal="centerContinuous" vertical="center"/>
    </xf>
    <xf numFmtId="0" fontId="194" fillId="0" borderId="19">
      <alignment horizontal="centerContinuous" vertical="center"/>
    </xf>
    <xf numFmtId="251" fontId="64" fillId="0" borderId="0"/>
    <xf numFmtId="252" fontId="96" fillId="0" borderId="0"/>
    <xf numFmtId="0" fontId="8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58" fillId="0" borderId="0"/>
    <xf numFmtId="0" fontId="58" fillId="0" borderId="0"/>
    <xf numFmtId="0" fontId="242" fillId="0" borderId="0" applyNumberFormat="0" applyFill="0" applyBorder="0" applyAlignment="0" applyProtection="0"/>
    <xf numFmtId="0" fontId="21" fillId="0" borderId="0"/>
    <xf numFmtId="0" fontId="58" fillId="0" borderId="0"/>
    <xf numFmtId="0" fontId="58" fillId="0" borderId="0"/>
    <xf numFmtId="0" fontId="19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21" fillId="0" borderId="0"/>
    <xf numFmtId="0" fontId="21" fillId="0" borderId="0"/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42" fillId="0" borderId="0" applyNumberFormat="0" applyFill="0" applyBorder="0" applyAlignment="0" applyProtection="0"/>
    <xf numFmtId="0" fontId="21" fillId="0" borderId="0"/>
    <xf numFmtId="0" fontId="19" fillId="0" borderId="0"/>
    <xf numFmtId="0" fontId="21" fillId="0" borderId="0"/>
    <xf numFmtId="246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8" fillId="0" borderId="0"/>
    <xf numFmtId="0" fontId="19" fillId="0" borderId="0" applyFont="0" applyFill="0" applyBorder="0" applyAlignment="0" applyProtection="0"/>
    <xf numFmtId="0" fontId="19" fillId="0" borderId="0"/>
    <xf numFmtId="253" fontId="64" fillId="0" borderId="0" applyFont="0" applyFill="0" applyBorder="0" applyAlignment="0" applyProtection="0"/>
    <xf numFmtId="216" fontId="19" fillId="0" borderId="0" applyFont="0" applyFill="0" applyBorder="0" applyAlignment="0" applyProtection="0"/>
    <xf numFmtId="0" fontId="21" fillId="0" borderId="0"/>
    <xf numFmtId="254" fontId="64" fillId="0" borderId="0" applyFont="0" applyFill="0" applyBorder="0" applyAlignment="0" applyProtection="0"/>
    <xf numFmtId="255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0" fontId="58" fillId="0" borderId="0"/>
    <xf numFmtId="0" fontId="21" fillId="0" borderId="0"/>
    <xf numFmtId="0" fontId="21" fillId="0" borderId="0"/>
    <xf numFmtId="246" fontId="8" fillId="0" borderId="0" applyFont="0" applyFill="0" applyBorder="0" applyAlignment="0" applyProtection="0"/>
    <xf numFmtId="0" fontId="21" fillId="0" borderId="0"/>
    <xf numFmtId="256" fontId="64" fillId="0" borderId="0" applyFont="0" applyFill="0" applyBorder="0" applyAlignment="0" applyProtection="0"/>
    <xf numFmtId="257" fontId="19" fillId="0" borderId="0" applyFont="0" applyFill="0" applyBorder="0" applyAlignment="0" applyProtection="0"/>
    <xf numFmtId="258" fontId="64" fillId="0" borderId="0" applyFont="0" applyFill="0" applyBorder="0" applyAlignment="0" applyProtection="0"/>
    <xf numFmtId="259" fontId="19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21" fillId="0" borderId="0"/>
    <xf numFmtId="260" fontId="64" fillId="0" borderId="0" applyFont="0" applyFill="0" applyBorder="0" applyAlignment="0" applyProtection="0"/>
    <xf numFmtId="261" fontId="19" fillId="0" borderId="0" applyFont="0" applyFill="0" applyBorder="0" applyAlignment="0" applyProtection="0"/>
    <xf numFmtId="247" fontId="64" fillId="0" borderId="0" applyFont="0" applyFill="0" applyBorder="0" applyAlignment="0" applyProtection="0"/>
    <xf numFmtId="262" fontId="19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8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5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0" borderId="0"/>
    <xf numFmtId="190" fontId="19" fillId="0" borderId="0" applyFont="0" applyFill="0" applyBorder="0" applyAlignment="0" applyProtection="0"/>
    <xf numFmtId="0" fontId="243" fillId="0" borderId="0"/>
    <xf numFmtId="0" fontId="24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0" borderId="0" applyFont="0" applyFill="0" applyBorder="0" applyAlignment="0" applyProtection="0"/>
    <xf numFmtId="190" fontId="19" fillId="0" borderId="0" applyFont="0" applyFill="0" applyBorder="0" applyAlignment="0" applyProtection="0"/>
    <xf numFmtId="0" fontId="243" fillId="0" borderId="0"/>
    <xf numFmtId="0" fontId="5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246" fontId="8" fillId="0" borderId="0" applyFont="0" applyFill="0" applyBorder="0" applyAlignment="0" applyProtection="0"/>
    <xf numFmtId="0" fontId="21" fillId="0" borderId="0"/>
    <xf numFmtId="0" fontId="58" fillId="0" borderId="0"/>
    <xf numFmtId="0" fontId="244" fillId="0" borderId="0"/>
    <xf numFmtId="190" fontId="19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243" fillId="0" borderId="0"/>
    <xf numFmtId="0" fontId="19" fillId="0" borderId="0"/>
    <xf numFmtId="0" fontId="19" fillId="0" borderId="0"/>
    <xf numFmtId="0" fontId="21" fillId="0" borderId="0"/>
    <xf numFmtId="0" fontId="8" fillId="0" borderId="0" applyFont="0" applyFill="0" applyBorder="0" applyAlignment="0" applyProtection="0"/>
    <xf numFmtId="0" fontId="21" fillId="0" borderId="0"/>
    <xf numFmtId="0" fontId="58" fillId="0" borderId="0"/>
    <xf numFmtId="0" fontId="21" fillId="0" borderId="0"/>
    <xf numFmtId="0" fontId="244" fillId="0" borderId="0"/>
    <xf numFmtId="0" fontId="21" fillId="0" borderId="0"/>
    <xf numFmtId="0" fontId="58" fillId="0" borderId="0"/>
    <xf numFmtId="0" fontId="19" fillId="0" borderId="0"/>
    <xf numFmtId="0" fontId="1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0" borderId="0"/>
    <xf numFmtId="0" fontId="243" fillId="0" borderId="0"/>
    <xf numFmtId="0" fontId="58" fillId="0" borderId="0" applyFont="0" applyFill="0" applyBorder="0" applyAlignment="0" applyProtection="0"/>
    <xf numFmtId="190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0" borderId="0"/>
    <xf numFmtId="0" fontId="21" fillId="0" borderId="0"/>
    <xf numFmtId="0" fontId="21" fillId="0" borderId="0"/>
    <xf numFmtId="0" fontId="8" fillId="0" borderId="0" applyFont="0" applyFill="0" applyBorder="0" applyAlignment="0" applyProtection="0"/>
    <xf numFmtId="0" fontId="19" fillId="0" borderId="0"/>
    <xf numFmtId="0" fontId="21" fillId="0" borderId="0"/>
    <xf numFmtId="0" fontId="21" fillId="0" borderId="0"/>
    <xf numFmtId="0" fontId="58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/>
    <xf numFmtId="0" fontId="58" fillId="0" borderId="0"/>
    <xf numFmtId="9" fontId="71" fillId="0" borderId="0">
      <alignment vertical="center"/>
    </xf>
    <xf numFmtId="0" fontId="71" fillId="0" borderId="0">
      <alignment vertical="center"/>
    </xf>
    <xf numFmtId="10" fontId="71" fillId="0" borderId="0">
      <alignment vertical="center"/>
    </xf>
    <xf numFmtId="0" fontId="71" fillId="0" borderId="0">
      <alignment vertical="center"/>
    </xf>
    <xf numFmtId="263" fontId="8" fillId="0" borderId="0">
      <alignment vertical="center"/>
    </xf>
    <xf numFmtId="0" fontId="245" fillId="82" borderId="33" applyNumberFormat="0" applyFill="0" applyBorder="0">
      <alignment horizontal="center" vertical="center"/>
    </xf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46" fillId="0" borderId="0"/>
    <xf numFmtId="0" fontId="99" fillId="0" borderId="0"/>
    <xf numFmtId="0" fontId="75" fillId="0" borderId="0"/>
    <xf numFmtId="0" fontId="26" fillId="0" borderId="0"/>
    <xf numFmtId="0" fontId="75" fillId="0" borderId="0"/>
    <xf numFmtId="0" fontId="19" fillId="0" borderId="0"/>
    <xf numFmtId="249" fontId="19" fillId="0" borderId="0" applyFill="0" applyBorder="0" applyAlignment="0"/>
    <xf numFmtId="264" fontId="19" fillId="0" borderId="0" applyFill="0" applyBorder="0" applyAlignment="0"/>
    <xf numFmtId="265" fontId="8" fillId="0" borderId="0" applyFill="0" applyBorder="0" applyAlignment="0"/>
    <xf numFmtId="266" fontId="8" fillId="0" borderId="0" applyFill="0" applyBorder="0" applyAlignment="0"/>
    <xf numFmtId="248" fontId="8" fillId="0" borderId="0" applyFill="0" applyBorder="0" applyAlignment="0"/>
    <xf numFmtId="267" fontId="8" fillId="0" borderId="0" applyFill="0" applyBorder="0" applyAlignment="0"/>
    <xf numFmtId="249" fontId="19" fillId="0" borderId="0" applyFill="0" applyBorder="0" applyAlignment="0"/>
    <xf numFmtId="0" fontId="208" fillId="73" borderId="137" applyNumberFormat="0" applyAlignment="0" applyProtection="0">
      <alignment vertical="center"/>
    </xf>
    <xf numFmtId="0" fontId="247" fillId="0" borderId="0"/>
    <xf numFmtId="0" fontId="248" fillId="0" borderId="0" applyNumberFormat="0" applyFill="0" applyBorder="0" applyAlignment="0" applyProtection="0">
      <alignment vertical="top"/>
      <protection locked="0"/>
    </xf>
    <xf numFmtId="0" fontId="19" fillId="0" borderId="0" applyFont="0" applyFill="0" applyBorder="0" applyAlignment="0" applyProtection="0"/>
    <xf numFmtId="248" fontId="8" fillId="0" borderId="0" applyFont="0" applyFill="0" applyBorder="0" applyAlignment="0" applyProtection="0"/>
    <xf numFmtId="268" fontId="8" fillId="0" borderId="0"/>
    <xf numFmtId="269" fontId="19" fillId="0" borderId="0">
      <protection locked="0"/>
    </xf>
    <xf numFmtId="0" fontId="19" fillId="0" borderId="0" applyFont="0" applyFill="0" applyBorder="0" applyAlignment="0" applyProtection="0"/>
    <xf numFmtId="249" fontId="19" fillId="0" borderId="0" applyFont="0" applyFill="0" applyBorder="0" applyAlignment="0" applyProtection="0"/>
    <xf numFmtId="270" fontId="249" fillId="0" borderId="131" applyFill="0" applyBorder="0" applyAlignment="0"/>
    <xf numFmtId="0" fontId="58" fillId="0" borderId="0"/>
    <xf numFmtId="271" fontId="19" fillId="5" borderId="0" applyFont="0" applyBorder="0"/>
    <xf numFmtId="190" fontId="58" fillId="0" borderId="0" applyFont="0" applyFill="0" applyBorder="0" applyAlignment="0" applyProtection="0"/>
    <xf numFmtId="272" fontId="19" fillId="0" borderId="0">
      <protection locked="0"/>
    </xf>
    <xf numFmtId="38" fontId="98" fillId="0" borderId="0" applyFont="0" applyFill="0" applyBorder="0" applyAlignment="0" applyProtection="0"/>
    <xf numFmtId="273" fontId="8" fillId="0" borderId="0"/>
    <xf numFmtId="248" fontId="8" fillId="0" borderId="0" applyFill="0" applyBorder="0" applyAlignment="0"/>
    <xf numFmtId="249" fontId="19" fillId="0" borderId="0" applyFill="0" applyBorder="0" applyAlignment="0"/>
    <xf numFmtId="248" fontId="8" fillId="0" borderId="0" applyFill="0" applyBorder="0" applyAlignment="0"/>
    <xf numFmtId="267" fontId="8" fillId="0" borderId="0" applyFill="0" applyBorder="0" applyAlignment="0"/>
    <xf numFmtId="249" fontId="19" fillId="0" borderId="0" applyFill="0" applyBorder="0" applyAlignment="0"/>
    <xf numFmtId="0" fontId="250" fillId="0" borderId="0">
      <alignment horizontal="left"/>
    </xf>
    <xf numFmtId="0" fontId="251" fillId="0" borderId="0">
      <protection locked="0"/>
    </xf>
    <xf numFmtId="0" fontId="251" fillId="0" borderId="0">
      <protection locked="0"/>
    </xf>
    <xf numFmtId="38" fontId="135" fillId="3" borderId="0" applyNumberFormat="0" applyBorder="0" applyAlignment="0" applyProtection="0"/>
    <xf numFmtId="274" fontId="19" fillId="0" borderId="0">
      <protection locked="0"/>
    </xf>
    <xf numFmtId="274" fontId="19" fillId="0" borderId="0">
      <protection locked="0"/>
    </xf>
    <xf numFmtId="0" fontId="252" fillId="0" borderId="0" applyNumberFormat="0" applyFill="0" applyBorder="0" applyAlignment="0" applyProtection="0"/>
    <xf numFmtId="0" fontId="153" fillId="0" borderId="0" applyNumberFormat="0" applyAlignment="0">
      <alignment horizontal="left"/>
    </xf>
    <xf numFmtId="0" fontId="211" fillId="60" borderId="137" applyNumberFormat="0" applyAlignment="0" applyProtection="0">
      <alignment vertical="center"/>
    </xf>
    <xf numFmtId="10" fontId="135" fillId="3" borderId="131" applyNumberFormat="0" applyBorder="0" applyAlignment="0" applyProtection="0"/>
    <xf numFmtId="248" fontId="8" fillId="0" borderId="0" applyFill="0" applyBorder="0" applyAlignment="0"/>
    <xf numFmtId="249" fontId="19" fillId="0" borderId="0" applyFill="0" applyBorder="0" applyAlignment="0"/>
    <xf numFmtId="248" fontId="8" fillId="0" borderId="0" applyFill="0" applyBorder="0" applyAlignment="0"/>
    <xf numFmtId="267" fontId="8" fillId="0" borderId="0" applyFill="0" applyBorder="0" applyAlignment="0"/>
    <xf numFmtId="249" fontId="19" fillId="0" borderId="0" applyFill="0" applyBorder="0" applyAlignment="0"/>
    <xf numFmtId="38" fontId="98" fillId="0" borderId="0" applyFont="0" applyFill="0" applyBorder="0" applyAlignment="0" applyProtection="0"/>
    <xf numFmtId="40" fontId="98" fillId="0" borderId="0" applyFont="0" applyFill="0" applyBorder="0" applyAlignment="0" applyProtection="0"/>
    <xf numFmtId="275" fontId="98" fillId="0" borderId="0" applyFont="0" applyFill="0" applyBorder="0" applyAlignment="0" applyProtection="0"/>
    <xf numFmtId="276" fontId="98" fillId="0" borderId="0" applyFont="0" applyFill="0" applyBorder="0" applyAlignment="0" applyProtection="0"/>
    <xf numFmtId="277" fontId="64" fillId="0" borderId="0"/>
    <xf numFmtId="0" fontId="253" fillId="83" borderId="131" applyNumberFormat="0" applyFont="0" applyBorder="0" applyAlignment="0" applyProtection="0">
      <alignment vertical="center"/>
    </xf>
    <xf numFmtId="0" fontId="67" fillId="0" borderId="138" applyNumberFormat="0" applyFont="0" applyBorder="0" applyProtection="0">
      <alignment horizontal="center" vertical="center"/>
    </xf>
    <xf numFmtId="278" fontId="58" fillId="0" borderId="0"/>
    <xf numFmtId="0" fontId="40" fillId="74" borderId="114" applyNumberFormat="0" applyFont="0" applyAlignment="0" applyProtection="0">
      <alignment vertical="center"/>
    </xf>
    <xf numFmtId="38" fontId="254" fillId="0" borderId="139" applyFont="0" applyFill="0" applyBorder="0" applyAlignment="0">
      <alignment horizont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79" fontId="19" fillId="0" borderId="0">
      <protection locked="0"/>
    </xf>
    <xf numFmtId="266" fontId="8" fillId="0" borderId="0" applyFont="0" applyFill="0" applyBorder="0" applyAlignment="0" applyProtection="0"/>
    <xf numFmtId="213" fontId="8" fillId="0" borderId="0" applyFont="0" applyFill="0" applyBorder="0" applyAlignment="0" applyProtection="0"/>
    <xf numFmtId="281" fontId="255" fillId="0" borderId="0"/>
    <xf numFmtId="248" fontId="8" fillId="0" borderId="0" applyFill="0" applyBorder="0" applyAlignment="0"/>
    <xf numFmtId="249" fontId="19" fillId="0" borderId="0" applyFill="0" applyBorder="0" applyAlignment="0"/>
    <xf numFmtId="248" fontId="8" fillId="0" borderId="0" applyFill="0" applyBorder="0" applyAlignment="0"/>
    <xf numFmtId="267" fontId="8" fillId="0" borderId="0" applyFill="0" applyBorder="0" applyAlignment="0"/>
    <xf numFmtId="249" fontId="19" fillId="0" borderId="0" applyFill="0" applyBorder="0" applyAlignment="0"/>
    <xf numFmtId="0" fontId="256" fillId="0" borderId="0">
      <alignment horizontal="left"/>
    </xf>
    <xf numFmtId="0" fontId="257" fillId="0" borderId="0"/>
    <xf numFmtId="276" fontId="98" fillId="0" borderId="0">
      <alignment horizontal="center"/>
    </xf>
    <xf numFmtId="0" fontId="258" fillId="0" borderId="0" applyBorder="0" applyProtection="0">
      <alignment vertical="center"/>
    </xf>
    <xf numFmtId="282" fontId="64" fillId="0" borderId="93" applyBorder="0" applyProtection="0">
      <alignment horizontal="right" vertical="center"/>
    </xf>
    <xf numFmtId="0" fontId="259" fillId="0" borderId="0" applyFill="0" applyBorder="0" applyProtection="0">
      <alignment horizontal="left"/>
    </xf>
    <xf numFmtId="280" fontId="8" fillId="0" borderId="0" applyFill="0" applyBorder="0" applyAlignment="0"/>
    <xf numFmtId="283" fontId="8" fillId="0" borderId="0" applyFill="0" applyBorder="0" applyAlignment="0"/>
    <xf numFmtId="0" fontId="26" fillId="0" borderId="0"/>
    <xf numFmtId="0" fontId="8" fillId="0" borderId="0"/>
    <xf numFmtId="284" fontId="98" fillId="0" borderId="0" applyFont="0" applyFill="0" applyBorder="0" applyAlignment="0" applyProtection="0"/>
    <xf numFmtId="284" fontId="98" fillId="0" borderId="0" applyFont="0" applyFill="0" applyBorder="0" applyAlignment="0" applyProtection="0"/>
    <xf numFmtId="5" fontId="240" fillId="0" borderId="0" applyFont="0" applyAlignment="0" applyProtection="0">
      <alignment horizontal="right"/>
    </xf>
    <xf numFmtId="285" fontId="64" fillId="0" borderId="0"/>
    <xf numFmtId="286" fontId="96" fillId="0" borderId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260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58" fillId="84" borderId="0">
      <alignment horizontal="left"/>
    </xf>
    <xf numFmtId="0" fontId="20" fillId="0" borderId="0" applyFont="0" applyFill="0" applyBorder="0" applyAlignment="0" applyProtection="0"/>
    <xf numFmtId="9" fontId="40" fillId="0" borderId="0" applyFont="0" applyFill="0" applyBorder="0" applyAlignment="0" applyProtection="0">
      <alignment vertical="top"/>
    </xf>
    <xf numFmtId="3" fontId="164" fillId="0" borderId="131"/>
    <xf numFmtId="0" fontId="164" fillId="0" borderId="131"/>
    <xf numFmtId="3" fontId="164" fillId="0" borderId="132"/>
    <xf numFmtId="3" fontId="164" fillId="0" borderId="14"/>
    <xf numFmtId="0" fontId="262" fillId="0" borderId="131"/>
    <xf numFmtId="0" fontId="191" fillId="0" borderId="0">
      <alignment horizontal="center"/>
    </xf>
    <xf numFmtId="0" fontId="241" fillId="0" borderId="30">
      <alignment horizontal="center"/>
    </xf>
    <xf numFmtId="49" fontId="64" fillId="0" borderId="0">
      <alignment horizontal="justify" vertical="center" wrapText="1"/>
    </xf>
    <xf numFmtId="234" fontId="8" fillId="0" borderId="0">
      <alignment vertical="center"/>
    </xf>
    <xf numFmtId="41" fontId="40" fillId="0" borderId="0" applyFont="0" applyFill="0" applyBorder="0" applyAlignment="0" applyProtection="0">
      <alignment vertical="top"/>
    </xf>
    <xf numFmtId="41" fontId="40" fillId="0" borderId="0" applyFont="0" applyFill="0" applyBorder="0" applyAlignment="0" applyProtection="0">
      <alignment vertical="top"/>
    </xf>
    <xf numFmtId="41" fontId="23" fillId="0" borderId="0" applyFont="0" applyFill="0" applyBorder="0" applyAlignment="0" applyProtection="0">
      <alignment vertical="center"/>
    </xf>
    <xf numFmtId="0" fontId="244" fillId="0" borderId="0"/>
    <xf numFmtId="0" fontId="122" fillId="0" borderId="0"/>
    <xf numFmtId="0" fontId="58" fillId="0" borderId="0"/>
    <xf numFmtId="0" fontId="58" fillId="0" borderId="0"/>
    <xf numFmtId="3" fontId="263" fillId="0" borderId="0" applyFont="0" applyBorder="0">
      <alignment horizontal="center" vertical="center"/>
    </xf>
    <xf numFmtId="4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0" fontId="58" fillId="0" borderId="131">
      <alignment horizontal="distributed" vertical="center"/>
    </xf>
    <xf numFmtId="0" fontId="58" fillId="0" borderId="29">
      <alignment horizontal="distributed" vertical="top"/>
    </xf>
    <xf numFmtId="0" fontId="58" fillId="0" borderId="31">
      <alignment horizontal="distributed"/>
    </xf>
    <xf numFmtId="190" fontId="185" fillId="0" borderId="0">
      <alignment vertical="center"/>
    </xf>
    <xf numFmtId="42" fontId="8" fillId="0" borderId="0" applyFont="0" applyFill="0" applyBorder="0" applyAlignment="0" applyProtection="0"/>
    <xf numFmtId="10" fontId="20" fillId="0" borderId="0" applyFont="0" applyFill="0" applyBorder="0" applyAlignment="0" applyProtection="0"/>
    <xf numFmtId="0" fontId="17" fillId="0" borderId="0"/>
    <xf numFmtId="287" fontId="8" fillId="85" borderId="131"/>
    <xf numFmtId="0" fontId="2" fillId="0" borderId="0">
      <alignment vertical="center"/>
    </xf>
    <xf numFmtId="196" fontId="8" fillId="0" borderId="0" applyFont="0" applyFill="0" applyBorder="0" applyAlignment="0" applyProtection="0"/>
    <xf numFmtId="237" fontId="20" fillId="0" borderId="0" applyFont="0" applyFill="0" applyBorder="0" applyAlignment="0" applyProtection="0"/>
    <xf numFmtId="269" fontId="19" fillId="0" borderId="0">
      <protection locked="0"/>
    </xf>
    <xf numFmtId="270" fontId="249" fillId="0" borderId="12" applyFill="0" applyBorder="0" applyAlignment="0"/>
    <xf numFmtId="10" fontId="135" fillId="3" borderId="12" applyNumberFormat="0" applyBorder="0" applyAlignment="0" applyProtection="0"/>
    <xf numFmtId="0" fontId="253" fillId="83" borderId="12" applyNumberFormat="0" applyFont="0" applyBorder="0" applyAlignment="0" applyProtection="0">
      <alignment vertical="center"/>
    </xf>
    <xf numFmtId="279" fontId="19" fillId="0" borderId="0">
      <protection locked="0"/>
    </xf>
    <xf numFmtId="3" fontId="164" fillId="0" borderId="12"/>
    <xf numFmtId="0" fontId="164" fillId="0" borderId="12"/>
    <xf numFmtId="0" fontId="262" fillId="0" borderId="12"/>
    <xf numFmtId="0" fontId="58" fillId="0" borderId="12">
      <alignment horizontal="distributed" vertical="center"/>
    </xf>
    <xf numFmtId="287" fontId="8" fillId="85" borderId="12"/>
    <xf numFmtId="0" fontId="1" fillId="0" borderId="0">
      <alignment vertical="center"/>
    </xf>
    <xf numFmtId="0" fontId="40" fillId="0" borderId="0">
      <alignment vertical="top"/>
    </xf>
    <xf numFmtId="0" fontId="40" fillId="0" borderId="0">
      <alignment vertical="top"/>
    </xf>
    <xf numFmtId="0" fontId="211" fillId="60" borderId="137" applyNumberFormat="0" applyAlignment="0" applyProtection="0">
      <alignment vertical="center"/>
    </xf>
    <xf numFmtId="0" fontId="211" fillId="60" borderId="137" applyNumberFormat="0" applyAlignment="0" applyProtection="0">
      <alignment vertical="center"/>
    </xf>
    <xf numFmtId="0" fontId="40" fillId="74" borderId="141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64" fillId="0" borderId="0" applyFont="0" applyFill="0" applyBorder="0" applyAlignment="0" applyProtection="0">
      <alignment vertical="center"/>
    </xf>
    <xf numFmtId="42" fontId="264" fillId="0" borderId="0" applyFont="0" applyFill="0" applyBorder="0" applyAlignment="0" applyProtection="0">
      <alignment vertical="center"/>
    </xf>
    <xf numFmtId="0" fontId="40" fillId="0" borderId="0">
      <alignment vertical="top"/>
    </xf>
  </cellStyleXfs>
  <cellXfs count="754">
    <xf numFmtId="0" fontId="0" fillId="0" borderId="0" xfId="0">
      <alignment vertical="center"/>
    </xf>
    <xf numFmtId="0" fontId="217" fillId="0" borderId="83" xfId="0" applyFont="1" applyBorder="1" applyAlignment="1">
      <alignment vertical="center"/>
    </xf>
    <xf numFmtId="176" fontId="217" fillId="0" borderId="0" xfId="8" applyNumberFormat="1" applyFont="1" applyFill="1" applyAlignment="1">
      <alignment vertical="center" shrinkToFit="1"/>
    </xf>
    <xf numFmtId="0" fontId="218" fillId="0" borderId="0" xfId="0" applyFont="1" applyAlignment="1">
      <alignment horizontal="center" vertical="center"/>
    </xf>
    <xf numFmtId="0" fontId="218" fillId="11" borderId="59" xfId="0" applyFont="1" applyFill="1" applyBorder="1" applyAlignment="1">
      <alignment horizontal="center" vertical="center"/>
    </xf>
    <xf numFmtId="0" fontId="218" fillId="13" borderId="60" xfId="0" applyFont="1" applyFill="1" applyBorder="1" applyAlignment="1">
      <alignment horizontal="center" vertical="center"/>
    </xf>
    <xf numFmtId="0" fontId="218" fillId="11" borderId="60" xfId="0" applyFont="1" applyFill="1" applyBorder="1" applyAlignment="1">
      <alignment horizontal="center" vertical="center"/>
    </xf>
    <xf numFmtId="0" fontId="218" fillId="11" borderId="65" xfId="0" applyFont="1" applyFill="1" applyBorder="1" applyAlignment="1">
      <alignment horizontal="center" vertical="center"/>
    </xf>
    <xf numFmtId="0" fontId="219" fillId="12" borderId="0" xfId="0" applyFont="1" applyFill="1">
      <alignment vertical="center"/>
    </xf>
    <xf numFmtId="0" fontId="220" fillId="12" borderId="0" xfId="0" applyFont="1" applyFill="1">
      <alignment vertical="center"/>
    </xf>
    <xf numFmtId="0" fontId="217" fillId="0" borderId="0" xfId="0" applyFont="1">
      <alignment vertical="center"/>
    </xf>
    <xf numFmtId="0" fontId="218" fillId="0" borderId="0" xfId="0" applyFont="1">
      <alignment vertical="center"/>
    </xf>
    <xf numFmtId="0" fontId="217" fillId="0" borderId="59" xfId="0" applyFont="1" applyBorder="1">
      <alignment vertical="center"/>
    </xf>
    <xf numFmtId="0" fontId="217" fillId="0" borderId="60" xfId="0" applyFont="1" applyBorder="1" applyAlignment="1">
      <alignment vertical="center" wrapText="1"/>
    </xf>
    <xf numFmtId="0" fontId="217" fillId="0" borderId="65" xfId="0" applyFont="1" applyBorder="1" applyAlignment="1">
      <alignment vertical="center" wrapText="1"/>
    </xf>
    <xf numFmtId="0" fontId="217" fillId="0" borderId="0" xfId="0" applyFont="1" applyBorder="1">
      <alignment vertical="center"/>
    </xf>
    <xf numFmtId="0" fontId="217" fillId="0" borderId="0" xfId="0" applyFont="1" applyBorder="1" applyAlignment="1">
      <alignment vertical="center" wrapText="1"/>
    </xf>
    <xf numFmtId="0" fontId="217" fillId="0" borderId="74" xfId="0" applyFont="1" applyBorder="1" applyAlignment="1">
      <alignment vertical="center" wrapText="1"/>
    </xf>
    <xf numFmtId="0" fontId="217" fillId="0" borderId="55" xfId="0" applyFont="1" applyBorder="1">
      <alignment vertical="center"/>
    </xf>
    <xf numFmtId="0" fontId="217" fillId="0" borderId="55" xfId="0" applyFont="1" applyFill="1" applyBorder="1" applyAlignment="1">
      <alignment vertical="center" wrapText="1"/>
    </xf>
    <xf numFmtId="0" fontId="217" fillId="0" borderId="55" xfId="0" applyFont="1" applyBorder="1" applyAlignment="1">
      <alignment vertical="center" wrapText="1"/>
    </xf>
    <xf numFmtId="0" fontId="217" fillId="0" borderId="56" xfId="0" applyFont="1" applyBorder="1">
      <alignment vertical="center"/>
    </xf>
    <xf numFmtId="0" fontId="217" fillId="0" borderId="75" xfId="0" applyFont="1" applyBorder="1">
      <alignment vertical="center"/>
    </xf>
    <xf numFmtId="0" fontId="217" fillId="0" borderId="12" xfId="0" applyFont="1" applyBorder="1">
      <alignment vertical="center"/>
    </xf>
    <xf numFmtId="0" fontId="217" fillId="0" borderId="12" xfId="0" applyFont="1" applyBorder="1" applyAlignment="1">
      <alignment vertical="center" wrapText="1"/>
    </xf>
    <xf numFmtId="0" fontId="217" fillId="0" borderId="57" xfId="0" applyFont="1" applyBorder="1">
      <alignment vertical="center"/>
    </xf>
    <xf numFmtId="0" fontId="217" fillId="0" borderId="12" xfId="0" applyFont="1" applyFill="1" applyBorder="1">
      <alignment vertical="center"/>
    </xf>
    <xf numFmtId="0" fontId="217" fillId="0" borderId="67" xfId="0" applyFont="1" applyBorder="1" applyAlignment="1">
      <alignment vertical="center" wrapText="1"/>
    </xf>
    <xf numFmtId="0" fontId="217" fillId="0" borderId="77" xfId="0" applyFont="1" applyBorder="1">
      <alignment vertical="center"/>
    </xf>
    <xf numFmtId="0" fontId="217" fillId="0" borderId="31" xfId="0" applyFont="1" applyFill="1" applyBorder="1">
      <alignment vertical="center"/>
    </xf>
    <xf numFmtId="0" fontId="217" fillId="0" borderId="31" xfId="0" applyFont="1" applyBorder="1" applyAlignment="1">
      <alignment vertical="center" wrapText="1"/>
    </xf>
    <xf numFmtId="0" fontId="217" fillId="0" borderId="31" xfId="0" applyFont="1" applyBorder="1">
      <alignment vertical="center"/>
    </xf>
    <xf numFmtId="0" fontId="217" fillId="0" borderId="76" xfId="0" applyFont="1" applyBorder="1" applyAlignment="1">
      <alignment vertical="center" wrapText="1"/>
    </xf>
    <xf numFmtId="0" fontId="217" fillId="0" borderId="58" xfId="0" applyFont="1" applyBorder="1">
      <alignment vertical="center"/>
    </xf>
    <xf numFmtId="0" fontId="217" fillId="0" borderId="58" xfId="0" applyFont="1" applyFill="1" applyBorder="1" applyAlignment="1">
      <alignment vertical="center" wrapText="1"/>
    </xf>
    <xf numFmtId="0" fontId="217" fillId="0" borderId="58" xfId="0" applyFont="1" applyBorder="1" applyAlignment="1">
      <alignment vertical="center" wrapText="1"/>
    </xf>
    <xf numFmtId="0" fontId="217" fillId="0" borderId="69" xfId="0" applyFont="1" applyBorder="1" applyAlignment="1">
      <alignment vertical="center" wrapText="1"/>
    </xf>
    <xf numFmtId="0" fontId="217" fillId="0" borderId="60" xfId="0" applyFont="1" applyBorder="1">
      <alignment vertical="center"/>
    </xf>
    <xf numFmtId="0" fontId="217" fillId="0" borderId="74" xfId="0" applyFont="1" applyBorder="1">
      <alignment vertical="center"/>
    </xf>
    <xf numFmtId="0" fontId="217" fillId="0" borderId="76" xfId="0" applyFont="1" applyBorder="1">
      <alignment vertical="center"/>
    </xf>
    <xf numFmtId="0" fontId="217" fillId="0" borderId="69" xfId="0" applyFont="1" applyBorder="1">
      <alignment vertical="center"/>
    </xf>
    <xf numFmtId="0" fontId="217" fillId="0" borderId="65" xfId="0" applyFont="1" applyBorder="1">
      <alignment vertical="center"/>
    </xf>
    <xf numFmtId="0" fontId="217" fillId="0" borderId="75" xfId="0" applyFont="1" applyBorder="1" applyAlignment="1">
      <alignment vertical="center" wrapText="1"/>
    </xf>
    <xf numFmtId="0" fontId="217" fillId="0" borderId="12" xfId="0" applyFont="1" applyBorder="1" applyAlignment="1">
      <alignment horizontal="center" vertical="center"/>
    </xf>
    <xf numFmtId="0" fontId="217" fillId="0" borderId="12" xfId="0" applyFont="1" applyFill="1" applyBorder="1" applyAlignment="1">
      <alignment vertical="center" wrapText="1"/>
    </xf>
    <xf numFmtId="0" fontId="217" fillId="0" borderId="12" xfId="0" applyFont="1" applyFill="1" applyBorder="1" applyAlignment="1">
      <alignment horizontal="center" vertical="center"/>
    </xf>
    <xf numFmtId="0" fontId="217" fillId="0" borderId="58" xfId="0" quotePrefix="1" applyFont="1" applyBorder="1" applyAlignment="1">
      <alignment vertical="center" wrapText="1"/>
    </xf>
    <xf numFmtId="0" fontId="217" fillId="0" borderId="67" xfId="0" applyFont="1" applyBorder="1">
      <alignment vertical="center"/>
    </xf>
    <xf numFmtId="0" fontId="217" fillId="0" borderId="69" xfId="0" applyFont="1" applyFill="1" applyBorder="1" applyAlignment="1">
      <alignment vertical="center" wrapText="1"/>
    </xf>
    <xf numFmtId="0" fontId="217" fillId="0" borderId="60" xfId="0" applyFont="1" applyFill="1" applyBorder="1" applyAlignment="1">
      <alignment vertical="center" wrapText="1"/>
    </xf>
    <xf numFmtId="0" fontId="224" fillId="0" borderId="55" xfId="0" applyFont="1" applyBorder="1" applyAlignment="1">
      <alignment vertical="center" wrapText="1"/>
    </xf>
    <xf numFmtId="0" fontId="224" fillId="0" borderId="58" xfId="0" quotePrefix="1" applyFont="1" applyBorder="1" applyAlignment="1">
      <alignment vertical="center" wrapText="1"/>
    </xf>
    <xf numFmtId="0" fontId="218" fillId="13" borderId="12" xfId="0" applyFont="1" applyFill="1" applyBorder="1" applyAlignment="1">
      <alignment horizontal="center" vertical="center"/>
    </xf>
    <xf numFmtId="0" fontId="217" fillId="18" borderId="62" xfId="0" applyFont="1" applyFill="1" applyBorder="1" applyAlignment="1">
      <alignment horizontal="center" vertical="center"/>
    </xf>
    <xf numFmtId="0" fontId="217" fillId="18" borderId="55" xfId="0" applyFont="1" applyFill="1" applyBorder="1" applyAlignment="1">
      <alignment horizontal="center" vertical="center"/>
    </xf>
    <xf numFmtId="0" fontId="217" fillId="18" borderId="63" xfId="0" applyFont="1" applyFill="1" applyBorder="1" applyAlignment="1">
      <alignment horizontal="center" vertical="center"/>
    </xf>
    <xf numFmtId="0" fontId="217" fillId="18" borderId="12" xfId="0" applyFont="1" applyFill="1" applyBorder="1" applyAlignment="1">
      <alignment horizontal="center" vertical="center"/>
    </xf>
    <xf numFmtId="0" fontId="217" fillId="18" borderId="64" xfId="0" applyFont="1" applyFill="1" applyBorder="1" applyAlignment="1">
      <alignment horizontal="center" vertical="center"/>
    </xf>
    <xf numFmtId="0" fontId="217" fillId="18" borderId="58" xfId="0" applyFont="1" applyFill="1" applyBorder="1" applyAlignment="1">
      <alignment horizontal="center" vertical="center"/>
    </xf>
    <xf numFmtId="0" fontId="217" fillId="18" borderId="70" xfId="0" applyFont="1" applyFill="1" applyBorder="1" applyAlignment="1">
      <alignment horizontal="center" vertical="center"/>
    </xf>
    <xf numFmtId="0" fontId="225" fillId="0" borderId="0" xfId="0" applyFont="1">
      <alignment vertical="center"/>
    </xf>
    <xf numFmtId="0" fontId="217" fillId="18" borderId="56" xfId="0" applyFont="1" applyFill="1" applyBorder="1" applyAlignment="1">
      <alignment horizontal="center" vertical="center"/>
    </xf>
    <xf numFmtId="0" fontId="217" fillId="18" borderId="59" xfId="0" applyFont="1" applyFill="1" applyBorder="1" applyAlignment="1">
      <alignment horizontal="center" vertical="center"/>
    </xf>
    <xf numFmtId="0" fontId="217" fillId="18" borderId="60" xfId="0" applyFont="1" applyFill="1" applyBorder="1" applyAlignment="1">
      <alignment horizontal="center" vertical="center"/>
    </xf>
    <xf numFmtId="0" fontId="217" fillId="18" borderId="65" xfId="0" applyFont="1" applyFill="1" applyBorder="1" applyAlignment="1">
      <alignment horizontal="center" vertical="center"/>
    </xf>
    <xf numFmtId="0" fontId="217" fillId="18" borderId="57" xfId="0" applyFont="1" applyFill="1" applyBorder="1" applyAlignment="1">
      <alignment horizontal="center" vertical="center"/>
    </xf>
    <xf numFmtId="179" fontId="217" fillId="0" borderId="37" xfId="3" applyNumberFormat="1" applyFont="1" applyBorder="1">
      <alignment vertical="center"/>
    </xf>
    <xf numFmtId="177" fontId="217" fillId="0" borderId="29" xfId="3" applyNumberFormat="1" applyFont="1" applyBorder="1">
      <alignment vertical="center"/>
    </xf>
    <xf numFmtId="177" fontId="217" fillId="0" borderId="66" xfId="3" applyNumberFormat="1" applyFont="1" applyBorder="1">
      <alignment vertical="center"/>
    </xf>
    <xf numFmtId="179" fontId="217" fillId="0" borderId="45" xfId="3" applyNumberFormat="1" applyFont="1" applyBorder="1">
      <alignment vertical="center"/>
    </xf>
    <xf numFmtId="177" fontId="217" fillId="0" borderId="12" xfId="3" applyNumberFormat="1" applyFont="1" applyBorder="1">
      <alignment vertical="center"/>
    </xf>
    <xf numFmtId="177" fontId="217" fillId="0" borderId="57" xfId="3" applyNumberFormat="1" applyFont="1" applyBorder="1">
      <alignment vertical="center"/>
    </xf>
    <xf numFmtId="179" fontId="217" fillId="18" borderId="54" xfId="3" applyNumberFormat="1" applyFont="1" applyFill="1" applyBorder="1">
      <alignment vertical="center"/>
    </xf>
    <xf numFmtId="177" fontId="217" fillId="18" borderId="31" xfId="3" applyNumberFormat="1" applyFont="1" applyFill="1" applyBorder="1">
      <alignment vertical="center"/>
    </xf>
    <xf numFmtId="10" fontId="217" fillId="18" borderId="31" xfId="2" applyNumberFormat="1" applyFont="1" applyFill="1" applyBorder="1">
      <alignment vertical="center"/>
    </xf>
    <xf numFmtId="177" fontId="217" fillId="18" borderId="67" xfId="3" applyNumberFormat="1" applyFont="1" applyFill="1" applyBorder="1">
      <alignment vertical="center"/>
    </xf>
    <xf numFmtId="0" fontId="217" fillId="18" borderId="67" xfId="0" applyFont="1" applyFill="1" applyBorder="1" applyAlignment="1">
      <alignment horizontal="center" vertical="center"/>
    </xf>
    <xf numFmtId="177" fontId="217" fillId="18" borderId="54" xfId="3" applyNumberFormat="1" applyFont="1" applyFill="1" applyBorder="1">
      <alignment vertical="center"/>
    </xf>
    <xf numFmtId="177" fontId="217" fillId="18" borderId="61" xfId="3" applyNumberFormat="1" applyFont="1" applyFill="1" applyBorder="1">
      <alignment vertical="center"/>
    </xf>
    <xf numFmtId="177" fontId="217" fillId="18" borderId="60" xfId="3" applyNumberFormat="1" applyFont="1" applyFill="1" applyBorder="1">
      <alignment vertical="center"/>
    </xf>
    <xf numFmtId="10" fontId="217" fillId="18" borderId="60" xfId="2" applyNumberFormat="1" applyFont="1" applyFill="1" applyBorder="1">
      <alignment vertical="center"/>
    </xf>
    <xf numFmtId="177" fontId="217" fillId="18" borderId="65" xfId="3" applyNumberFormat="1" applyFont="1" applyFill="1" applyBorder="1">
      <alignment vertical="center"/>
    </xf>
    <xf numFmtId="0" fontId="217" fillId="0" borderId="0" xfId="0" applyFont="1" applyBorder="1" applyAlignment="1">
      <alignment horizontal="center" vertical="center"/>
    </xf>
    <xf numFmtId="0" fontId="217" fillId="18" borderId="66" xfId="0" applyFont="1" applyFill="1" applyBorder="1" applyAlignment="1">
      <alignment horizontal="center" vertical="center"/>
    </xf>
    <xf numFmtId="0" fontId="217" fillId="18" borderId="69" xfId="0" applyFont="1" applyFill="1" applyBorder="1" applyAlignment="1">
      <alignment horizontal="center" vertical="center"/>
    </xf>
    <xf numFmtId="0" fontId="217" fillId="18" borderId="71" xfId="0" applyFont="1" applyFill="1" applyBorder="1" applyAlignment="1">
      <alignment horizontal="center" vertical="center"/>
    </xf>
    <xf numFmtId="0" fontId="217" fillId="18" borderId="61" xfId="0" applyFont="1" applyFill="1" applyBorder="1" applyAlignment="1">
      <alignment horizontal="center" vertical="center"/>
    </xf>
    <xf numFmtId="185" fontId="217" fillId="19" borderId="37" xfId="0" applyNumberFormat="1" applyFont="1" applyFill="1" applyBorder="1" applyAlignment="1" applyProtection="1">
      <alignment horizontal="center" vertical="center"/>
      <protection locked="0"/>
    </xf>
    <xf numFmtId="185" fontId="217" fillId="19" borderId="29" xfId="0" applyNumberFormat="1" applyFont="1" applyFill="1" applyBorder="1" applyAlignment="1" applyProtection="1">
      <alignment horizontal="center" vertical="center"/>
      <protection locked="0"/>
    </xf>
    <xf numFmtId="0" fontId="217" fillId="19" borderId="29" xfId="0" applyFont="1" applyFill="1" applyBorder="1" applyAlignment="1" applyProtection="1">
      <alignment horizontal="center" vertical="center"/>
      <protection locked="0"/>
    </xf>
    <xf numFmtId="0" fontId="217" fillId="18" borderId="102" xfId="0" applyFont="1" applyFill="1" applyBorder="1" applyAlignment="1">
      <alignment horizontal="center" vertical="center"/>
    </xf>
    <xf numFmtId="185" fontId="217" fillId="19" borderId="100" xfId="0" applyNumberFormat="1" applyFont="1" applyFill="1" applyBorder="1" applyAlignment="1" applyProtection="1">
      <alignment horizontal="center" vertical="center"/>
      <protection locked="0"/>
    </xf>
    <xf numFmtId="185" fontId="217" fillId="19" borderId="79" xfId="0" applyNumberFormat="1" applyFont="1" applyFill="1" applyBorder="1" applyAlignment="1" applyProtection="1">
      <alignment horizontal="center" vertical="center"/>
      <protection locked="0"/>
    </xf>
    <xf numFmtId="185" fontId="217" fillId="19" borderId="19" xfId="0" applyNumberFormat="1" applyFont="1" applyFill="1" applyBorder="1" applyAlignment="1" applyProtection="1">
      <alignment vertical="center"/>
      <protection locked="0"/>
    </xf>
    <xf numFmtId="0" fontId="217" fillId="19" borderId="79" xfId="0" applyFont="1" applyFill="1" applyBorder="1" applyAlignment="1" applyProtection="1">
      <alignment horizontal="center" vertical="center"/>
      <protection locked="0"/>
    </xf>
    <xf numFmtId="185" fontId="217" fillId="19" borderId="68" xfId="0" applyNumberFormat="1" applyFont="1" applyFill="1" applyBorder="1" applyAlignment="1" applyProtection="1">
      <alignment horizontal="center" vertical="center"/>
      <protection locked="0"/>
    </xf>
    <xf numFmtId="185" fontId="217" fillId="19" borderId="58" xfId="0" applyNumberFormat="1" applyFont="1" applyFill="1" applyBorder="1" applyAlignment="1" applyProtection="1">
      <alignment horizontal="center" vertical="center"/>
      <protection locked="0"/>
    </xf>
    <xf numFmtId="0" fontId="217" fillId="19" borderId="58" xfId="0" applyFont="1" applyFill="1" applyBorder="1" applyAlignment="1" applyProtection="1">
      <alignment horizontal="center" vertical="center"/>
      <protection locked="0"/>
    </xf>
    <xf numFmtId="41" fontId="217" fillId="0" borderId="0" xfId="3" applyFont="1" applyFill="1" applyAlignment="1">
      <alignment vertical="center" shrinkToFit="1"/>
    </xf>
    <xf numFmtId="41" fontId="218" fillId="4" borderId="30" xfId="3" applyFont="1" applyFill="1" applyBorder="1" applyAlignment="1">
      <alignment horizontal="center" vertical="center" wrapText="1"/>
    </xf>
    <xf numFmtId="41" fontId="218" fillId="4" borderId="8" xfId="3" applyFont="1" applyFill="1" applyBorder="1" applyAlignment="1">
      <alignment horizontal="center" vertical="center" wrapText="1"/>
    </xf>
    <xf numFmtId="41" fontId="218" fillId="4" borderId="8" xfId="3" applyFont="1" applyFill="1" applyBorder="1" applyAlignment="1">
      <alignment horizontal="center" vertical="center"/>
    </xf>
    <xf numFmtId="0" fontId="217" fillId="0" borderId="0" xfId="8" applyFont="1" applyAlignment="1">
      <alignment vertical="center"/>
    </xf>
    <xf numFmtId="0" fontId="217" fillId="0" borderId="16" xfId="8" applyFont="1" applyBorder="1" applyAlignment="1">
      <alignment vertical="center" wrapText="1"/>
    </xf>
    <xf numFmtId="177" fontId="217" fillId="0" borderId="1" xfId="3" applyNumberFormat="1" applyFont="1" applyBorder="1" applyAlignment="1">
      <alignment vertical="center"/>
    </xf>
    <xf numFmtId="178" fontId="217" fillId="0" borderId="1" xfId="3" applyNumberFormat="1" applyFont="1" applyFill="1" applyBorder="1" applyAlignment="1">
      <alignment vertical="center"/>
    </xf>
    <xf numFmtId="49" fontId="217" fillId="0" borderId="2" xfId="3" applyNumberFormat="1" applyFont="1" applyFill="1" applyBorder="1" applyAlignment="1">
      <alignment vertical="center"/>
    </xf>
    <xf numFmtId="41" fontId="217" fillId="0" borderId="0" xfId="3" applyFont="1" applyAlignment="1">
      <alignment vertical="center"/>
    </xf>
    <xf numFmtId="0" fontId="217" fillId="0" borderId="19" xfId="8" applyFont="1" applyBorder="1" applyAlignment="1">
      <alignment vertical="center" wrapText="1"/>
    </xf>
    <xf numFmtId="177" fontId="217" fillId="0" borderId="3" xfId="3" applyNumberFormat="1" applyFont="1" applyBorder="1" applyAlignment="1">
      <alignment vertical="center"/>
    </xf>
    <xf numFmtId="177" fontId="217" fillId="0" borderId="5" xfId="3" applyNumberFormat="1" applyFont="1" applyFill="1" applyBorder="1" applyAlignment="1">
      <alignment vertical="center"/>
    </xf>
    <xf numFmtId="49" fontId="217" fillId="0" borderId="4" xfId="3" applyNumberFormat="1" applyFont="1" applyFill="1" applyBorder="1" applyAlignment="1">
      <alignment vertical="center"/>
    </xf>
    <xf numFmtId="0" fontId="218" fillId="11" borderId="19" xfId="8" applyFont="1" applyFill="1" applyBorder="1" applyAlignment="1">
      <alignment vertical="center"/>
    </xf>
    <xf numFmtId="177" fontId="218" fillId="11" borderId="5" xfId="3" applyNumberFormat="1" applyFont="1" applyFill="1" applyBorder="1" applyAlignment="1">
      <alignment vertical="center"/>
    </xf>
    <xf numFmtId="0" fontId="217" fillId="0" borderId="19" xfId="8" applyFont="1" applyBorder="1" applyAlignment="1">
      <alignment vertical="center"/>
    </xf>
    <xf numFmtId="177" fontId="218" fillId="0" borderId="5" xfId="3" applyNumberFormat="1" applyFont="1" applyBorder="1" applyAlignment="1">
      <alignment vertical="center"/>
    </xf>
    <xf numFmtId="49" fontId="218" fillId="0" borderId="4" xfId="3" applyNumberFormat="1" applyFont="1" applyFill="1" applyBorder="1" applyAlignment="1">
      <alignment vertical="center"/>
    </xf>
    <xf numFmtId="177" fontId="218" fillId="11" borderId="38" xfId="3" applyNumberFormat="1" applyFont="1" applyFill="1" applyBorder="1" applyAlignment="1">
      <alignment vertical="center"/>
    </xf>
    <xf numFmtId="178" fontId="228" fillId="0" borderId="9" xfId="3" applyNumberFormat="1" applyFont="1" applyFill="1" applyBorder="1" applyAlignment="1">
      <alignment vertical="center"/>
    </xf>
    <xf numFmtId="49" fontId="229" fillId="0" borderId="7" xfId="3" applyNumberFormat="1" applyFont="1" applyFill="1" applyBorder="1" applyAlignment="1">
      <alignment vertical="center"/>
    </xf>
    <xf numFmtId="49" fontId="230" fillId="0" borderId="7" xfId="3" applyNumberFormat="1" applyFont="1" applyFill="1" applyBorder="1" applyAlignment="1">
      <alignment vertical="center"/>
    </xf>
    <xf numFmtId="9" fontId="217" fillId="0" borderId="0" xfId="8" applyNumberFormat="1" applyFont="1" applyAlignment="1">
      <alignment vertical="center"/>
    </xf>
    <xf numFmtId="0" fontId="217" fillId="0" borderId="16" xfId="8" applyFont="1" applyFill="1" applyBorder="1" applyAlignment="1">
      <alignment vertical="center"/>
    </xf>
    <xf numFmtId="177" fontId="217" fillId="0" borderId="39" xfId="3" applyNumberFormat="1" applyFont="1" applyFill="1" applyBorder="1" applyAlignment="1">
      <alignment vertical="center"/>
    </xf>
    <xf numFmtId="0" fontId="217" fillId="0" borderId="19" xfId="8" applyFont="1" applyFill="1" applyBorder="1" applyAlignment="1">
      <alignment vertical="center" wrapText="1"/>
    </xf>
    <xf numFmtId="177" fontId="217" fillId="0" borderId="40" xfId="3" applyNumberFormat="1" applyFont="1" applyFill="1" applyBorder="1" applyAlignment="1">
      <alignment vertical="center"/>
    </xf>
    <xf numFmtId="10" fontId="217" fillId="2" borderId="5" xfId="3" applyNumberFormat="1" applyFont="1" applyFill="1" applyBorder="1" applyAlignment="1" applyProtection="1">
      <alignment vertical="center"/>
      <protection locked="0"/>
    </xf>
    <xf numFmtId="49" fontId="217" fillId="0" borderId="28" xfId="3" applyNumberFormat="1" applyFont="1" applyFill="1" applyBorder="1" applyAlignment="1">
      <alignment vertical="center"/>
    </xf>
    <xf numFmtId="177" fontId="218" fillId="11" borderId="41" xfId="3" applyNumberFormat="1" applyFont="1" applyFill="1" applyBorder="1" applyAlignment="1">
      <alignment vertical="center"/>
    </xf>
    <xf numFmtId="10" fontId="217" fillId="0" borderId="5" xfId="2" applyNumberFormat="1" applyFont="1" applyFill="1" applyBorder="1" applyAlignment="1">
      <alignment vertical="center"/>
    </xf>
    <xf numFmtId="177" fontId="217" fillId="0" borderId="41" xfId="3" applyNumberFormat="1" applyFont="1" applyFill="1" applyBorder="1" applyAlignment="1">
      <alignment vertical="center"/>
    </xf>
    <xf numFmtId="178" fontId="217" fillId="0" borderId="5" xfId="3" applyNumberFormat="1" applyFont="1" applyFill="1" applyBorder="1" applyAlignment="1">
      <alignment vertical="center"/>
    </xf>
    <xf numFmtId="178" fontId="218" fillId="11" borderId="19" xfId="3" applyNumberFormat="1" applyFont="1" applyFill="1" applyBorder="1" applyAlignment="1">
      <alignment vertical="center"/>
    </xf>
    <xf numFmtId="177" fontId="218" fillId="11" borderId="40" xfId="3" applyNumberFormat="1" applyFont="1" applyFill="1" applyBorder="1" applyAlignment="1">
      <alignment vertical="center"/>
    </xf>
    <xf numFmtId="49" fontId="218" fillId="0" borderId="6" xfId="3" applyNumberFormat="1" applyFont="1" applyFill="1" applyBorder="1" applyAlignment="1">
      <alignment vertical="center"/>
    </xf>
    <xf numFmtId="0" fontId="217" fillId="0" borderId="19" xfId="8" applyFont="1" applyFill="1" applyBorder="1" applyAlignment="1">
      <alignment vertical="center"/>
    </xf>
    <xf numFmtId="177" fontId="217" fillId="0" borderId="41" xfId="3" applyNumberFormat="1" applyFont="1" applyBorder="1" applyAlignment="1">
      <alignment vertical="center"/>
    </xf>
    <xf numFmtId="10" fontId="217" fillId="0" borderId="5" xfId="2" applyNumberFormat="1" applyFont="1" applyBorder="1" applyAlignment="1">
      <alignment vertical="center"/>
    </xf>
    <xf numFmtId="177" fontId="218" fillId="11" borderId="43" xfId="3" applyNumberFormat="1" applyFont="1" applyFill="1" applyBorder="1" applyAlignment="1">
      <alignment vertical="center"/>
    </xf>
    <xf numFmtId="10" fontId="217" fillId="0" borderId="38" xfId="2" applyNumberFormat="1" applyFont="1" applyFill="1" applyBorder="1" applyAlignment="1">
      <alignment vertical="center"/>
    </xf>
    <xf numFmtId="49" fontId="218" fillId="0" borderId="7" xfId="3" applyNumberFormat="1" applyFont="1" applyFill="1" applyBorder="1" applyAlignment="1">
      <alignment vertical="center"/>
    </xf>
    <xf numFmtId="49" fontId="217" fillId="0" borderId="7" xfId="3" applyNumberFormat="1" applyFont="1" applyFill="1" applyBorder="1" applyAlignment="1">
      <alignment vertical="center"/>
    </xf>
    <xf numFmtId="0" fontId="217" fillId="0" borderId="22" xfId="8" applyFont="1" applyBorder="1" applyAlignment="1">
      <alignment vertical="center"/>
    </xf>
    <xf numFmtId="177" fontId="217" fillId="0" borderId="2" xfId="8" applyNumberFormat="1" applyFont="1" applyFill="1" applyBorder="1" applyAlignment="1">
      <alignment vertical="center"/>
    </xf>
    <xf numFmtId="10" fontId="217" fillId="0" borderId="3" xfId="2" applyNumberFormat="1" applyFont="1" applyBorder="1" applyAlignment="1">
      <alignment vertical="center"/>
    </xf>
    <xf numFmtId="49" fontId="217" fillId="0" borderId="2" xfId="8" applyNumberFormat="1" applyFont="1" applyFill="1" applyBorder="1" applyAlignment="1">
      <alignment vertical="center"/>
    </xf>
    <xf numFmtId="178" fontId="218" fillId="11" borderId="13" xfId="3" applyNumberFormat="1" applyFont="1" applyFill="1" applyBorder="1" applyAlignment="1">
      <alignment vertical="center"/>
    </xf>
    <xf numFmtId="177" fontId="218" fillId="11" borderId="42" xfId="3" applyNumberFormat="1" applyFont="1" applyFill="1" applyBorder="1" applyAlignment="1">
      <alignment vertical="center"/>
    </xf>
    <xf numFmtId="49" fontId="217" fillId="0" borderId="28" xfId="8" applyNumberFormat="1" applyFont="1" applyFill="1" applyBorder="1" applyAlignment="1">
      <alignment vertical="center"/>
    </xf>
    <xf numFmtId="0" fontId="217" fillId="0" borderId="13" xfId="8" applyFont="1" applyBorder="1" applyAlignment="1">
      <alignment vertical="center"/>
    </xf>
    <xf numFmtId="177" fontId="217" fillId="0" borderId="4" xfId="8" applyNumberFormat="1" applyFont="1" applyFill="1" applyBorder="1" applyAlignment="1">
      <alignment vertical="center"/>
    </xf>
    <xf numFmtId="49" fontId="217" fillId="0" borderId="4" xfId="8" applyNumberFormat="1" applyFont="1" applyFill="1" applyBorder="1" applyAlignment="1">
      <alignment vertical="center"/>
    </xf>
    <xf numFmtId="49" fontId="217" fillId="0" borderId="6" xfId="8" applyNumberFormat="1" applyFont="1" applyFill="1" applyBorder="1" applyAlignment="1">
      <alignment vertical="center"/>
    </xf>
    <xf numFmtId="177" fontId="218" fillId="11" borderId="7" xfId="8" applyNumberFormat="1" applyFont="1" applyFill="1" applyBorder="1" applyAlignment="1">
      <alignment vertical="center"/>
    </xf>
    <xf numFmtId="49" fontId="218" fillId="0" borderId="7" xfId="8" applyNumberFormat="1" applyFont="1" applyFill="1" applyBorder="1" applyAlignment="1">
      <alignment vertical="center"/>
    </xf>
    <xf numFmtId="49" fontId="217" fillId="0" borderId="7" xfId="8" applyNumberFormat="1" applyFont="1" applyFill="1" applyBorder="1" applyAlignment="1">
      <alignment vertical="center"/>
    </xf>
    <xf numFmtId="177" fontId="218" fillId="11" borderId="30" xfId="8" applyNumberFormat="1" applyFont="1" applyFill="1" applyBorder="1" applyAlignment="1">
      <alignment vertical="center"/>
    </xf>
    <xf numFmtId="10" fontId="217" fillId="0" borderId="30" xfId="2" applyNumberFormat="1" applyFont="1" applyFill="1" applyBorder="1" applyAlignment="1">
      <alignment vertical="center"/>
    </xf>
    <xf numFmtId="49" fontId="218" fillId="0" borderId="8" xfId="8" applyNumberFormat="1" applyFont="1" applyFill="1" applyBorder="1" applyAlignment="1">
      <alignment vertical="center"/>
    </xf>
    <xf numFmtId="49" fontId="217" fillId="0" borderId="8" xfId="8" applyNumberFormat="1" applyFont="1" applyFill="1" applyBorder="1" applyAlignment="1">
      <alignment vertical="center"/>
    </xf>
    <xf numFmtId="177" fontId="217" fillId="0" borderId="10" xfId="8" applyNumberFormat="1" applyFont="1" applyBorder="1" applyAlignment="1">
      <alignment vertical="center"/>
    </xf>
    <xf numFmtId="177" fontId="218" fillId="11" borderId="38" xfId="8" applyNumberFormat="1" applyFont="1" applyFill="1" applyBorder="1" applyAlignment="1">
      <alignment vertical="center"/>
    </xf>
    <xf numFmtId="178" fontId="217" fillId="3" borderId="1" xfId="8" applyNumberFormat="1" applyFont="1" applyFill="1" applyBorder="1" applyAlignment="1">
      <alignment vertical="center"/>
    </xf>
    <xf numFmtId="0" fontId="231" fillId="0" borderId="0" xfId="8" applyFont="1" applyAlignment="1">
      <alignment vertical="center"/>
    </xf>
    <xf numFmtId="41" fontId="231" fillId="0" borderId="0" xfId="3" applyFont="1" applyAlignment="1">
      <alignment vertical="center"/>
    </xf>
    <xf numFmtId="178" fontId="218" fillId="11" borderId="38" xfId="8" applyNumberFormat="1" applyFont="1" applyFill="1" applyBorder="1" applyAlignment="1">
      <alignment vertical="center"/>
    </xf>
    <xf numFmtId="177" fontId="219" fillId="12" borderId="30" xfId="8" applyNumberFormat="1" applyFont="1" applyFill="1" applyBorder="1" applyAlignment="1">
      <alignment vertical="center"/>
    </xf>
    <xf numFmtId="10" fontId="219" fillId="12" borderId="30" xfId="2" applyNumberFormat="1" applyFont="1" applyFill="1" applyBorder="1" applyAlignment="1">
      <alignment vertical="center"/>
    </xf>
    <xf numFmtId="0" fontId="217" fillId="0" borderId="0" xfId="8" applyFont="1" applyAlignment="1">
      <alignment horizontal="center" vertical="center"/>
    </xf>
    <xf numFmtId="0" fontId="218" fillId="0" borderId="0" xfId="8" applyFont="1" applyAlignment="1">
      <alignment horizontal="center" vertical="center"/>
    </xf>
    <xf numFmtId="0" fontId="232" fillId="0" borderId="0" xfId="8" applyFont="1" applyAlignment="1">
      <alignment horizontal="left" vertical="center"/>
    </xf>
    <xf numFmtId="41" fontId="232" fillId="0" borderId="0" xfId="3" applyFont="1" applyAlignment="1">
      <alignment horizontal="left" vertical="center"/>
    </xf>
    <xf numFmtId="0" fontId="231" fillId="0" borderId="0" xfId="8" applyFont="1" applyAlignment="1">
      <alignment horizontal="center" vertical="center"/>
    </xf>
    <xf numFmtId="0" fontId="217" fillId="0" borderId="0" xfId="0" applyFont="1" applyFill="1" applyAlignment="1">
      <alignment vertical="center"/>
    </xf>
    <xf numFmtId="180" fontId="217" fillId="0" borderId="0" xfId="3" applyNumberFormat="1" applyFont="1" applyFill="1" applyAlignment="1">
      <alignment horizontal="center" vertical="center"/>
    </xf>
    <xf numFmtId="176" fontId="217" fillId="0" borderId="0" xfId="0" applyNumberFormat="1" applyFont="1" applyFill="1" applyAlignment="1">
      <alignment vertical="center"/>
    </xf>
    <xf numFmtId="184" fontId="217" fillId="0" borderId="0" xfId="0" applyNumberFormat="1" applyFont="1" applyFill="1" applyAlignment="1">
      <alignment vertical="center"/>
    </xf>
    <xf numFmtId="176" fontId="217" fillId="0" borderId="0" xfId="8" applyNumberFormat="1" applyFont="1" applyFill="1" applyBorder="1" applyAlignment="1">
      <alignment horizontal="center" vertical="center"/>
    </xf>
    <xf numFmtId="0" fontId="217" fillId="0" borderId="0" xfId="0" applyFont="1" applyFill="1" applyBorder="1" applyAlignment="1">
      <alignment horizontal="center" vertical="center"/>
    </xf>
    <xf numFmtId="181" fontId="217" fillId="0" borderId="0" xfId="0" applyNumberFormat="1" applyFont="1" applyFill="1" applyBorder="1" applyAlignment="1">
      <alignment horizontal="right" vertical="center"/>
    </xf>
    <xf numFmtId="176" fontId="217" fillId="0" borderId="0" xfId="8" applyNumberFormat="1" applyFont="1" applyFill="1" applyAlignment="1">
      <alignment horizontal="center" vertical="center"/>
    </xf>
    <xf numFmtId="181" fontId="217" fillId="0" borderId="0" xfId="0" applyNumberFormat="1" applyFont="1" applyFill="1" applyAlignment="1">
      <alignment horizontal="right"/>
    </xf>
    <xf numFmtId="181" fontId="217" fillId="6" borderId="34" xfId="0" applyNumberFormat="1" applyFont="1" applyFill="1" applyBorder="1" applyAlignment="1" applyProtection="1">
      <alignment horizontal="right" vertical="center"/>
    </xf>
    <xf numFmtId="176" fontId="217" fillId="6" borderId="24" xfId="0" applyNumberFormat="1" applyFont="1" applyFill="1" applyBorder="1" applyAlignment="1" applyProtection="1">
      <alignment horizontal="right" vertical="center"/>
    </xf>
    <xf numFmtId="182" fontId="217" fillId="0" borderId="0" xfId="11" applyNumberFormat="1" applyFont="1" applyFill="1" applyBorder="1" applyAlignment="1">
      <alignment horizontal="right" vertical="center"/>
    </xf>
    <xf numFmtId="182" fontId="218" fillId="0" borderId="0" xfId="11" applyNumberFormat="1" applyFont="1" applyFill="1" applyBorder="1" applyAlignment="1">
      <alignment horizontal="right" vertical="center"/>
    </xf>
    <xf numFmtId="181" fontId="218" fillId="0" borderId="0" xfId="11" applyNumberFormat="1" applyFont="1" applyFill="1" applyBorder="1" applyAlignment="1">
      <alignment horizontal="right" vertical="center"/>
    </xf>
    <xf numFmtId="176" fontId="218" fillId="0" borderId="0" xfId="11" applyNumberFormat="1" applyFont="1" applyFill="1" applyBorder="1" applyAlignment="1">
      <alignment horizontal="right" vertical="center"/>
    </xf>
    <xf numFmtId="176" fontId="235" fillId="9" borderId="26" xfId="11" applyNumberFormat="1" applyFont="1" applyFill="1" applyBorder="1" applyAlignment="1">
      <alignment vertical="center"/>
    </xf>
    <xf numFmtId="181" fontId="217" fillId="0" borderId="0" xfId="0" applyNumberFormat="1" applyFont="1" applyFill="1" applyAlignment="1">
      <alignment horizontal="right" vertical="center"/>
    </xf>
    <xf numFmtId="0" fontId="217" fillId="0" borderId="36" xfId="11" applyFont="1" applyFill="1" applyBorder="1" applyAlignment="1" applyProtection="1">
      <alignment vertical="center" wrapText="1"/>
    </xf>
    <xf numFmtId="0" fontId="217" fillId="0" borderId="11" xfId="0" applyFont="1" applyFill="1" applyBorder="1" applyAlignment="1" applyProtection="1">
      <alignment horizontal="center" vertical="center"/>
    </xf>
    <xf numFmtId="0" fontId="217" fillId="0" borderId="22" xfId="0" applyFont="1" applyFill="1" applyBorder="1" applyAlignment="1" applyProtection="1">
      <alignment horizontal="center" vertical="center"/>
    </xf>
    <xf numFmtId="0" fontId="217" fillId="0" borderId="36" xfId="0" applyFont="1" applyFill="1" applyBorder="1" applyAlignment="1" applyProtection="1">
      <alignment vertical="center"/>
    </xf>
    <xf numFmtId="0" fontId="217" fillId="0" borderId="11" xfId="11" applyFont="1" applyFill="1" applyBorder="1" applyAlignment="1" applyProtection="1">
      <alignment horizontal="center" vertical="center" wrapText="1"/>
    </xf>
    <xf numFmtId="181" fontId="217" fillId="6" borderId="24" xfId="0" applyNumberFormat="1" applyFont="1" applyFill="1" applyBorder="1" applyAlignment="1" applyProtection="1">
      <alignment horizontal="right" vertical="center"/>
    </xf>
    <xf numFmtId="181" fontId="217" fillId="6" borderId="25" xfId="0" applyNumberFormat="1" applyFont="1" applyFill="1" applyBorder="1" applyAlignment="1" applyProtection="1">
      <alignment horizontal="right" vertical="center"/>
    </xf>
    <xf numFmtId="181" fontId="217" fillId="6" borderId="26" xfId="0" applyNumberFormat="1" applyFont="1" applyFill="1" applyBorder="1" applyAlignment="1" applyProtection="1">
      <alignment horizontal="right" vertical="center"/>
    </xf>
    <xf numFmtId="176" fontId="217" fillId="6" borderId="32" xfId="0" applyNumberFormat="1" applyFont="1" applyFill="1" applyBorder="1" applyAlignment="1" applyProtection="1">
      <alignment horizontal="right" vertical="center"/>
    </xf>
    <xf numFmtId="176" fontId="217" fillId="6" borderId="26" xfId="0" applyNumberFormat="1" applyFont="1" applyFill="1" applyBorder="1" applyAlignment="1" applyProtection="1">
      <alignment horizontal="right" vertical="center"/>
    </xf>
    <xf numFmtId="0" fontId="217" fillId="0" borderId="0" xfId="0" applyFont="1" applyFill="1" applyAlignment="1" applyProtection="1">
      <alignment horizontal="center" vertical="center"/>
    </xf>
    <xf numFmtId="0" fontId="217" fillId="0" borderId="0" xfId="0" applyFont="1" applyFill="1" applyAlignment="1" applyProtection="1">
      <alignment vertical="center"/>
    </xf>
    <xf numFmtId="181" fontId="217" fillId="0" borderId="0" xfId="0" applyNumberFormat="1" applyFont="1" applyFill="1" applyAlignment="1" applyProtection="1">
      <alignment horizontal="right" vertical="center"/>
    </xf>
    <xf numFmtId="180" fontId="217" fillId="0" borderId="0" xfId="0" applyNumberFormat="1" applyFont="1" applyFill="1" applyAlignment="1" applyProtection="1">
      <alignment horizontal="center" vertical="center"/>
    </xf>
    <xf numFmtId="176" fontId="217" fillId="0" borderId="0" xfId="2" applyNumberFormat="1" applyFont="1" applyFill="1" applyAlignment="1" applyProtection="1">
      <alignment vertical="center"/>
    </xf>
    <xf numFmtId="181" fontId="217" fillId="21" borderId="25" xfId="0" applyNumberFormat="1" applyFont="1" applyFill="1" applyBorder="1" applyAlignment="1" applyProtection="1">
      <alignment horizontal="right" vertical="center"/>
    </xf>
    <xf numFmtId="176" fontId="217" fillId="21" borderId="26" xfId="0" applyNumberFormat="1" applyFont="1" applyFill="1" applyBorder="1" applyAlignment="1" applyProtection="1">
      <alignment horizontal="right" vertical="center"/>
    </xf>
    <xf numFmtId="0" fontId="217" fillId="0" borderId="0" xfId="0" applyFont="1" applyAlignment="1">
      <alignment vertical="center"/>
    </xf>
    <xf numFmtId="0" fontId="217" fillId="0" borderId="0" xfId="0" applyFont="1" applyAlignment="1">
      <alignment horizontal="center" vertical="center"/>
    </xf>
    <xf numFmtId="41" fontId="217" fillId="0" borderId="0" xfId="3" applyFont="1">
      <alignment vertical="center"/>
    </xf>
    <xf numFmtId="10" fontId="217" fillId="0" borderId="0" xfId="2" applyNumberFormat="1" applyFont="1">
      <alignment vertical="center"/>
    </xf>
    <xf numFmtId="183" fontId="217" fillId="0" borderId="0" xfId="0" applyNumberFormat="1" applyFont="1" applyAlignment="1">
      <alignment horizontal="center" vertical="center"/>
    </xf>
    <xf numFmtId="177" fontId="219" fillId="17" borderId="25" xfId="0" applyNumberFormat="1" applyFont="1" applyFill="1" applyBorder="1" applyAlignment="1">
      <alignment horizontal="right" vertical="center"/>
    </xf>
    <xf numFmtId="10" fontId="219" fillId="17" borderId="26" xfId="2" applyNumberFormat="1" applyFont="1" applyFill="1" applyBorder="1" applyAlignment="1">
      <alignment horizontal="right" vertical="center"/>
    </xf>
    <xf numFmtId="181" fontId="217" fillId="0" borderId="0" xfId="0" applyNumberFormat="1" applyFont="1" applyFill="1" applyAlignment="1">
      <alignment vertical="center"/>
    </xf>
    <xf numFmtId="0" fontId="217" fillId="0" borderId="0" xfId="0" applyFont="1" applyFill="1" applyBorder="1" applyAlignment="1">
      <alignment horizontal="center" vertical="center" shrinkToFit="1"/>
    </xf>
    <xf numFmtId="180" fontId="217" fillId="0" borderId="0" xfId="3" applyNumberFormat="1" applyFont="1" applyFill="1" applyBorder="1" applyAlignment="1">
      <alignment horizontal="center" vertical="center"/>
    </xf>
    <xf numFmtId="176" fontId="217" fillId="0" borderId="0" xfId="7" applyNumberFormat="1" applyFont="1" applyFill="1" applyBorder="1" applyAlignment="1">
      <alignment vertical="center"/>
    </xf>
    <xf numFmtId="176" fontId="217" fillId="0" borderId="0" xfId="7" applyNumberFormat="1" applyFont="1" applyAlignment="1">
      <alignment vertical="center"/>
    </xf>
    <xf numFmtId="176" fontId="217" fillId="0" borderId="0" xfId="7" applyNumberFormat="1" applyFont="1" applyFill="1" applyAlignment="1">
      <alignment vertical="center"/>
    </xf>
    <xf numFmtId="176" fontId="218" fillId="0" borderId="0" xfId="7" applyNumberFormat="1" applyFont="1" applyFill="1" applyBorder="1" applyAlignment="1">
      <alignment horizontal="right" vertical="center"/>
    </xf>
    <xf numFmtId="176" fontId="218" fillId="0" borderId="0" xfId="7" applyNumberFormat="1" applyFont="1" applyAlignment="1">
      <alignment horizontal="right" vertical="center"/>
    </xf>
    <xf numFmtId="176" fontId="232" fillId="0" borderId="0" xfId="7" applyNumberFormat="1" applyFont="1" applyFill="1" applyBorder="1" applyAlignment="1">
      <alignment horizontal="center" vertical="center"/>
    </xf>
    <xf numFmtId="176" fontId="232" fillId="0" borderId="0" xfId="7" applyNumberFormat="1" applyFont="1" applyFill="1" applyAlignment="1">
      <alignment horizontal="center" vertical="center"/>
    </xf>
    <xf numFmtId="176" fontId="218" fillId="0" borderId="0" xfId="7" applyNumberFormat="1" applyFont="1" applyFill="1" applyAlignment="1">
      <alignment horizontal="center" vertical="center"/>
    </xf>
    <xf numFmtId="176" fontId="217" fillId="0" borderId="0" xfId="7" applyNumberFormat="1" applyFont="1" applyFill="1" applyAlignment="1">
      <alignment horizontal="center" vertical="center"/>
    </xf>
    <xf numFmtId="176" fontId="217" fillId="0" borderId="0" xfId="7" applyNumberFormat="1" applyFont="1" applyFill="1" applyAlignment="1">
      <alignment horizontal="right" vertical="center"/>
    </xf>
    <xf numFmtId="176" fontId="217" fillId="0" borderId="0" xfId="7" applyNumberFormat="1" applyFont="1" applyFill="1" applyBorder="1" applyAlignment="1">
      <alignment horizontal="center" vertical="center"/>
    </xf>
    <xf numFmtId="176" fontId="227" fillId="0" borderId="0" xfId="8" applyNumberFormat="1" applyFont="1" applyFill="1" applyAlignment="1">
      <alignment horizontal="center" vertical="center"/>
    </xf>
    <xf numFmtId="176" fontId="218" fillId="0" borderId="0" xfId="8" applyNumberFormat="1" applyFont="1" applyFill="1" applyAlignment="1">
      <alignment horizontal="center" vertical="center"/>
    </xf>
    <xf numFmtId="0" fontId="218" fillId="0" borderId="0" xfId="12" applyFont="1" applyAlignment="1">
      <alignment horizontal="center" vertical="center"/>
    </xf>
    <xf numFmtId="0" fontId="217" fillId="0" borderId="0" xfId="12" applyFont="1">
      <alignment vertical="center"/>
    </xf>
    <xf numFmtId="0" fontId="217" fillId="0" borderId="14" xfId="12" applyFont="1" applyBorder="1" applyAlignment="1">
      <alignment horizontal="center" vertical="center"/>
    </xf>
    <xf numFmtId="0" fontId="217" fillId="0" borderId="14" xfId="12" applyFont="1" applyFill="1" applyBorder="1" applyAlignment="1">
      <alignment horizontal="center" vertical="center"/>
    </xf>
    <xf numFmtId="178" fontId="217" fillId="11" borderId="15" xfId="0" applyNumberFormat="1" applyFont="1" applyFill="1" applyBorder="1" applyAlignment="1">
      <alignment horizontal="right" vertical="center"/>
    </xf>
    <xf numFmtId="178" fontId="217" fillId="0" borderId="0" xfId="12" applyNumberFormat="1" applyFont="1" applyAlignment="1">
      <alignment horizontal="center" vertical="center"/>
    </xf>
    <xf numFmtId="178" fontId="217" fillId="0" borderId="0" xfId="12" applyNumberFormat="1" applyFont="1">
      <alignment vertical="center"/>
    </xf>
    <xf numFmtId="176" fontId="218" fillId="0" borderId="0" xfId="7" applyNumberFormat="1" applyFont="1" applyFill="1" applyAlignment="1">
      <alignment horizontal="right" vertical="center"/>
    </xf>
    <xf numFmtId="176" fontId="227" fillId="0" borderId="0" xfId="8" applyNumberFormat="1" applyFont="1" applyFill="1" applyBorder="1" applyAlignment="1">
      <alignment horizontal="center" vertical="center"/>
    </xf>
    <xf numFmtId="0" fontId="217" fillId="0" borderId="0" xfId="0" applyFont="1" applyFill="1" applyBorder="1" applyAlignment="1">
      <alignment horizontal="right"/>
    </xf>
    <xf numFmtId="176" fontId="218" fillId="0" borderId="0" xfId="8" applyNumberFormat="1" applyFont="1" applyFill="1" applyAlignment="1">
      <alignment horizontal="right" vertical="center"/>
    </xf>
    <xf numFmtId="41" fontId="227" fillId="0" borderId="0" xfId="3" applyFont="1" applyFill="1" applyAlignment="1">
      <alignment horizontal="center" vertical="center"/>
    </xf>
    <xf numFmtId="41" fontId="218" fillId="0" borderId="0" xfId="3" applyFont="1" applyFill="1" applyAlignment="1">
      <alignment horizontal="center" vertical="center"/>
    </xf>
    <xf numFmtId="41" fontId="218" fillId="0" borderId="0" xfId="3" applyFont="1" applyAlignment="1">
      <alignment horizontal="center" vertical="center"/>
    </xf>
    <xf numFmtId="181" fontId="217" fillId="6" borderId="15" xfId="0" applyNumberFormat="1" applyFont="1" applyFill="1" applyBorder="1" applyAlignment="1">
      <alignment horizontal="right" vertical="center"/>
    </xf>
    <xf numFmtId="244" fontId="217" fillId="6" borderId="15" xfId="0" applyNumberFormat="1" applyFont="1" applyFill="1" applyBorder="1" applyAlignment="1">
      <alignment horizontal="right" vertical="center"/>
    </xf>
    <xf numFmtId="244" fontId="217" fillId="6" borderId="15" xfId="0" applyNumberFormat="1" applyFont="1" applyFill="1" applyBorder="1" applyAlignment="1" applyProtection="1">
      <alignment horizontal="right" vertical="center"/>
    </xf>
    <xf numFmtId="176" fontId="217" fillId="6" borderId="15" xfId="0" applyNumberFormat="1" applyFont="1" applyFill="1" applyBorder="1" applyAlignment="1" applyProtection="1">
      <alignment horizontal="right" vertical="center"/>
      <protection locked="0"/>
    </xf>
    <xf numFmtId="0" fontId="217" fillId="11" borderId="15" xfId="12" applyFont="1" applyFill="1" applyBorder="1" applyAlignment="1">
      <alignment vertical="center"/>
    </xf>
    <xf numFmtId="0" fontId="217" fillId="11" borderId="15" xfId="12" applyFont="1" applyFill="1" applyBorder="1" applyAlignment="1">
      <alignment horizontal="center" vertical="center"/>
    </xf>
    <xf numFmtId="10" fontId="217" fillId="11" borderId="15" xfId="2" applyNumberFormat="1" applyFont="1" applyFill="1" applyBorder="1" applyAlignment="1">
      <alignment horizontal="right" vertical="center"/>
    </xf>
    <xf numFmtId="0" fontId="218" fillId="4" borderId="12" xfId="8" applyFont="1" applyFill="1" applyBorder="1" applyAlignment="1">
      <alignment horizontal="center" vertical="center"/>
    </xf>
    <xf numFmtId="41" fontId="218" fillId="4" borderId="12" xfId="3" applyFont="1" applyFill="1" applyBorder="1" applyAlignment="1">
      <alignment horizontal="center" vertical="center"/>
    </xf>
    <xf numFmtId="10" fontId="218" fillId="4" borderId="12" xfId="2" applyNumberFormat="1" applyFont="1" applyFill="1" applyBorder="1" applyAlignment="1">
      <alignment horizontal="center" vertical="center"/>
    </xf>
    <xf numFmtId="183" fontId="218" fillId="17" borderId="12" xfId="8" applyNumberFormat="1" applyFont="1" applyFill="1" applyBorder="1" applyAlignment="1">
      <alignment horizontal="center" vertical="center"/>
    </xf>
    <xf numFmtId="0" fontId="218" fillId="17" borderId="12" xfId="8" applyFont="1" applyFill="1" applyBorder="1" applyAlignment="1">
      <alignment horizontal="center" vertical="center" wrapText="1"/>
    </xf>
    <xf numFmtId="0" fontId="218" fillId="17" borderId="12" xfId="8" applyFont="1" applyFill="1" applyBorder="1" applyAlignment="1">
      <alignment horizontal="center" vertical="center"/>
    </xf>
    <xf numFmtId="10" fontId="218" fillId="17" borderId="13" xfId="2" applyNumberFormat="1" applyFont="1" applyFill="1" applyBorder="1" applyAlignment="1">
      <alignment horizontal="center" vertical="center"/>
    </xf>
    <xf numFmtId="0" fontId="217" fillId="16" borderId="12" xfId="0" applyFont="1" applyFill="1" applyBorder="1" applyAlignment="1">
      <alignment horizontal="center" vertical="center"/>
    </xf>
    <xf numFmtId="177" fontId="217" fillId="16" borderId="12" xfId="3" applyNumberFormat="1" applyFont="1" applyFill="1" applyBorder="1" applyAlignment="1">
      <alignment vertical="center"/>
    </xf>
    <xf numFmtId="10" fontId="217" fillId="16" borderId="12" xfId="2" applyNumberFormat="1" applyFont="1" applyFill="1" applyBorder="1">
      <alignment vertical="center"/>
    </xf>
    <xf numFmtId="183" fontId="217" fillId="16" borderId="12" xfId="0" applyNumberFormat="1" applyFont="1" applyFill="1" applyBorder="1" applyAlignment="1">
      <alignment horizontal="center" vertical="center"/>
    </xf>
    <xf numFmtId="0" fontId="217" fillId="16" borderId="12" xfId="0" applyFont="1" applyFill="1" applyBorder="1">
      <alignment vertical="center"/>
    </xf>
    <xf numFmtId="10" fontId="217" fillId="16" borderId="13" xfId="2" applyNumberFormat="1" applyFont="1" applyFill="1" applyBorder="1">
      <alignment vertical="center"/>
    </xf>
    <xf numFmtId="0" fontId="217" fillId="15" borderId="15" xfId="0" applyFont="1" applyFill="1" applyBorder="1" applyAlignment="1">
      <alignment horizontal="center" vertical="center"/>
    </xf>
    <xf numFmtId="177" fontId="217" fillId="15" borderId="15" xfId="3" applyNumberFormat="1" applyFont="1" applyFill="1" applyBorder="1" applyAlignment="1">
      <alignment vertical="center"/>
    </xf>
    <xf numFmtId="177" fontId="217" fillId="15" borderId="15" xfId="3" applyNumberFormat="1" applyFont="1" applyFill="1" applyBorder="1" applyAlignment="1">
      <alignment horizontal="right" vertical="center"/>
    </xf>
    <xf numFmtId="10" fontId="217" fillId="15" borderId="15" xfId="2" applyNumberFormat="1" applyFont="1" applyFill="1" applyBorder="1">
      <alignment vertical="center"/>
    </xf>
    <xf numFmtId="183" fontId="217" fillId="15" borderId="15" xfId="0" applyNumberFormat="1" applyFont="1" applyFill="1" applyBorder="1" applyAlignment="1">
      <alignment horizontal="center" vertical="center"/>
    </xf>
    <xf numFmtId="0" fontId="217" fillId="15" borderId="15" xfId="0" applyFont="1" applyFill="1" applyBorder="1">
      <alignment vertical="center"/>
    </xf>
    <xf numFmtId="10" fontId="217" fillId="15" borderId="23" xfId="2" applyNumberFormat="1" applyFont="1" applyFill="1" applyBorder="1">
      <alignment vertical="center"/>
    </xf>
    <xf numFmtId="38" fontId="218" fillId="6" borderId="15" xfId="7" applyNumberFormat="1" applyFont="1" applyFill="1" applyBorder="1" applyAlignment="1">
      <alignment horizontal="right" vertical="center"/>
    </xf>
    <xf numFmtId="38" fontId="218" fillId="6" borderId="23" xfId="7" applyNumberFormat="1" applyFont="1" applyFill="1" applyBorder="1" applyAlignment="1">
      <alignment horizontal="right" vertical="center"/>
    </xf>
    <xf numFmtId="176" fontId="218" fillId="4" borderId="22" xfId="7" applyNumberFormat="1" applyFont="1" applyFill="1" applyBorder="1" applyAlignment="1">
      <alignment horizontal="center" vertical="center"/>
    </xf>
    <xf numFmtId="176" fontId="218" fillId="0" borderId="23" xfId="7" applyNumberFormat="1" applyFont="1" applyFill="1" applyBorder="1" applyAlignment="1">
      <alignment horizontal="right" vertical="center"/>
    </xf>
    <xf numFmtId="180" fontId="217" fillId="0" borderId="0" xfId="3" applyNumberFormat="1" applyFont="1">
      <alignment vertical="center"/>
    </xf>
    <xf numFmtId="0" fontId="218" fillId="13" borderId="12" xfId="0" applyFont="1" applyFill="1" applyBorder="1" applyAlignment="1">
      <alignment horizontal="center" vertical="center"/>
    </xf>
    <xf numFmtId="0" fontId="217" fillId="19" borderId="12" xfId="0" applyFont="1" applyFill="1" applyBorder="1" applyAlignment="1" applyProtection="1">
      <alignment horizontal="left" vertical="center" indent="1"/>
      <protection locked="0"/>
    </xf>
    <xf numFmtId="0" fontId="217" fillId="19" borderId="55" xfId="0" applyFont="1" applyFill="1" applyBorder="1" applyAlignment="1" applyProtection="1">
      <alignment horizontal="left" vertical="center" indent="1"/>
      <protection locked="0"/>
    </xf>
    <xf numFmtId="41" fontId="217" fillId="0" borderId="0" xfId="3" applyNumberFormat="1" applyFont="1">
      <alignment vertical="center"/>
    </xf>
    <xf numFmtId="177" fontId="217" fillId="0" borderId="0" xfId="8" applyNumberFormat="1" applyFont="1" applyAlignment="1">
      <alignment vertical="center"/>
    </xf>
    <xf numFmtId="41" fontId="237" fillId="0" borderId="0" xfId="4869" applyFont="1">
      <alignment vertical="top"/>
    </xf>
    <xf numFmtId="49" fontId="217" fillId="0" borderId="127" xfId="8" applyNumberFormat="1" applyFont="1" applyFill="1" applyBorder="1" applyAlignment="1">
      <alignment vertical="center"/>
    </xf>
    <xf numFmtId="177" fontId="217" fillId="0" borderId="1" xfId="8" applyNumberFormat="1" applyFont="1" applyBorder="1" applyAlignment="1">
      <alignment vertical="center"/>
    </xf>
    <xf numFmtId="177" fontId="217" fillId="81" borderId="1" xfId="8" applyNumberFormat="1" applyFont="1" applyFill="1" applyBorder="1" applyAlignment="1" applyProtection="1">
      <alignment vertical="center"/>
      <protection locked="0"/>
    </xf>
    <xf numFmtId="177" fontId="217" fillId="81" borderId="5" xfId="8" applyNumberFormat="1" applyFont="1" applyFill="1" applyBorder="1" applyAlignment="1" applyProtection="1">
      <alignment vertical="center"/>
      <protection locked="0"/>
    </xf>
    <xf numFmtId="10" fontId="217" fillId="14" borderId="10" xfId="2" applyNumberFormat="1" applyFont="1" applyFill="1" applyBorder="1" applyAlignment="1">
      <alignment vertical="center"/>
    </xf>
    <xf numFmtId="0" fontId="217" fillId="18" borderId="60" xfId="0" applyFont="1" applyFill="1" applyBorder="1" applyAlignment="1">
      <alignment horizontal="center" vertical="center"/>
    </xf>
    <xf numFmtId="0" fontId="217" fillId="18" borderId="61" xfId="0" applyFont="1" applyFill="1" applyBorder="1" applyAlignment="1">
      <alignment horizontal="center" vertical="center"/>
    </xf>
    <xf numFmtId="177" fontId="217" fillId="0" borderId="90" xfId="3" applyNumberFormat="1" applyFont="1" applyBorder="1" applyAlignment="1">
      <alignment horizontal="center" vertical="center"/>
    </xf>
    <xf numFmtId="177" fontId="217" fillId="0" borderId="37" xfId="3" applyNumberFormat="1" applyFont="1" applyBorder="1" applyAlignment="1">
      <alignment horizontal="center" vertical="center"/>
    </xf>
    <xf numFmtId="0" fontId="218" fillId="0" borderId="0" xfId="0" applyFont="1" applyFill="1" applyBorder="1" applyAlignment="1">
      <alignment horizontal="center" vertical="center" wrapText="1"/>
    </xf>
    <xf numFmtId="177" fontId="217" fillId="0" borderId="131" xfId="3" applyNumberFormat="1" applyFont="1" applyFill="1" applyBorder="1" applyAlignment="1">
      <alignment vertical="center"/>
    </xf>
    <xf numFmtId="10" fontId="217" fillId="0" borderId="131" xfId="2" applyNumberFormat="1" applyFont="1" applyBorder="1">
      <alignment vertical="center"/>
    </xf>
    <xf numFmtId="177" fontId="217" fillId="0" borderId="131" xfId="8" applyNumberFormat="1" applyFont="1" applyFill="1" applyBorder="1" applyAlignment="1">
      <alignment vertical="center"/>
    </xf>
    <xf numFmtId="177" fontId="217" fillId="0" borderId="131" xfId="0" applyNumberFormat="1" applyFont="1" applyBorder="1">
      <alignment vertical="center"/>
    </xf>
    <xf numFmtId="10" fontId="217" fillId="0" borderId="132" xfId="2" applyNumberFormat="1" applyFont="1" applyBorder="1">
      <alignment vertical="center"/>
    </xf>
    <xf numFmtId="177" fontId="217" fillId="14" borderId="131" xfId="0" applyNumberFormat="1" applyFont="1" applyFill="1" applyBorder="1" applyProtection="1">
      <alignment vertical="center"/>
      <protection locked="0"/>
    </xf>
    <xf numFmtId="177" fontId="217" fillId="14" borderId="131" xfId="3" applyNumberFormat="1" applyFont="1" applyFill="1" applyBorder="1" applyAlignment="1" applyProtection="1">
      <alignment vertical="center"/>
      <protection locked="0"/>
    </xf>
    <xf numFmtId="41" fontId="217" fillId="6" borderId="15" xfId="3" applyFont="1" applyFill="1" applyBorder="1" applyAlignment="1">
      <alignment horizontal="right" vertical="center"/>
    </xf>
    <xf numFmtId="0" fontId="217" fillId="14" borderId="131" xfId="8" applyFont="1" applyFill="1" applyBorder="1" applyAlignment="1" applyProtection="1">
      <alignment horizontal="center" vertical="center"/>
      <protection locked="0"/>
    </xf>
    <xf numFmtId="183" fontId="217" fillId="14" borderId="131" xfId="0" applyNumberFormat="1" applyFont="1" applyFill="1" applyBorder="1" applyAlignment="1" applyProtection="1">
      <alignment horizontal="center" vertical="center"/>
      <protection locked="0"/>
    </xf>
    <xf numFmtId="0" fontId="217" fillId="14" borderId="131" xfId="0" applyFont="1" applyFill="1" applyBorder="1" applyProtection="1">
      <alignment vertical="center"/>
      <protection locked="0"/>
    </xf>
    <xf numFmtId="0" fontId="217" fillId="14" borderId="131" xfId="8" applyFont="1" applyFill="1" applyBorder="1" applyAlignment="1" applyProtection="1">
      <alignment horizontal="left" vertical="center"/>
      <protection locked="0"/>
    </xf>
    <xf numFmtId="245" fontId="217" fillId="0" borderId="0" xfId="0" applyNumberFormat="1" applyFont="1">
      <alignment vertical="center"/>
    </xf>
    <xf numFmtId="177" fontId="217" fillId="0" borderId="0" xfId="0" applyNumberFormat="1" applyFont="1">
      <alignment vertical="center"/>
    </xf>
    <xf numFmtId="176" fontId="217" fillId="0" borderId="0" xfId="0" applyNumberFormat="1" applyFont="1" applyFill="1" applyAlignment="1">
      <alignment horizontal="center" vertical="center"/>
    </xf>
    <xf numFmtId="10" fontId="217" fillId="0" borderId="5" xfId="2" applyNumberFormat="1" applyFont="1" applyFill="1" applyBorder="1" applyAlignment="1">
      <alignment horizontal="center" vertical="center"/>
    </xf>
    <xf numFmtId="9" fontId="217" fillId="0" borderId="29" xfId="2" applyNumberFormat="1" applyFont="1" applyBorder="1" applyAlignment="1">
      <alignment horizontal="right" vertical="center"/>
    </xf>
    <xf numFmtId="3" fontId="217" fillId="0" borderId="0" xfId="0" applyNumberFormat="1" applyFont="1">
      <alignment vertical="center"/>
    </xf>
    <xf numFmtId="9" fontId="217" fillId="0" borderId="0" xfId="0" applyNumberFormat="1" applyFont="1">
      <alignment vertical="center"/>
    </xf>
    <xf numFmtId="10" fontId="231" fillId="0" borderId="0" xfId="2" applyNumberFormat="1" applyFont="1" applyAlignment="1">
      <alignment vertical="center"/>
    </xf>
    <xf numFmtId="176" fontId="235" fillId="9" borderId="25" xfId="11" applyNumberFormat="1" applyFont="1" applyFill="1" applyBorder="1" applyAlignment="1">
      <alignment horizontal="center" vertical="center"/>
    </xf>
    <xf numFmtId="0" fontId="217" fillId="18" borderId="86" xfId="0" applyFont="1" applyFill="1" applyBorder="1" applyAlignment="1">
      <alignment horizontal="center" vertical="center"/>
    </xf>
    <xf numFmtId="0" fontId="217" fillId="18" borderId="60" xfId="0" applyFont="1" applyFill="1" applyBorder="1" applyAlignment="1">
      <alignment horizontal="center" vertical="center"/>
    </xf>
    <xf numFmtId="177" fontId="217" fillId="18" borderId="86" xfId="3" applyNumberFormat="1" applyFont="1" applyFill="1" applyBorder="1" applyAlignment="1">
      <alignment horizontal="right" vertical="center"/>
    </xf>
    <xf numFmtId="177" fontId="217" fillId="18" borderId="27" xfId="3" applyNumberFormat="1" applyFont="1" applyFill="1" applyBorder="1" applyAlignment="1">
      <alignment horizontal="right" vertical="center"/>
    </xf>
    <xf numFmtId="177" fontId="217" fillId="0" borderId="18" xfId="3" applyNumberFormat="1" applyFont="1" applyBorder="1" applyAlignment="1">
      <alignment horizontal="right" vertical="center"/>
    </xf>
    <xf numFmtId="177" fontId="217" fillId="0" borderId="19" xfId="3" applyNumberFormat="1" applyFont="1" applyBorder="1" applyAlignment="1">
      <alignment horizontal="right" vertical="center"/>
    </xf>
    <xf numFmtId="185" fontId="217" fillId="19" borderId="58" xfId="0" applyNumberFormat="1" applyFont="1" applyFill="1" applyBorder="1" applyAlignment="1" applyProtection="1">
      <alignment horizontal="center" vertical="center"/>
      <protection locked="0"/>
    </xf>
    <xf numFmtId="185" fontId="217" fillId="19" borderId="29" xfId="0" applyNumberFormat="1" applyFont="1" applyFill="1" applyBorder="1" applyAlignment="1" applyProtection="1">
      <alignment horizontal="center" vertical="center"/>
      <protection locked="0"/>
    </xf>
    <xf numFmtId="0" fontId="217" fillId="0" borderId="12" xfId="0" applyFont="1" applyBorder="1" applyAlignment="1">
      <alignment horizontal="center" vertical="center"/>
    </xf>
    <xf numFmtId="0" fontId="233" fillId="0" borderId="140" xfId="0" applyFont="1" applyFill="1" applyBorder="1" applyAlignment="1">
      <alignment vertical="center"/>
    </xf>
    <xf numFmtId="0" fontId="233" fillId="0" borderId="47" xfId="0" applyFont="1" applyFill="1" applyBorder="1" applyAlignment="1">
      <alignment vertical="center"/>
    </xf>
    <xf numFmtId="0" fontId="217" fillId="0" borderId="50" xfId="0" applyFont="1" applyFill="1" applyBorder="1" applyAlignment="1">
      <alignment vertical="center"/>
    </xf>
    <xf numFmtId="0" fontId="217" fillId="0" borderId="0" xfId="0" applyFont="1" applyFill="1" applyBorder="1" applyAlignment="1">
      <alignment vertical="center"/>
    </xf>
    <xf numFmtId="180" fontId="217" fillId="0" borderId="21" xfId="3" applyNumberFormat="1" applyFont="1" applyFill="1" applyBorder="1" applyAlignment="1" applyProtection="1">
      <alignment horizontal="right" vertical="center"/>
    </xf>
    <xf numFmtId="180" fontId="217" fillId="0" borderId="11" xfId="3" applyNumberFormat="1" applyFont="1" applyFill="1" applyBorder="1" applyAlignment="1" applyProtection="1">
      <alignment horizontal="right" vertical="center"/>
    </xf>
    <xf numFmtId="180" fontId="217" fillId="0" borderId="22" xfId="3" applyNumberFormat="1" applyFont="1" applyFill="1" applyBorder="1" applyAlignment="1" applyProtection="1">
      <alignment horizontal="right" vertical="center"/>
    </xf>
    <xf numFmtId="180" fontId="217" fillId="0" borderId="14" xfId="3" applyNumberFormat="1" applyFont="1" applyFill="1" applyBorder="1" applyAlignment="1" applyProtection="1">
      <alignment horizontal="right" vertical="center"/>
    </xf>
    <xf numFmtId="180" fontId="217" fillId="0" borderId="132" xfId="3" applyNumberFormat="1" applyFont="1" applyFill="1" applyBorder="1" applyAlignment="1" applyProtection="1">
      <alignment horizontal="right" vertical="center"/>
    </xf>
    <xf numFmtId="180" fontId="217" fillId="18" borderId="14" xfId="3" applyNumberFormat="1" applyFont="1" applyFill="1" applyBorder="1" applyAlignment="1" applyProtection="1">
      <alignment horizontal="right" vertical="center"/>
    </xf>
    <xf numFmtId="180" fontId="217" fillId="5" borderId="20" xfId="3" applyNumberFormat="1" applyFont="1" applyFill="1" applyBorder="1" applyAlignment="1" applyProtection="1">
      <alignment horizontal="right" vertical="center"/>
    </xf>
    <xf numFmtId="180" fontId="217" fillId="5" borderId="15" xfId="3" applyNumberFormat="1" applyFont="1" applyFill="1" applyBorder="1" applyAlignment="1" applyProtection="1">
      <alignment horizontal="right" vertical="center"/>
    </xf>
    <xf numFmtId="180" fontId="217" fillId="5" borderId="17" xfId="3" applyNumberFormat="1" applyFont="1" applyFill="1" applyBorder="1" applyAlignment="1" applyProtection="1">
      <alignment horizontal="right" vertical="center"/>
    </xf>
    <xf numFmtId="180" fontId="217" fillId="5" borderId="23" xfId="3" applyNumberFormat="1" applyFont="1" applyFill="1" applyBorder="1" applyAlignment="1" applyProtection="1">
      <alignment horizontal="right" vertical="center"/>
    </xf>
    <xf numFmtId="180" fontId="217" fillId="18" borderId="132" xfId="3" applyNumberFormat="1" applyFont="1" applyFill="1" applyBorder="1" applyAlignment="1" applyProtection="1">
      <alignment horizontal="right" vertical="center"/>
    </xf>
    <xf numFmtId="41" fontId="217" fillId="0" borderId="21" xfId="3" applyNumberFormat="1" applyFont="1" applyFill="1" applyBorder="1" applyAlignment="1" applyProtection="1">
      <alignment horizontal="right" vertical="center"/>
    </xf>
    <xf numFmtId="41" fontId="217" fillId="0" borderId="11" xfId="3" applyNumberFormat="1" applyFont="1" applyFill="1" applyBorder="1" applyAlignment="1" applyProtection="1">
      <alignment horizontal="right" vertical="center"/>
    </xf>
    <xf numFmtId="41" fontId="217" fillId="0" borderId="14" xfId="3" applyNumberFormat="1" applyFont="1" applyFill="1" applyBorder="1" applyAlignment="1" applyProtection="1">
      <alignment horizontal="right" vertical="center"/>
    </xf>
    <xf numFmtId="41" fontId="217" fillId="18" borderId="14" xfId="3" applyNumberFormat="1" applyFont="1" applyFill="1" applyBorder="1" applyAlignment="1" applyProtection="1">
      <alignment horizontal="right" vertical="center"/>
    </xf>
    <xf numFmtId="41" fontId="217" fillId="5" borderId="20" xfId="3" applyNumberFormat="1" applyFont="1" applyFill="1" applyBorder="1" applyAlignment="1" applyProtection="1">
      <alignment horizontal="right" vertical="center"/>
    </xf>
    <xf numFmtId="41" fontId="217" fillId="5" borderId="35" xfId="3" applyNumberFormat="1" applyFont="1" applyFill="1" applyBorder="1" applyAlignment="1" applyProtection="1">
      <alignment horizontal="right" vertical="center"/>
    </xf>
    <xf numFmtId="41" fontId="217" fillId="13" borderId="15" xfId="3" applyNumberFormat="1" applyFont="1" applyFill="1" applyBorder="1" applyAlignment="1" applyProtection="1">
      <alignment horizontal="right" vertical="center"/>
    </xf>
    <xf numFmtId="41" fontId="217" fillId="5" borderId="15" xfId="3" applyNumberFormat="1" applyFont="1" applyFill="1" applyBorder="1" applyAlignment="1" applyProtection="1">
      <alignment horizontal="right" vertical="center"/>
    </xf>
    <xf numFmtId="176" fontId="218" fillId="0" borderId="132" xfId="7" applyNumberFormat="1" applyFont="1" applyFill="1" applyBorder="1" applyAlignment="1">
      <alignment horizontal="right" vertical="center"/>
    </xf>
    <xf numFmtId="38" fontId="217" fillId="0" borderId="29" xfId="7" applyNumberFormat="1" applyFont="1" applyFill="1" applyBorder="1" applyAlignment="1">
      <alignment horizontal="right" vertical="center"/>
    </xf>
    <xf numFmtId="38" fontId="217" fillId="0" borderId="143" xfId="7" applyNumberFormat="1" applyFont="1" applyFill="1" applyBorder="1" applyAlignment="1">
      <alignment horizontal="right" vertical="center"/>
    </xf>
    <xf numFmtId="38" fontId="217" fillId="0" borderId="132" xfId="7" applyNumberFormat="1" applyFont="1" applyBorder="1" applyAlignment="1">
      <alignment horizontal="right" vertical="center"/>
    </xf>
    <xf numFmtId="176" fontId="217" fillId="0" borderId="58" xfId="7" applyNumberFormat="1" applyFont="1" applyFill="1" applyBorder="1" applyAlignment="1">
      <alignment horizontal="left" vertical="center"/>
    </xf>
    <xf numFmtId="38" fontId="217" fillId="3" borderId="58" xfId="7" applyNumberFormat="1" applyFont="1" applyFill="1" applyBorder="1" applyAlignment="1">
      <alignment horizontal="right" vertical="center"/>
    </xf>
    <xf numFmtId="38" fontId="217" fillId="0" borderId="58" xfId="7" applyNumberFormat="1" applyFont="1" applyFill="1" applyBorder="1" applyAlignment="1">
      <alignment horizontal="right" vertical="center"/>
    </xf>
    <xf numFmtId="38" fontId="217" fillId="0" borderId="58" xfId="7" applyNumberFormat="1" applyFont="1" applyBorder="1" applyAlignment="1">
      <alignment horizontal="right" vertical="center"/>
    </xf>
    <xf numFmtId="38" fontId="217" fillId="0" borderId="145" xfId="7" applyNumberFormat="1" applyFont="1" applyBorder="1" applyAlignment="1">
      <alignment horizontal="right" vertical="center"/>
    </xf>
    <xf numFmtId="41" fontId="217" fillId="14" borderId="131" xfId="3" applyFont="1" applyFill="1" applyBorder="1" applyAlignment="1">
      <alignment horizontal="right" vertical="center"/>
    </xf>
    <xf numFmtId="178" fontId="217" fillId="14" borderId="131" xfId="12" applyNumberFormat="1" applyFont="1" applyFill="1" applyBorder="1" applyAlignment="1">
      <alignment horizontal="right" vertical="center"/>
    </xf>
    <xf numFmtId="10" fontId="217" fillId="0" borderId="131" xfId="2" applyNumberFormat="1" applyFont="1" applyFill="1" applyBorder="1" applyAlignment="1">
      <alignment horizontal="right" vertical="center"/>
    </xf>
    <xf numFmtId="178" fontId="218" fillId="4" borderId="131" xfId="12" applyNumberFormat="1" applyFont="1" applyFill="1" applyBorder="1" applyAlignment="1">
      <alignment horizontal="center" vertical="center"/>
    </xf>
    <xf numFmtId="0" fontId="217" fillId="0" borderId="131" xfId="0" applyFont="1" applyFill="1" applyBorder="1" applyAlignment="1" applyProtection="1">
      <alignment horizontal="center" vertical="center"/>
      <protection locked="0"/>
    </xf>
    <xf numFmtId="178" fontId="217" fillId="0" borderId="131" xfId="12" applyNumberFormat="1" applyFont="1" applyBorder="1" applyAlignment="1">
      <alignment horizontal="center" vertical="center"/>
    </xf>
    <xf numFmtId="178" fontId="217" fillId="0" borderId="131" xfId="12" applyNumberFormat="1" applyFont="1" applyFill="1" applyBorder="1" applyAlignment="1">
      <alignment horizontal="right" vertical="center"/>
    </xf>
    <xf numFmtId="178" fontId="217" fillId="14" borderId="131" xfId="3" applyNumberFormat="1" applyFont="1" applyFill="1" applyBorder="1" applyAlignment="1">
      <alignment horizontal="right" vertical="center"/>
    </xf>
    <xf numFmtId="178" fontId="217" fillId="0" borderId="131" xfId="10" applyNumberFormat="1" applyFont="1" applyFill="1" applyBorder="1" applyAlignment="1">
      <alignment horizontal="center" vertical="center"/>
    </xf>
    <xf numFmtId="178" fontId="217" fillId="0" borderId="131" xfId="10" applyNumberFormat="1" applyFont="1" applyFill="1" applyBorder="1" applyAlignment="1">
      <alignment horizontal="right" vertical="center"/>
    </xf>
    <xf numFmtId="0" fontId="217" fillId="11" borderId="14" xfId="12" applyFont="1" applyFill="1" applyBorder="1" applyAlignment="1">
      <alignment horizontal="center" vertical="center"/>
    </xf>
    <xf numFmtId="0" fontId="217" fillId="11" borderId="131" xfId="12" applyFont="1" applyFill="1" applyBorder="1" applyAlignment="1">
      <alignment vertical="center"/>
    </xf>
    <xf numFmtId="0" fontId="217" fillId="11" borderId="131" xfId="12" applyFont="1" applyFill="1" applyBorder="1" applyAlignment="1">
      <alignment horizontal="center" vertical="center"/>
    </xf>
    <xf numFmtId="178" fontId="217" fillId="11" borderId="131" xfId="12" applyNumberFormat="1" applyFont="1" applyFill="1" applyBorder="1" applyAlignment="1">
      <alignment horizontal="right" vertical="center"/>
    </xf>
    <xf numFmtId="10" fontId="217" fillId="11" borderId="131" xfId="2" applyNumberFormat="1" applyFont="1" applyFill="1" applyBorder="1" applyAlignment="1">
      <alignment horizontal="right" vertical="center"/>
    </xf>
    <xf numFmtId="178" fontId="217" fillId="0" borderId="131" xfId="0" applyNumberFormat="1" applyFont="1" applyFill="1" applyBorder="1" applyAlignment="1">
      <alignment horizontal="right" vertical="center"/>
    </xf>
    <xf numFmtId="178" fontId="217" fillId="14" borderId="131" xfId="0" applyNumberFormat="1" applyFont="1" applyFill="1" applyBorder="1" applyAlignment="1">
      <alignment horizontal="right" vertical="center"/>
    </xf>
    <xf numFmtId="178" fontId="217" fillId="11" borderId="131" xfId="0" applyNumberFormat="1" applyFont="1" applyFill="1" applyBorder="1" applyAlignment="1">
      <alignment horizontal="right" vertical="center"/>
    </xf>
    <xf numFmtId="0" fontId="217" fillId="11" borderId="20" xfId="12" applyFont="1" applyFill="1" applyBorder="1" applyAlignment="1">
      <alignment horizontal="center" vertical="center"/>
    </xf>
    <xf numFmtId="41" fontId="265" fillId="0" borderId="0" xfId="3" applyFont="1" applyAlignment="1">
      <alignment horizontal="center" vertical="top"/>
    </xf>
    <xf numFmtId="0" fontId="0" fillId="0" borderId="0" xfId="0" applyAlignment="1">
      <alignment horizontal="left" vertical="top"/>
    </xf>
    <xf numFmtId="0" fontId="268" fillId="0" borderId="131" xfId="0" applyFont="1" applyBorder="1" applyAlignment="1">
      <alignment vertical="top"/>
    </xf>
    <xf numFmtId="41" fontId="0" fillId="0" borderId="131" xfId="3" applyFont="1" applyBorder="1" applyAlignment="1">
      <alignment vertical="top"/>
    </xf>
    <xf numFmtId="41" fontId="232" fillId="0" borderId="0" xfId="3" applyFont="1" applyAlignment="1">
      <alignment horizontal="center" vertical="center"/>
    </xf>
    <xf numFmtId="10" fontId="232" fillId="0" borderId="0" xfId="2" applyNumberFormat="1" applyFont="1" applyAlignment="1">
      <alignment horizontal="center" vertical="center"/>
    </xf>
    <xf numFmtId="244" fontId="217" fillId="0" borderId="147" xfId="11" applyNumberFormat="1" applyFont="1" applyFill="1" applyBorder="1" applyAlignment="1">
      <alignment horizontal="right" vertical="center"/>
    </xf>
    <xf numFmtId="179" fontId="217" fillId="0" borderId="0" xfId="3" applyNumberFormat="1" applyFont="1">
      <alignment vertical="center"/>
    </xf>
    <xf numFmtId="288" fontId="217" fillId="0" borderId="0" xfId="3" applyNumberFormat="1" applyFont="1">
      <alignment vertical="center"/>
    </xf>
    <xf numFmtId="176" fontId="218" fillId="0" borderId="14" xfId="7" applyNumberFormat="1" applyFont="1" applyFill="1" applyBorder="1" applyAlignment="1">
      <alignment horizontal="left" vertical="center"/>
    </xf>
    <xf numFmtId="176" fontId="217" fillId="0" borderId="29" xfId="7" applyNumberFormat="1" applyFont="1" applyFill="1" applyBorder="1" applyAlignment="1">
      <alignment horizontal="left" vertical="center"/>
    </xf>
    <xf numFmtId="41" fontId="217" fillId="0" borderId="22" xfId="3" applyNumberFormat="1" applyFont="1" applyFill="1" applyBorder="1" applyAlignment="1" applyProtection="1">
      <alignment horizontal="right" vertical="center"/>
    </xf>
    <xf numFmtId="0" fontId="217" fillId="0" borderId="148" xfId="11" applyFont="1" applyFill="1" applyBorder="1" applyAlignment="1" applyProtection="1">
      <alignment vertical="center" wrapText="1"/>
    </xf>
    <xf numFmtId="0" fontId="217" fillId="0" borderId="147" xfId="0" applyFont="1" applyFill="1" applyBorder="1" applyAlignment="1" applyProtection="1">
      <alignment horizontal="center" vertical="center"/>
    </xf>
    <xf numFmtId="0" fontId="217" fillId="0" borderId="132" xfId="0" applyFont="1" applyFill="1" applyBorder="1" applyAlignment="1" applyProtection="1">
      <alignment horizontal="center" vertical="center"/>
    </xf>
    <xf numFmtId="180" fontId="217" fillId="0" borderId="147" xfId="3" applyNumberFormat="1" applyFont="1" applyFill="1" applyBorder="1" applyAlignment="1" applyProtection="1">
      <alignment horizontal="right" vertical="center"/>
    </xf>
    <xf numFmtId="41" fontId="217" fillId="0" borderId="147" xfId="3" applyNumberFormat="1" applyFont="1" applyFill="1" applyBorder="1" applyAlignment="1" applyProtection="1">
      <alignment horizontal="right" vertical="center"/>
    </xf>
    <xf numFmtId="41" fontId="217" fillId="0" borderId="132" xfId="3" applyNumberFormat="1" applyFont="1" applyFill="1" applyBorder="1" applyAlignment="1" applyProtection="1">
      <alignment horizontal="right" vertical="center"/>
    </xf>
    <xf numFmtId="0" fontId="217" fillId="0" borderId="147" xfId="0" applyFont="1" applyFill="1" applyBorder="1" applyAlignment="1" applyProtection="1">
      <alignment horizontal="center" vertical="center"/>
      <protection locked="0"/>
    </xf>
    <xf numFmtId="180" fontId="217" fillId="18" borderId="147" xfId="3" applyNumberFormat="1" applyFont="1" applyFill="1" applyBorder="1" applyAlignment="1" applyProtection="1">
      <alignment horizontal="right" vertical="center"/>
    </xf>
    <xf numFmtId="180" fontId="217" fillId="18" borderId="133" xfId="3" applyNumberFormat="1" applyFont="1" applyFill="1" applyBorder="1" applyAlignment="1" applyProtection="1">
      <alignment horizontal="right" vertical="center"/>
    </xf>
    <xf numFmtId="41" fontId="217" fillId="18" borderId="147" xfId="3" applyNumberFormat="1" applyFont="1" applyFill="1" applyBorder="1" applyAlignment="1" applyProtection="1">
      <alignment horizontal="right" vertical="center"/>
    </xf>
    <xf numFmtId="41" fontId="217" fillId="18" borderId="132" xfId="3" applyNumberFormat="1" applyFont="1" applyFill="1" applyBorder="1" applyAlignment="1" applyProtection="1">
      <alignment horizontal="right" vertical="center"/>
    </xf>
    <xf numFmtId="41" fontId="217" fillId="13" borderId="23" xfId="3" applyNumberFormat="1" applyFont="1" applyFill="1" applyBorder="1" applyAlignment="1" applyProtection="1">
      <alignment horizontal="right" vertical="center"/>
    </xf>
    <xf numFmtId="0" fontId="217" fillId="0" borderId="148" xfId="0" applyFont="1" applyFill="1" applyBorder="1" applyAlignment="1" applyProtection="1">
      <alignment vertical="center"/>
    </xf>
    <xf numFmtId="0" fontId="217" fillId="0" borderId="147" xfId="11" applyFont="1" applyFill="1" applyBorder="1" applyAlignment="1" applyProtection="1">
      <alignment horizontal="center" vertical="center" wrapText="1"/>
    </xf>
    <xf numFmtId="0" fontId="217" fillId="0" borderId="132" xfId="0" applyFont="1" applyFill="1" applyBorder="1" applyAlignment="1" applyProtection="1">
      <alignment vertical="center"/>
    </xf>
    <xf numFmtId="176" fontId="218" fillId="0" borderId="14" xfId="7" applyNumberFormat="1" applyFont="1" applyFill="1" applyBorder="1" applyAlignment="1">
      <alignment horizontal="left" vertical="center"/>
    </xf>
    <xf numFmtId="0" fontId="217" fillId="14" borderId="148" xfId="9" applyFont="1" applyFill="1" applyBorder="1" applyAlignment="1" applyProtection="1">
      <alignment horizontal="left" vertical="center" wrapText="1"/>
      <protection locked="0"/>
    </xf>
    <xf numFmtId="49" fontId="218" fillId="4" borderId="147" xfId="3" applyNumberFormat="1" applyFont="1" applyFill="1" applyBorder="1" applyAlignment="1">
      <alignment horizontal="center" vertical="center" wrapText="1"/>
    </xf>
    <xf numFmtId="49" fontId="218" fillId="4" borderId="132" xfId="3" applyNumberFormat="1" applyFont="1" applyFill="1" applyBorder="1" applyAlignment="1">
      <alignment horizontal="center" vertical="center" wrapText="1"/>
    </xf>
    <xf numFmtId="38" fontId="217" fillId="3" borderId="147" xfId="7" applyNumberFormat="1" applyFont="1" applyFill="1" applyBorder="1" applyAlignment="1">
      <alignment horizontal="right" vertical="center"/>
    </xf>
    <xf numFmtId="38" fontId="217" fillId="0" borderId="147" xfId="7" applyNumberFormat="1" applyFont="1" applyFill="1" applyBorder="1" applyAlignment="1">
      <alignment horizontal="right" vertical="center"/>
    </xf>
    <xf numFmtId="38" fontId="217" fillId="0" borderId="147" xfId="7" applyNumberFormat="1" applyFont="1" applyBorder="1" applyAlignment="1">
      <alignment horizontal="right" vertical="center"/>
    </xf>
    <xf numFmtId="38" fontId="217" fillId="3" borderId="132" xfId="7" applyNumberFormat="1" applyFont="1" applyFill="1" applyBorder="1" applyAlignment="1">
      <alignment horizontal="right" vertical="center"/>
    </xf>
    <xf numFmtId="38" fontId="217" fillId="0" borderId="132" xfId="7" applyNumberFormat="1" applyFont="1" applyFill="1" applyBorder="1" applyAlignment="1">
      <alignment horizontal="right" vertical="center"/>
    </xf>
    <xf numFmtId="176" fontId="217" fillId="5" borderId="147" xfId="7" applyNumberFormat="1" applyFont="1" applyFill="1" applyBorder="1" applyAlignment="1">
      <alignment horizontal="left" vertical="center"/>
    </xf>
    <xf numFmtId="38" fontId="217" fillId="5" borderId="147" xfId="7" applyNumberFormat="1" applyFont="1" applyFill="1" applyBorder="1" applyAlignment="1">
      <alignment horizontal="right" vertical="center"/>
    </xf>
    <xf numFmtId="38" fontId="217" fillId="5" borderId="132" xfId="7" applyNumberFormat="1" applyFont="1" applyFill="1" applyBorder="1" applyAlignment="1">
      <alignment horizontal="right" vertical="center"/>
    </xf>
    <xf numFmtId="38" fontId="217" fillId="14" borderId="147" xfId="7" applyNumberFormat="1" applyFont="1" applyFill="1" applyBorder="1" applyAlignment="1">
      <alignment horizontal="right" vertical="center"/>
    </xf>
    <xf numFmtId="38" fontId="217" fillId="14" borderId="132" xfId="7" applyNumberFormat="1" applyFont="1" applyFill="1" applyBorder="1" applyAlignment="1">
      <alignment horizontal="right" vertical="center"/>
    </xf>
    <xf numFmtId="176" fontId="217" fillId="0" borderId="147" xfId="7" applyNumberFormat="1" applyFont="1" applyBorder="1" applyAlignment="1">
      <alignment horizontal="left" vertical="center"/>
    </xf>
    <xf numFmtId="0" fontId="217" fillId="14" borderId="148" xfId="9" applyFont="1" applyFill="1" applyBorder="1" applyAlignment="1" applyProtection="1">
      <alignment horizontal="center" vertical="center" wrapText="1"/>
      <protection locked="0"/>
    </xf>
    <xf numFmtId="181" fontId="218" fillId="4" borderId="147" xfId="9" applyNumberFormat="1" applyFont="1" applyFill="1" applyBorder="1" applyAlignment="1">
      <alignment horizontal="center" vertical="center" wrapText="1"/>
    </xf>
    <xf numFmtId="0" fontId="218" fillId="4" borderId="147" xfId="0" applyFont="1" applyFill="1" applyBorder="1" applyAlignment="1">
      <alignment horizontal="center" vertical="center" wrapText="1"/>
    </xf>
    <xf numFmtId="41" fontId="218" fillId="4" borderId="147" xfId="3" applyFont="1" applyFill="1" applyBorder="1" applyAlignment="1">
      <alignment horizontal="center" vertical="center" wrapText="1"/>
    </xf>
    <xf numFmtId="176" fontId="218" fillId="4" borderId="147" xfId="0" applyNumberFormat="1" applyFont="1" applyFill="1" applyBorder="1" applyAlignment="1" applyProtection="1">
      <alignment horizontal="center" vertical="center"/>
      <protection locked="0"/>
    </xf>
    <xf numFmtId="176" fontId="218" fillId="4" borderId="132" xfId="0" applyNumberFormat="1" applyFont="1" applyFill="1" applyBorder="1" applyAlignment="1" applyProtection="1">
      <alignment horizontal="center" vertical="center"/>
      <protection locked="0"/>
    </xf>
    <xf numFmtId="244" fontId="217" fillId="8" borderId="147" xfId="11" applyNumberFormat="1" applyFont="1" applyFill="1" applyBorder="1" applyAlignment="1" applyProtection="1">
      <alignment horizontal="right" vertical="center" wrapText="1"/>
    </xf>
    <xf numFmtId="244" fontId="217" fillId="8" borderId="147" xfId="1" applyNumberFormat="1" applyFont="1" applyFill="1" applyBorder="1" applyAlignment="1" applyProtection="1">
      <alignment vertical="center"/>
    </xf>
    <xf numFmtId="176" fontId="217" fillId="0" borderId="147" xfId="3" applyNumberFormat="1" applyFont="1" applyFill="1" applyBorder="1" applyAlignment="1" applyProtection="1">
      <alignment horizontal="right" vertical="center"/>
    </xf>
    <xf numFmtId="176" fontId="217" fillId="0" borderId="147" xfId="0" applyNumberFormat="1" applyFont="1" applyFill="1" applyBorder="1" applyAlignment="1" applyProtection="1">
      <alignment horizontal="right" vertical="center"/>
    </xf>
    <xf numFmtId="176" fontId="217" fillId="0" borderId="132" xfId="3" applyNumberFormat="1" applyFont="1" applyFill="1" applyBorder="1" applyAlignment="1" applyProtection="1">
      <alignment horizontal="right" vertical="center"/>
    </xf>
    <xf numFmtId="0" fontId="217" fillId="7" borderId="147" xfId="11" applyFont="1" applyFill="1" applyBorder="1" applyAlignment="1" applyProtection="1">
      <alignment horizontal="center" vertical="center" wrapText="1"/>
    </xf>
    <xf numFmtId="0" fontId="217" fillId="7" borderId="147" xfId="11" applyFont="1" applyFill="1" applyBorder="1" applyAlignment="1" applyProtection="1">
      <alignment vertical="center" wrapText="1"/>
    </xf>
    <xf numFmtId="181" fontId="217" fillId="7" borderId="147" xfId="3" applyNumberFormat="1" applyFont="1" applyFill="1" applyBorder="1" applyAlignment="1" applyProtection="1">
      <alignment horizontal="center" vertical="center" wrapText="1"/>
    </xf>
    <xf numFmtId="41" fontId="217" fillId="7" borderId="147" xfId="3" applyFont="1" applyFill="1" applyBorder="1" applyAlignment="1" applyProtection="1">
      <alignment horizontal="center" vertical="center" wrapText="1"/>
    </xf>
    <xf numFmtId="41" fontId="217" fillId="7" borderId="132" xfId="3" applyFont="1" applyFill="1" applyBorder="1" applyAlignment="1" applyProtection="1">
      <alignment horizontal="center" vertical="center" wrapText="1"/>
    </xf>
    <xf numFmtId="176" fontId="217" fillId="6" borderId="23" xfId="0" applyNumberFormat="1" applyFont="1" applyFill="1" applyBorder="1" applyAlignment="1">
      <alignment horizontal="right" vertical="center"/>
    </xf>
    <xf numFmtId="41" fontId="217" fillId="13" borderId="35" xfId="3" applyNumberFormat="1" applyFont="1" applyFill="1" applyBorder="1" applyAlignment="1" applyProtection="1">
      <alignment horizontal="right" vertical="center"/>
    </xf>
    <xf numFmtId="176" fontId="217" fillId="21" borderId="25" xfId="0" applyNumberFormat="1" applyFont="1" applyFill="1" applyBorder="1" applyAlignment="1" applyProtection="1">
      <alignment horizontal="right" vertical="center"/>
    </xf>
    <xf numFmtId="176" fontId="218" fillId="0" borderId="147" xfId="7" applyNumberFormat="1" applyFont="1" applyFill="1" applyBorder="1" applyAlignment="1">
      <alignment horizontal="left" vertical="center"/>
    </xf>
    <xf numFmtId="0" fontId="217" fillId="0" borderId="147" xfId="0" applyFont="1" applyBorder="1" applyAlignment="1">
      <alignment horizontal="center" vertical="center"/>
    </xf>
    <xf numFmtId="176" fontId="217" fillId="0" borderId="147" xfId="7" applyNumberFormat="1" applyFont="1" applyFill="1" applyBorder="1" applyAlignment="1">
      <alignment horizontal="center" vertical="center"/>
    </xf>
    <xf numFmtId="176" fontId="217" fillId="0" borderId="147" xfId="7" applyNumberFormat="1" applyFont="1" applyFill="1" applyBorder="1" applyAlignment="1">
      <alignment horizontal="left" vertical="center"/>
    </xf>
    <xf numFmtId="0" fontId="217" fillId="0" borderId="147" xfId="0" applyFont="1" applyFill="1" applyBorder="1" applyAlignment="1">
      <alignment horizontal="center" vertical="center"/>
    </xf>
    <xf numFmtId="176" fontId="218" fillId="0" borderId="14" xfId="7" applyNumberFormat="1" applyFont="1" applyFill="1" applyBorder="1" applyAlignment="1">
      <alignment vertical="center"/>
    </xf>
    <xf numFmtId="176" fontId="234" fillId="0" borderId="147" xfId="7" applyNumberFormat="1" applyFont="1" applyFill="1" applyBorder="1" applyAlignment="1">
      <alignment horizontal="left" vertical="center"/>
    </xf>
    <xf numFmtId="176" fontId="217" fillId="0" borderId="147" xfId="7" applyNumberFormat="1" applyFont="1" applyFill="1" applyBorder="1" applyAlignment="1">
      <alignment horizontal="left" vertical="center"/>
    </xf>
    <xf numFmtId="0" fontId="218" fillId="0" borderId="147" xfId="7" applyFont="1" applyFill="1" applyBorder="1" applyAlignment="1">
      <alignment vertical="center"/>
    </xf>
    <xf numFmtId="43" fontId="217" fillId="0" borderId="0" xfId="3" applyNumberFormat="1" applyFont="1" applyAlignment="1">
      <alignment vertical="center"/>
    </xf>
    <xf numFmtId="43" fontId="217" fillId="0" borderId="0" xfId="8" applyNumberFormat="1" applyFont="1" applyAlignment="1">
      <alignment vertical="center"/>
    </xf>
    <xf numFmtId="0" fontId="217" fillId="14" borderId="29" xfId="11" applyFont="1" applyFill="1" applyBorder="1" applyAlignment="1" applyProtection="1">
      <alignment horizontal="center" vertical="center" wrapText="1"/>
      <protection locked="0"/>
    </xf>
    <xf numFmtId="0" fontId="217" fillId="14" borderId="147" xfId="8" applyFont="1" applyFill="1" applyBorder="1" applyAlignment="1" applyProtection="1">
      <alignment vertical="center" wrapText="1"/>
      <protection locked="0"/>
    </xf>
    <xf numFmtId="41" fontId="217" fillId="14" borderId="147" xfId="3" applyFont="1" applyFill="1" applyBorder="1" applyAlignment="1" applyProtection="1">
      <alignment horizontal="center" vertical="center"/>
      <protection locked="0"/>
    </xf>
    <xf numFmtId="177" fontId="217" fillId="14" borderId="147" xfId="3" applyNumberFormat="1" applyFont="1" applyFill="1" applyBorder="1" applyAlignment="1" applyProtection="1">
      <alignment vertical="center"/>
      <protection locked="0"/>
    </xf>
    <xf numFmtId="10" fontId="217" fillId="0" borderId="147" xfId="2" applyNumberFormat="1" applyFont="1" applyBorder="1">
      <alignment vertical="center"/>
    </xf>
    <xf numFmtId="176" fontId="217" fillId="14" borderId="147" xfId="3" applyNumberFormat="1" applyFont="1" applyFill="1" applyBorder="1" applyAlignment="1" applyProtection="1">
      <alignment vertical="center"/>
      <protection locked="0"/>
    </xf>
    <xf numFmtId="177" fontId="217" fillId="0" borderId="147" xfId="8" applyNumberFormat="1" applyFont="1" applyFill="1" applyBorder="1" applyAlignment="1">
      <alignment vertical="center"/>
    </xf>
    <xf numFmtId="183" fontId="217" fillId="14" borderId="147" xfId="0" applyNumberFormat="1" applyFont="1" applyFill="1" applyBorder="1" applyAlignment="1" applyProtection="1">
      <alignment horizontal="center" vertical="center"/>
      <protection locked="0"/>
    </xf>
    <xf numFmtId="0" fontId="217" fillId="14" borderId="147" xfId="0" applyFont="1" applyFill="1" applyBorder="1" applyProtection="1">
      <alignment vertical="center"/>
      <protection locked="0"/>
    </xf>
    <xf numFmtId="177" fontId="217" fillId="14" borderId="147" xfId="0" applyNumberFormat="1" applyFont="1" applyFill="1" applyBorder="1" applyProtection="1">
      <alignment vertical="center"/>
      <protection locked="0"/>
    </xf>
    <xf numFmtId="177" fontId="217" fillId="0" borderId="147" xfId="0" applyNumberFormat="1" applyFont="1" applyBorder="1">
      <alignment vertical="center"/>
    </xf>
    <xf numFmtId="0" fontId="217" fillId="86" borderId="0" xfId="0" applyFont="1" applyFill="1" applyBorder="1" applyAlignment="1">
      <alignment horizontal="center" vertical="center"/>
    </xf>
    <xf numFmtId="0" fontId="217" fillId="13" borderId="0" xfId="0" applyFont="1" applyFill="1" applyBorder="1" applyAlignment="1">
      <alignment horizontal="center" vertical="center"/>
    </xf>
    <xf numFmtId="244" fontId="217" fillId="7" borderId="147" xfId="3" applyNumberFormat="1" applyFont="1" applyFill="1" applyBorder="1" applyAlignment="1" applyProtection="1">
      <alignment horizontal="center" vertical="center" wrapText="1"/>
    </xf>
    <xf numFmtId="176" fontId="217" fillId="7" borderId="147" xfId="3" applyNumberFormat="1" applyFont="1" applyFill="1" applyBorder="1" applyAlignment="1" applyProtection="1">
      <alignment vertical="center" wrapText="1"/>
    </xf>
    <xf numFmtId="176" fontId="217" fillId="6" borderId="15" xfId="0" applyNumberFormat="1" applyFont="1" applyFill="1" applyBorder="1" applyAlignment="1">
      <alignment vertical="center"/>
    </xf>
    <xf numFmtId="244" fontId="217" fillId="7" borderId="147" xfId="3" applyNumberFormat="1" applyFont="1" applyFill="1" applyBorder="1" applyAlignment="1" applyProtection="1">
      <alignment vertical="center" wrapText="1"/>
    </xf>
    <xf numFmtId="244" fontId="217" fillId="6" borderId="15" xfId="0" applyNumberFormat="1" applyFont="1" applyFill="1" applyBorder="1" applyAlignment="1" applyProtection="1">
      <alignment vertical="center"/>
    </xf>
    <xf numFmtId="181" fontId="217" fillId="7" borderId="147" xfId="3" applyNumberFormat="1" applyFont="1" applyFill="1" applyBorder="1" applyAlignment="1" applyProtection="1">
      <alignment vertical="center" wrapText="1"/>
    </xf>
    <xf numFmtId="181" fontId="217" fillId="6" borderId="15" xfId="0" applyNumberFormat="1" applyFont="1" applyFill="1" applyBorder="1" applyAlignment="1" applyProtection="1">
      <alignment vertical="center"/>
    </xf>
    <xf numFmtId="49" fontId="218" fillId="4" borderId="148" xfId="3" applyNumberFormat="1" applyFont="1" applyFill="1" applyBorder="1" applyAlignment="1">
      <alignment horizontal="center" vertical="center" wrapText="1"/>
    </xf>
    <xf numFmtId="38" fontId="217" fillId="0" borderId="148" xfId="7" applyNumberFormat="1" applyFont="1" applyBorder="1" applyAlignment="1">
      <alignment horizontal="right" vertical="center"/>
    </xf>
    <xf numFmtId="38" fontId="217" fillId="0" borderId="68" xfId="7" applyNumberFormat="1" applyFont="1" applyBorder="1" applyAlignment="1">
      <alignment horizontal="right" vertical="center"/>
    </xf>
    <xf numFmtId="38" fontId="217" fillId="0" borderId="37" xfId="7" applyNumberFormat="1" applyFont="1" applyFill="1" applyBorder="1" applyAlignment="1">
      <alignment horizontal="right" vertical="center"/>
    </xf>
    <xf numFmtId="38" fontId="217" fillId="3" borderId="148" xfId="7" applyNumberFormat="1" applyFont="1" applyFill="1" applyBorder="1" applyAlignment="1">
      <alignment horizontal="right" vertical="center"/>
    </xf>
    <xf numFmtId="38" fontId="217" fillId="0" borderId="148" xfId="7" applyNumberFormat="1" applyFont="1" applyFill="1" applyBorder="1" applyAlignment="1">
      <alignment horizontal="right" vertical="center"/>
    </xf>
    <xf numFmtId="38" fontId="217" fillId="5" borderId="148" xfId="7" applyNumberFormat="1" applyFont="1" applyFill="1" applyBorder="1" applyAlignment="1">
      <alignment horizontal="right" vertical="center"/>
    </xf>
    <xf numFmtId="38" fontId="217" fillId="14" borderId="148" xfId="7" applyNumberFormat="1" applyFont="1" applyFill="1" applyBorder="1" applyAlignment="1">
      <alignment horizontal="right" vertical="center"/>
    </xf>
    <xf numFmtId="38" fontId="218" fillId="6" borderId="35" xfId="7" applyNumberFormat="1" applyFont="1" applyFill="1" applyBorder="1" applyAlignment="1">
      <alignment horizontal="right" vertical="center"/>
    </xf>
    <xf numFmtId="49" fontId="218" fillId="4" borderId="57" xfId="3" applyNumberFormat="1" applyFont="1" applyFill="1" applyBorder="1" applyAlignment="1">
      <alignment horizontal="center" vertical="center" wrapText="1"/>
    </xf>
    <xf numFmtId="38" fontId="217" fillId="0" borderId="57" xfId="7" applyNumberFormat="1" applyFont="1" applyBorder="1" applyAlignment="1">
      <alignment horizontal="right" vertical="center"/>
    </xf>
    <xf numFmtId="38" fontId="217" fillId="0" borderId="69" xfId="7" applyNumberFormat="1" applyFont="1" applyBorder="1" applyAlignment="1">
      <alignment horizontal="right" vertical="center"/>
    </xf>
    <xf numFmtId="38" fontId="217" fillId="0" borderId="66" xfId="7" applyNumberFormat="1" applyFont="1" applyFill="1" applyBorder="1" applyAlignment="1">
      <alignment horizontal="right" vertical="center"/>
    </xf>
    <xf numFmtId="38" fontId="217" fillId="3" borderId="57" xfId="7" applyNumberFormat="1" applyFont="1" applyFill="1" applyBorder="1" applyAlignment="1">
      <alignment horizontal="right" vertical="center"/>
    </xf>
    <xf numFmtId="38" fontId="217" fillId="0" borderId="57" xfId="7" applyNumberFormat="1" applyFont="1" applyFill="1" applyBorder="1" applyAlignment="1">
      <alignment horizontal="right" vertical="center"/>
    </xf>
    <xf numFmtId="38" fontId="217" fillId="5" borderId="57" xfId="7" applyNumberFormat="1" applyFont="1" applyFill="1" applyBorder="1" applyAlignment="1">
      <alignment horizontal="right" vertical="center"/>
    </xf>
    <xf numFmtId="38" fontId="217" fillId="14" borderId="57" xfId="7" applyNumberFormat="1" applyFont="1" applyFill="1" applyBorder="1" applyAlignment="1">
      <alignment horizontal="right" vertical="center"/>
    </xf>
    <xf numFmtId="38" fontId="218" fillId="6" borderId="151" xfId="7" applyNumberFormat="1" applyFont="1" applyFill="1" applyBorder="1" applyAlignment="1">
      <alignment horizontal="right" vertical="center"/>
    </xf>
    <xf numFmtId="0" fontId="217" fillId="14" borderId="152" xfId="8" applyFont="1" applyFill="1" applyBorder="1" applyAlignment="1" applyProtection="1">
      <alignment horizontal="center" vertical="center"/>
      <protection locked="0"/>
    </xf>
    <xf numFmtId="0" fontId="217" fillId="14" borderId="152" xfId="8" applyFont="1" applyFill="1" applyBorder="1" applyAlignment="1" applyProtection="1">
      <alignment horizontal="left" vertical="center"/>
      <protection locked="0"/>
    </xf>
    <xf numFmtId="177" fontId="217" fillId="14" borderId="152" xfId="3" applyNumberFormat="1" applyFont="1" applyFill="1" applyBorder="1" applyAlignment="1" applyProtection="1">
      <alignment vertical="center"/>
      <protection locked="0"/>
    </xf>
    <xf numFmtId="10" fontId="217" fillId="0" borderId="152" xfId="2" applyNumberFormat="1" applyFont="1" applyBorder="1">
      <alignment vertical="center"/>
    </xf>
    <xf numFmtId="183" fontId="217" fillId="14" borderId="152" xfId="0" applyNumberFormat="1" applyFont="1" applyFill="1" applyBorder="1" applyAlignment="1" applyProtection="1">
      <alignment horizontal="center" vertical="center"/>
      <protection locked="0"/>
    </xf>
    <xf numFmtId="0" fontId="217" fillId="14" borderId="152" xfId="0" applyFont="1" applyFill="1" applyBorder="1" applyProtection="1">
      <alignment vertical="center"/>
      <protection locked="0"/>
    </xf>
    <xf numFmtId="177" fontId="217" fillId="14" borderId="152" xfId="0" applyNumberFormat="1" applyFont="1" applyFill="1" applyBorder="1" applyProtection="1">
      <alignment vertical="center"/>
      <protection locked="0"/>
    </xf>
    <xf numFmtId="177" fontId="217" fillId="0" borderId="152" xfId="0" applyNumberFormat="1" applyFont="1" applyBorder="1">
      <alignment vertical="center"/>
    </xf>
    <xf numFmtId="244" fontId="234" fillId="81" borderId="147" xfId="0" applyNumberFormat="1" applyFont="1" applyFill="1" applyBorder="1" applyAlignment="1" applyProtection="1">
      <alignment vertical="center"/>
      <protection locked="0"/>
    </xf>
    <xf numFmtId="176" fontId="217" fillId="7" borderId="147" xfId="3" applyNumberFormat="1" applyFont="1" applyFill="1" applyBorder="1" applyAlignment="1" applyProtection="1">
      <alignment horizontal="center" vertical="center" wrapText="1"/>
    </xf>
    <xf numFmtId="244" fontId="234" fillId="81" borderId="152" xfId="0" applyNumberFormat="1" applyFont="1" applyFill="1" applyBorder="1" applyAlignment="1" applyProtection="1">
      <alignment vertical="center"/>
      <protection locked="0"/>
    </xf>
    <xf numFmtId="244" fontId="217" fillId="0" borderId="152" xfId="11" applyNumberFormat="1" applyFont="1" applyFill="1" applyBorder="1" applyAlignment="1">
      <alignment horizontal="right" vertical="center"/>
    </xf>
    <xf numFmtId="244" fontId="217" fillId="8" borderId="152" xfId="11" applyNumberFormat="1" applyFont="1" applyFill="1" applyBorder="1" applyAlignment="1" applyProtection="1">
      <alignment horizontal="right" vertical="center" wrapText="1"/>
    </xf>
    <xf numFmtId="244" fontId="217" fillId="8" borderId="152" xfId="1" applyNumberFormat="1" applyFont="1" applyFill="1" applyBorder="1" applyAlignment="1" applyProtection="1">
      <alignment vertical="center"/>
    </xf>
    <xf numFmtId="178" fontId="217" fillId="14" borderId="152" xfId="12" applyNumberFormat="1" applyFont="1" applyFill="1" applyBorder="1" applyAlignment="1">
      <alignment horizontal="right" vertical="center"/>
    </xf>
    <xf numFmtId="176" fontId="217" fillId="0" borderId="152" xfId="3" applyNumberFormat="1" applyFont="1" applyFill="1" applyBorder="1" applyAlignment="1" applyProtection="1">
      <alignment horizontal="right" vertical="center"/>
    </xf>
    <xf numFmtId="176" fontId="217" fillId="0" borderId="152" xfId="0" applyNumberFormat="1" applyFont="1" applyFill="1" applyBorder="1" applyAlignment="1" applyProtection="1">
      <alignment horizontal="right" vertical="center"/>
    </xf>
    <xf numFmtId="244" fontId="234" fillId="0" borderId="147" xfId="0" applyNumberFormat="1" applyFont="1" applyFill="1" applyBorder="1" applyAlignment="1" applyProtection="1">
      <alignment vertical="center"/>
      <protection locked="0"/>
    </xf>
    <xf numFmtId="244" fontId="234" fillId="0" borderId="152" xfId="0" applyNumberFormat="1" applyFont="1" applyFill="1" applyBorder="1" applyAlignment="1" applyProtection="1">
      <alignment vertical="center"/>
      <protection locked="0"/>
    </xf>
    <xf numFmtId="244" fontId="217" fillId="0" borderId="147" xfId="4" applyNumberFormat="1" applyFont="1" applyFill="1" applyBorder="1" applyAlignment="1">
      <alignment horizontal="right" vertical="center"/>
    </xf>
    <xf numFmtId="244" fontId="217" fillId="0" borderId="152" xfId="4" applyNumberFormat="1" applyFont="1" applyFill="1" applyBorder="1" applyAlignment="1">
      <alignment horizontal="right" vertical="center"/>
    </xf>
    <xf numFmtId="0" fontId="217" fillId="14" borderId="152" xfId="8" applyFont="1" applyFill="1" applyBorder="1" applyAlignment="1" applyProtection="1">
      <alignment horizontal="left" vertical="center" wrapText="1"/>
      <protection locked="0"/>
    </xf>
    <xf numFmtId="41" fontId="217" fillId="0" borderId="153" xfId="3" applyNumberFormat="1" applyFont="1" applyFill="1" applyBorder="1" applyAlignment="1" applyProtection="1">
      <alignment horizontal="right" vertical="center"/>
    </xf>
    <xf numFmtId="41" fontId="217" fillId="0" borderId="143" xfId="3" applyNumberFormat="1" applyFont="1" applyFill="1" applyBorder="1" applyAlignment="1" applyProtection="1">
      <alignment horizontal="right" vertical="center"/>
    </xf>
    <xf numFmtId="180" fontId="217" fillId="0" borderId="33" xfId="3" applyNumberFormat="1" applyFont="1" applyFill="1" applyBorder="1" applyAlignment="1" applyProtection="1">
      <alignment horizontal="right" vertical="center"/>
    </xf>
    <xf numFmtId="180" fontId="217" fillId="0" borderId="142" xfId="3" applyNumberFormat="1" applyFont="1" applyFill="1" applyBorder="1" applyAlignment="1" applyProtection="1">
      <alignment horizontal="right" vertical="center"/>
    </xf>
    <xf numFmtId="180" fontId="217" fillId="0" borderId="136" xfId="3" applyNumberFormat="1" applyFont="1" applyFill="1" applyBorder="1" applyAlignment="1" applyProtection="1">
      <alignment horizontal="right" vertical="center"/>
    </xf>
    <xf numFmtId="9" fontId="217" fillId="3" borderId="5" xfId="2" applyFont="1" applyFill="1" applyBorder="1" applyAlignment="1">
      <alignment vertical="center"/>
    </xf>
    <xf numFmtId="43" fontId="231" fillId="0" borderId="0" xfId="8" applyNumberFormat="1" applyFont="1" applyAlignment="1">
      <alignment vertical="center"/>
    </xf>
    <xf numFmtId="0" fontId="218" fillId="13" borderId="31" xfId="0" applyFont="1" applyFill="1" applyBorder="1" applyAlignment="1">
      <alignment horizontal="center" vertical="center" wrapText="1"/>
    </xf>
    <xf numFmtId="0" fontId="218" fillId="13" borderId="29" xfId="0" applyFont="1" applyFill="1" applyBorder="1" applyAlignment="1">
      <alignment horizontal="center" vertical="center"/>
    </xf>
    <xf numFmtId="0" fontId="217" fillId="0" borderId="45" xfId="0" applyFont="1" applyBorder="1" applyAlignment="1">
      <alignment vertical="center"/>
    </xf>
    <xf numFmtId="176" fontId="216" fillId="9" borderId="0" xfId="8" applyNumberFormat="1" applyFont="1" applyFill="1" applyBorder="1" applyAlignment="1">
      <alignment horizontal="center" vertical="center" shrinkToFit="1"/>
    </xf>
    <xf numFmtId="0" fontId="217" fillId="0" borderId="84" xfId="0" applyFont="1" applyBorder="1" applyAlignment="1">
      <alignment vertical="center"/>
    </xf>
    <xf numFmtId="0" fontId="217" fillId="0" borderId="85" xfId="0" applyFont="1" applyBorder="1" applyAlignment="1">
      <alignment vertical="center"/>
    </xf>
    <xf numFmtId="0" fontId="217" fillId="0" borderId="83" xfId="0" applyFont="1" applyBorder="1" applyAlignment="1">
      <alignment horizontal="left" vertical="center"/>
    </xf>
    <xf numFmtId="0" fontId="217" fillId="0" borderId="45" xfId="0" applyFont="1" applyBorder="1" applyAlignment="1">
      <alignment horizontal="left" vertical="center"/>
    </xf>
    <xf numFmtId="0" fontId="217" fillId="0" borderId="75" xfId="0" applyFont="1" applyBorder="1" applyAlignment="1">
      <alignment horizontal="left" vertical="center"/>
    </xf>
    <xf numFmtId="0" fontId="217" fillId="0" borderId="12" xfId="0" applyFont="1" applyBorder="1" applyAlignment="1">
      <alignment horizontal="left" vertical="center"/>
    </xf>
    <xf numFmtId="0" fontId="217" fillId="0" borderId="74" xfId="0" applyFont="1" applyBorder="1" applyAlignment="1">
      <alignment horizontal="left" vertical="center"/>
    </xf>
    <xf numFmtId="0" fontId="217" fillId="0" borderId="55" xfId="0" applyFont="1" applyBorder="1" applyAlignment="1">
      <alignment horizontal="left" vertical="center"/>
    </xf>
    <xf numFmtId="0" fontId="217" fillId="19" borderId="72" xfId="0" applyFont="1" applyFill="1" applyBorder="1" applyAlignment="1" applyProtection="1">
      <alignment horizontal="center" vertical="center"/>
      <protection locked="0"/>
    </xf>
    <xf numFmtId="0" fontId="217" fillId="19" borderId="73" xfId="0" applyFont="1" applyFill="1" applyBorder="1" applyAlignment="1" applyProtection="1">
      <alignment horizontal="center" vertical="center"/>
      <protection locked="0"/>
    </xf>
    <xf numFmtId="0" fontId="217" fillId="19" borderId="97" xfId="0" applyFont="1" applyFill="1" applyBorder="1" applyAlignment="1" applyProtection="1">
      <alignment horizontal="center" vertical="center"/>
      <protection locked="0"/>
    </xf>
    <xf numFmtId="0" fontId="217" fillId="18" borderId="86" xfId="0" applyFont="1" applyFill="1" applyBorder="1" applyAlignment="1">
      <alignment horizontal="center" vertical="center"/>
    </xf>
    <xf numFmtId="0" fontId="217" fillId="18" borderId="95" xfId="0" applyFont="1" applyFill="1" applyBorder="1" applyAlignment="1">
      <alignment horizontal="center" vertical="center"/>
    </xf>
    <xf numFmtId="0" fontId="217" fillId="18" borderId="96" xfId="0" applyFont="1" applyFill="1" applyBorder="1" applyAlignment="1">
      <alignment horizontal="center" vertical="center"/>
    </xf>
    <xf numFmtId="0" fontId="217" fillId="19" borderId="128" xfId="0" applyFont="1" applyFill="1" applyBorder="1" applyAlignment="1" applyProtection="1">
      <alignment horizontal="center" vertical="center"/>
      <protection locked="0"/>
    </xf>
    <xf numFmtId="0" fontId="217" fillId="19" borderId="129" xfId="0" applyFont="1" applyFill="1" applyBorder="1" applyAlignment="1" applyProtection="1">
      <alignment horizontal="center" vertical="center"/>
      <protection locked="0"/>
    </xf>
    <xf numFmtId="0" fontId="217" fillId="19" borderId="130" xfId="0" applyFont="1" applyFill="1" applyBorder="1" applyAlignment="1" applyProtection="1">
      <alignment horizontal="center" vertical="center"/>
      <protection locked="0"/>
    </xf>
    <xf numFmtId="0" fontId="217" fillId="19" borderId="91" xfId="0" applyFont="1" applyFill="1" applyBorder="1" applyAlignment="1" applyProtection="1">
      <alignment horizontal="center" vertical="center"/>
      <protection locked="0"/>
    </xf>
    <xf numFmtId="0" fontId="217" fillId="19" borderId="58" xfId="0" applyFont="1" applyFill="1" applyBorder="1" applyAlignment="1" applyProtection="1">
      <alignment horizontal="center" vertical="center"/>
      <protection locked="0"/>
    </xf>
    <xf numFmtId="0" fontId="217" fillId="19" borderId="68" xfId="0" applyFont="1" applyFill="1" applyBorder="1" applyAlignment="1" applyProtection="1">
      <alignment horizontal="center" vertical="center"/>
      <protection locked="0"/>
    </xf>
    <xf numFmtId="0" fontId="217" fillId="18" borderId="75" xfId="0" applyFont="1" applyFill="1" applyBorder="1" applyAlignment="1">
      <alignment horizontal="center" vertical="center"/>
    </xf>
    <xf numFmtId="0" fontId="217" fillId="18" borderId="76" xfId="0" applyFont="1" applyFill="1" applyBorder="1" applyAlignment="1">
      <alignment horizontal="center" vertical="center"/>
    </xf>
    <xf numFmtId="9" fontId="217" fillId="19" borderId="37" xfId="2" applyFont="1" applyFill="1" applyBorder="1" applyAlignment="1" applyProtection="1">
      <alignment horizontal="center" vertical="center"/>
      <protection locked="0"/>
    </xf>
    <xf numFmtId="9" fontId="217" fillId="19" borderId="29" xfId="2" applyFont="1" applyFill="1" applyBorder="1" applyAlignment="1" applyProtection="1">
      <alignment horizontal="center" vertical="center"/>
      <protection locked="0"/>
    </xf>
    <xf numFmtId="0" fontId="217" fillId="19" borderId="29" xfId="0" applyFont="1" applyFill="1" applyBorder="1" applyAlignment="1" applyProtection="1">
      <alignment horizontal="center" vertical="center"/>
      <protection locked="0"/>
    </xf>
    <xf numFmtId="9" fontId="217" fillId="19" borderId="37" xfId="2" applyFont="1" applyFill="1" applyBorder="1" applyAlignment="1" applyProtection="1">
      <alignment horizontal="center" vertical="center" wrapText="1"/>
      <protection locked="0"/>
    </xf>
    <xf numFmtId="0" fontId="217" fillId="18" borderId="88" xfId="0" applyFont="1" applyFill="1" applyBorder="1" applyAlignment="1">
      <alignment horizontal="center" vertical="center"/>
    </xf>
    <xf numFmtId="0" fontId="217" fillId="19" borderId="92" xfId="0" applyFont="1" applyFill="1" applyBorder="1" applyAlignment="1" applyProtection="1">
      <alignment horizontal="center" vertical="center"/>
      <protection locked="0"/>
    </xf>
    <xf numFmtId="0" fontId="217" fillId="19" borderId="93" xfId="0" applyFont="1" applyFill="1" applyBorder="1" applyAlignment="1" applyProtection="1">
      <alignment horizontal="center" vertical="center"/>
      <protection locked="0"/>
    </xf>
    <xf numFmtId="0" fontId="217" fillId="19" borderId="18" xfId="0" applyFont="1" applyFill="1" applyBorder="1" applyAlignment="1" applyProtection="1">
      <alignment horizontal="center" vertical="center"/>
      <protection locked="0"/>
    </xf>
    <xf numFmtId="0" fontId="217" fillId="19" borderId="37" xfId="0" applyFont="1" applyFill="1" applyBorder="1" applyAlignment="1" applyProtection="1">
      <alignment horizontal="center" vertical="center"/>
      <protection locked="0"/>
    </xf>
    <xf numFmtId="0" fontId="217" fillId="18" borderId="94" xfId="0" applyFont="1" applyFill="1" applyBorder="1" applyAlignment="1">
      <alignment horizontal="center" vertical="center"/>
    </xf>
    <xf numFmtId="0" fontId="217" fillId="19" borderId="12" xfId="0" applyFont="1" applyFill="1" applyBorder="1" applyAlignment="1" applyProtection="1">
      <alignment horizontal="center" vertical="center" wrapText="1"/>
      <protection locked="0"/>
    </xf>
    <xf numFmtId="0" fontId="217" fillId="18" borderId="60" xfId="0" applyFont="1" applyFill="1" applyBorder="1" applyAlignment="1">
      <alignment horizontal="center" vertical="center"/>
    </xf>
    <xf numFmtId="0" fontId="217" fillId="19" borderId="68" xfId="0" applyFont="1" applyFill="1" applyBorder="1" applyAlignment="1" applyProtection="1">
      <alignment horizontal="center" vertical="center" wrapText="1"/>
      <protection locked="0"/>
    </xf>
    <xf numFmtId="9" fontId="217" fillId="19" borderId="29" xfId="2" applyFont="1" applyFill="1" applyBorder="1" applyAlignment="1" applyProtection="1">
      <alignment horizontal="center" vertical="center" wrapText="1"/>
      <protection locked="0"/>
    </xf>
    <xf numFmtId="0" fontId="217" fillId="19" borderId="45" xfId="0" applyFont="1" applyFill="1" applyBorder="1" applyAlignment="1" applyProtection="1">
      <alignment horizontal="center" vertical="center" wrapText="1"/>
      <protection locked="0"/>
    </xf>
    <xf numFmtId="0" fontId="217" fillId="19" borderId="12" xfId="0" applyFont="1" applyFill="1" applyBorder="1" applyAlignment="1" applyProtection="1">
      <alignment horizontal="center" vertical="center"/>
      <protection locked="0"/>
    </xf>
    <xf numFmtId="185" fontId="217" fillId="20" borderId="72" xfId="0" applyNumberFormat="1" applyFont="1" applyFill="1" applyBorder="1" applyAlignment="1" applyProtection="1">
      <alignment horizontal="center" vertical="center"/>
      <protection locked="0"/>
    </xf>
    <xf numFmtId="185" fontId="217" fillId="20" borderId="68" xfId="0" applyNumberFormat="1" applyFont="1" applyFill="1" applyBorder="1" applyAlignment="1" applyProtection="1">
      <alignment horizontal="center" vertical="center"/>
      <protection locked="0"/>
    </xf>
    <xf numFmtId="0" fontId="217" fillId="18" borderId="61" xfId="0" applyFont="1" applyFill="1" applyBorder="1" applyAlignment="1">
      <alignment horizontal="center" vertical="center"/>
    </xf>
    <xf numFmtId="0" fontId="217" fillId="18" borderId="59" xfId="0" applyFont="1" applyFill="1" applyBorder="1" applyAlignment="1">
      <alignment horizontal="center" vertical="center"/>
    </xf>
    <xf numFmtId="0" fontId="217" fillId="18" borderId="65" xfId="0" applyFont="1" applyFill="1" applyBorder="1" applyAlignment="1">
      <alignment horizontal="center" vertical="center"/>
    </xf>
    <xf numFmtId="177" fontId="217" fillId="18" borderId="86" xfId="3" applyNumberFormat="1" applyFont="1" applyFill="1" applyBorder="1" applyAlignment="1">
      <alignment horizontal="center" vertical="center"/>
    </xf>
    <xf numFmtId="177" fontId="217" fillId="18" borderId="95" xfId="3" applyNumberFormat="1" applyFont="1" applyFill="1" applyBorder="1" applyAlignment="1">
      <alignment horizontal="center" vertical="center"/>
    </xf>
    <xf numFmtId="177" fontId="217" fillId="18" borderId="61" xfId="3" applyNumberFormat="1" applyFont="1" applyFill="1" applyBorder="1" applyAlignment="1">
      <alignment horizontal="center" vertical="center"/>
    </xf>
    <xf numFmtId="0" fontId="217" fillId="19" borderId="58" xfId="0" applyFont="1" applyFill="1" applyBorder="1" applyAlignment="1" applyProtection="1">
      <alignment horizontal="left" vertical="center" indent="1"/>
      <protection locked="0"/>
    </xf>
    <xf numFmtId="0" fontId="217" fillId="19" borderId="69" xfId="0" applyFont="1" applyFill="1" applyBorder="1" applyAlignment="1" applyProtection="1">
      <alignment horizontal="left" vertical="center" indent="1"/>
      <protection locked="0"/>
    </xf>
    <xf numFmtId="177" fontId="217" fillId="0" borderId="87" xfId="3" applyNumberFormat="1" applyFont="1" applyBorder="1" applyAlignment="1">
      <alignment horizontal="center" vertical="center"/>
    </xf>
    <xf numFmtId="177" fontId="217" fillId="0" borderId="88" xfId="3" applyNumberFormat="1" applyFont="1" applyBorder="1" applyAlignment="1">
      <alignment horizontal="center" vertical="center"/>
    </xf>
    <xf numFmtId="0" fontId="217" fillId="18" borderId="74" xfId="0" applyFont="1" applyFill="1" applyBorder="1" applyAlignment="1">
      <alignment horizontal="center" vertical="center"/>
    </xf>
    <xf numFmtId="0" fontId="217" fillId="19" borderId="83" xfId="0" applyFont="1" applyFill="1" applyBorder="1" applyAlignment="1" applyProtection="1">
      <alignment horizontal="left" vertical="center" wrapText="1" indent="1"/>
      <protection locked="0"/>
    </xf>
    <xf numFmtId="0" fontId="217" fillId="19" borderId="134" xfId="0" applyFont="1" applyFill="1" applyBorder="1" applyAlignment="1" applyProtection="1">
      <alignment horizontal="left" vertical="center" wrapText="1" indent="1"/>
      <protection locked="0"/>
    </xf>
    <xf numFmtId="0" fontId="217" fillId="19" borderId="135" xfId="0" applyFont="1" applyFill="1" applyBorder="1" applyAlignment="1" applyProtection="1">
      <alignment horizontal="left" vertical="center" wrapText="1" indent="1"/>
      <protection locked="0"/>
    </xf>
    <xf numFmtId="0" fontId="217" fillId="22" borderId="74" xfId="0" applyFont="1" applyFill="1" applyBorder="1" applyAlignment="1" applyProtection="1">
      <alignment horizontal="left" vertical="center" indent="1"/>
      <protection locked="0"/>
    </xf>
    <xf numFmtId="0" fontId="217" fillId="22" borderId="55" xfId="0" applyFont="1" applyFill="1" applyBorder="1" applyAlignment="1" applyProtection="1">
      <alignment horizontal="left" vertical="center" indent="1"/>
      <protection locked="0"/>
    </xf>
    <xf numFmtId="0" fontId="217" fillId="19" borderId="75" xfId="0" applyFont="1" applyFill="1" applyBorder="1" applyAlignment="1" applyProtection="1">
      <alignment horizontal="left" vertical="center" indent="1"/>
      <protection locked="0"/>
    </xf>
    <xf numFmtId="0" fontId="217" fillId="19" borderId="131" xfId="0" applyFont="1" applyFill="1" applyBorder="1" applyAlignment="1" applyProtection="1">
      <alignment horizontal="left" vertical="center" indent="1"/>
      <protection locked="0"/>
    </xf>
    <xf numFmtId="0" fontId="218" fillId="0" borderId="0" xfId="0" applyFont="1" applyFill="1" applyBorder="1" applyAlignment="1">
      <alignment horizontal="center" vertical="center" wrapText="1"/>
    </xf>
    <xf numFmtId="0" fontId="217" fillId="19" borderId="93" xfId="0" applyFont="1" applyFill="1" applyBorder="1" applyAlignment="1" applyProtection="1">
      <alignment horizontal="left" vertical="center" wrapText="1" indent="1"/>
      <protection locked="0"/>
    </xf>
    <xf numFmtId="0" fontId="217" fillId="19" borderId="98" xfId="0" applyFont="1" applyFill="1" applyBorder="1" applyAlignment="1" applyProtection="1">
      <alignment horizontal="left" vertical="center" wrapText="1" indent="1"/>
      <protection locked="0"/>
    </xf>
    <xf numFmtId="0" fontId="217" fillId="18" borderId="77" xfId="0" applyFont="1" applyFill="1" applyBorder="1" applyAlignment="1">
      <alignment horizontal="center" vertical="center"/>
    </xf>
    <xf numFmtId="0" fontId="217" fillId="18" borderId="133" xfId="0" applyFont="1" applyFill="1" applyBorder="1" applyAlignment="1">
      <alignment horizontal="center" vertical="center"/>
    </xf>
    <xf numFmtId="0" fontId="217" fillId="18" borderId="134" xfId="0" applyFont="1" applyFill="1" applyBorder="1" applyAlignment="1">
      <alignment horizontal="center" vertical="center"/>
    </xf>
    <xf numFmtId="0" fontId="217" fillId="18" borderId="135" xfId="0" applyFont="1" applyFill="1" applyBorder="1" applyAlignment="1">
      <alignment horizontal="center" vertical="center"/>
    </xf>
    <xf numFmtId="0" fontId="217" fillId="19" borderId="76" xfId="0" applyFont="1" applyFill="1" applyBorder="1" applyAlignment="1" applyProtection="1">
      <alignment horizontal="left" vertical="center" indent="1"/>
      <protection locked="0"/>
    </xf>
    <xf numFmtId="177" fontId="217" fillId="0" borderId="89" xfId="3" applyNumberFormat="1" applyFont="1" applyBorder="1" applyAlignment="1">
      <alignment horizontal="center" vertical="center"/>
    </xf>
    <xf numFmtId="177" fontId="217" fillId="0" borderId="101" xfId="3" applyNumberFormat="1" applyFont="1" applyBorder="1" applyAlignment="1">
      <alignment horizontal="center" vertical="center"/>
    </xf>
    <xf numFmtId="177" fontId="217" fillId="0" borderId="18" xfId="3" applyNumberFormat="1" applyFont="1" applyBorder="1" applyAlignment="1">
      <alignment horizontal="center" vertical="center"/>
    </xf>
    <xf numFmtId="177" fontId="217" fillId="0" borderId="93" xfId="3" applyNumberFormat="1" applyFont="1" applyBorder="1" applyAlignment="1">
      <alignment horizontal="center" vertical="center"/>
    </xf>
    <xf numFmtId="9" fontId="217" fillId="19" borderId="128" xfId="2" applyFont="1" applyFill="1" applyBorder="1" applyAlignment="1" applyProtection="1">
      <alignment horizontal="center" vertical="center" wrapText="1"/>
      <protection locked="0"/>
    </xf>
    <xf numFmtId="9" fontId="217" fillId="19" borderId="129" xfId="2" applyFont="1" applyFill="1" applyBorder="1" applyAlignment="1" applyProtection="1">
      <alignment horizontal="center" vertical="center"/>
      <protection locked="0"/>
    </xf>
    <xf numFmtId="9" fontId="217" fillId="19" borderId="130" xfId="2" applyFont="1" applyFill="1" applyBorder="1" applyAlignment="1" applyProtection="1">
      <alignment horizontal="center" vertical="center"/>
      <protection locked="0"/>
    </xf>
    <xf numFmtId="177" fontId="217" fillId="18" borderId="72" xfId="3" applyNumberFormat="1" applyFont="1" applyFill="1" applyBorder="1" applyAlignment="1">
      <alignment horizontal="center" vertical="center"/>
    </xf>
    <xf numFmtId="177" fontId="217" fillId="18" borderId="73" xfId="3" applyNumberFormat="1" applyFont="1" applyFill="1" applyBorder="1" applyAlignment="1">
      <alignment horizontal="center" vertical="center"/>
    </xf>
    <xf numFmtId="177" fontId="217" fillId="18" borderId="68" xfId="3" applyNumberFormat="1" applyFont="1" applyFill="1" applyBorder="1" applyAlignment="1">
      <alignment horizontal="center" vertical="center"/>
    </xf>
    <xf numFmtId="0" fontId="217" fillId="19" borderId="69" xfId="0" applyFont="1" applyFill="1" applyBorder="1" applyAlignment="1" applyProtection="1">
      <alignment horizontal="center" vertical="center"/>
      <protection locked="0"/>
    </xf>
    <xf numFmtId="0" fontId="217" fillId="19" borderId="19" xfId="0" applyFont="1" applyFill="1" applyBorder="1" applyAlignment="1" applyProtection="1">
      <alignment horizontal="center" vertical="center"/>
      <protection locked="0"/>
    </xf>
    <xf numFmtId="0" fontId="217" fillId="19" borderId="53" xfId="0" applyFont="1" applyFill="1" applyBorder="1" applyAlignment="1" applyProtection="1">
      <alignment horizontal="center" vertical="center"/>
      <protection locked="0"/>
    </xf>
    <xf numFmtId="0" fontId="217" fillId="19" borderId="103" xfId="0" applyFont="1" applyFill="1" applyBorder="1" applyAlignment="1" applyProtection="1">
      <alignment horizontal="center" vertical="center"/>
      <protection locked="0"/>
    </xf>
    <xf numFmtId="0" fontId="217" fillId="19" borderId="66" xfId="0" applyFont="1" applyFill="1" applyBorder="1" applyAlignment="1" applyProtection="1">
      <alignment horizontal="center" vertical="center"/>
      <protection locked="0"/>
    </xf>
    <xf numFmtId="0" fontId="217" fillId="19" borderId="19" xfId="0" applyFont="1" applyFill="1" applyBorder="1" applyAlignment="1" applyProtection="1">
      <alignment horizontal="center" vertical="center" wrapText="1"/>
      <protection locked="0"/>
    </xf>
    <xf numFmtId="0" fontId="217" fillId="19" borderId="53" xfId="0" applyFont="1" applyFill="1" applyBorder="1" applyAlignment="1" applyProtection="1">
      <alignment horizontal="center" vertical="center" wrapText="1"/>
      <protection locked="0"/>
    </xf>
    <xf numFmtId="0" fontId="217" fillId="19" borderId="103" xfId="0" applyFont="1" applyFill="1" applyBorder="1" applyAlignment="1" applyProtection="1">
      <alignment horizontal="center" vertical="center" wrapText="1"/>
      <protection locked="0"/>
    </xf>
    <xf numFmtId="9" fontId="217" fillId="19" borderId="19" xfId="2" applyFont="1" applyFill="1" applyBorder="1" applyAlignment="1" applyProtection="1">
      <alignment horizontal="center" vertical="center" wrapText="1"/>
      <protection locked="0"/>
    </xf>
    <xf numFmtId="9" fontId="217" fillId="19" borderId="53" xfId="2" applyFont="1" applyFill="1" applyBorder="1" applyAlignment="1" applyProtection="1">
      <alignment horizontal="center" vertical="center"/>
      <protection locked="0"/>
    </xf>
    <xf numFmtId="9" fontId="217" fillId="19" borderId="103" xfId="2" applyFont="1" applyFill="1" applyBorder="1" applyAlignment="1" applyProtection="1">
      <alignment horizontal="center" vertical="center"/>
      <protection locked="0"/>
    </xf>
    <xf numFmtId="183" fontId="219" fillId="17" borderId="24" xfId="0" applyNumberFormat="1" applyFont="1" applyFill="1" applyBorder="1" applyAlignment="1">
      <alignment horizontal="center" vertical="center"/>
    </xf>
    <xf numFmtId="183" fontId="219" fillId="17" borderId="25" xfId="0" applyNumberFormat="1" applyFont="1" applyFill="1" applyBorder="1" applyAlignment="1">
      <alignment horizontal="center" vertical="center"/>
    </xf>
    <xf numFmtId="0" fontId="217" fillId="15" borderId="20" xfId="8" applyFont="1" applyFill="1" applyBorder="1" applyAlignment="1">
      <alignment horizontal="center" vertical="center"/>
    </xf>
    <xf numFmtId="0" fontId="217" fillId="15" borderId="15" xfId="8" applyFont="1" applyFill="1" applyBorder="1" applyAlignment="1">
      <alignment horizontal="center" vertical="center"/>
    </xf>
    <xf numFmtId="0" fontId="217" fillId="15" borderId="15" xfId="0" applyFont="1" applyFill="1" applyBorder="1" applyAlignment="1">
      <alignment horizontal="center" vertical="center"/>
    </xf>
    <xf numFmtId="176" fontId="216" fillId="9" borderId="0" xfId="8" applyNumberFormat="1" applyFont="1" applyFill="1" applyAlignment="1">
      <alignment horizontal="left" vertical="center"/>
    </xf>
    <xf numFmtId="0" fontId="217" fillId="0" borderId="14" xfId="8" applyFont="1" applyFill="1" applyBorder="1" applyAlignment="1">
      <alignment horizontal="center" vertical="center" wrapText="1"/>
    </xf>
    <xf numFmtId="0" fontId="217" fillId="0" borderId="14" xfId="0" applyFont="1" applyBorder="1" applyAlignment="1">
      <alignment horizontal="center" vertical="center"/>
    </xf>
    <xf numFmtId="0" fontId="217" fillId="16" borderId="12" xfId="0" applyFont="1" applyFill="1" applyBorder="1" applyAlignment="1">
      <alignment horizontal="center" vertical="center"/>
    </xf>
    <xf numFmtId="0" fontId="217" fillId="0" borderId="14" xfId="8" applyFont="1" applyFill="1" applyBorder="1" applyAlignment="1">
      <alignment horizontal="center" vertical="center"/>
    </xf>
    <xf numFmtId="0" fontId="218" fillId="17" borderId="11" xfId="8" applyFont="1" applyFill="1" applyBorder="1" applyAlignment="1">
      <alignment horizontal="center" vertical="center"/>
    </xf>
    <xf numFmtId="0" fontId="218" fillId="17" borderId="22" xfId="8" applyFont="1" applyFill="1" applyBorder="1" applyAlignment="1">
      <alignment horizontal="center" vertical="center"/>
    </xf>
    <xf numFmtId="0" fontId="218" fillId="4" borderId="11" xfId="8" applyFont="1" applyFill="1" applyBorder="1" applyAlignment="1">
      <alignment horizontal="center" vertical="center"/>
    </xf>
    <xf numFmtId="181" fontId="217" fillId="0" borderId="47" xfId="0" applyNumberFormat="1" applyFont="1" applyFill="1" applyBorder="1" applyAlignment="1">
      <alignment horizontal="right"/>
    </xf>
    <xf numFmtId="0" fontId="218" fillId="4" borderId="21" xfId="8" applyFont="1" applyFill="1" applyBorder="1" applyAlignment="1">
      <alignment horizontal="center" vertical="center"/>
    </xf>
    <xf numFmtId="0" fontId="218" fillId="4" borderId="14" xfId="8" applyFont="1" applyFill="1" applyBorder="1" applyAlignment="1">
      <alignment horizontal="center" vertical="center"/>
    </xf>
    <xf numFmtId="0" fontId="218" fillId="4" borderId="12" xfId="8" applyFont="1" applyFill="1" applyBorder="1" applyAlignment="1">
      <alignment horizontal="center" vertical="center"/>
    </xf>
    <xf numFmtId="0" fontId="218" fillId="11" borderId="15" xfId="8" applyFont="1" applyFill="1" applyBorder="1" applyAlignment="1">
      <alignment vertical="center"/>
    </xf>
    <xf numFmtId="0" fontId="218" fillId="11" borderId="23" xfId="8" applyFont="1" applyFill="1" applyBorder="1" applyAlignment="1">
      <alignment vertical="center"/>
    </xf>
    <xf numFmtId="0" fontId="217" fillId="0" borderId="12" xfId="8" applyFont="1" applyBorder="1" applyAlignment="1">
      <alignment horizontal="center" vertical="center"/>
    </xf>
    <xf numFmtId="0" fontId="217" fillId="0" borderId="11" xfId="8" applyFont="1" applyBorder="1" applyAlignment="1">
      <alignment horizontal="center" vertical="center"/>
    </xf>
    <xf numFmtId="0" fontId="226" fillId="9" borderId="0" xfId="0" applyFont="1" applyFill="1" applyAlignment="1">
      <alignment horizontal="center" vertical="center" shrinkToFit="1"/>
    </xf>
    <xf numFmtId="176" fontId="227" fillId="0" borderId="47" xfId="8" applyNumberFormat="1" applyFont="1" applyFill="1" applyBorder="1" applyAlignment="1">
      <alignment vertical="center" shrinkToFit="1"/>
    </xf>
    <xf numFmtId="0" fontId="217" fillId="0" borderId="47" xfId="0" applyFont="1" applyBorder="1" applyAlignment="1">
      <alignment vertical="center" shrinkToFit="1"/>
    </xf>
    <xf numFmtId="0" fontId="218" fillId="4" borderId="51" xfId="8" applyFont="1" applyFill="1" applyBorder="1" applyAlignment="1">
      <alignment horizontal="center" vertical="center"/>
    </xf>
    <xf numFmtId="0" fontId="218" fillId="4" borderId="46" xfId="8" applyFont="1" applyFill="1" applyBorder="1" applyAlignment="1">
      <alignment horizontal="center" vertical="center"/>
    </xf>
    <xf numFmtId="0" fontId="218" fillId="4" borderId="8" xfId="8" applyFont="1" applyFill="1" applyBorder="1" applyAlignment="1">
      <alignment horizontal="center" vertical="center"/>
    </xf>
    <xf numFmtId="0" fontId="218" fillId="0" borderId="49" xfId="8" applyFont="1" applyBorder="1" applyAlignment="1">
      <alignment horizontal="center" vertical="center" wrapText="1"/>
    </xf>
    <xf numFmtId="0" fontId="218" fillId="0" borderId="10" xfId="8" applyFont="1" applyBorder="1" applyAlignment="1">
      <alignment horizontal="center" vertical="center" wrapText="1"/>
    </xf>
    <xf numFmtId="0" fontId="218" fillId="0" borderId="50" xfId="8" applyFont="1" applyBorder="1" applyAlignment="1">
      <alignment horizontal="center" vertical="center" wrapText="1"/>
    </xf>
    <xf numFmtId="0" fontId="218" fillId="0" borderId="44" xfId="8" applyFont="1" applyBorder="1" applyAlignment="1">
      <alignment horizontal="center" vertical="center" wrapText="1"/>
    </xf>
    <xf numFmtId="0" fontId="218" fillId="0" borderId="33" xfId="8" applyFont="1" applyBorder="1" applyAlignment="1">
      <alignment horizontal="center" vertical="center" wrapText="1"/>
    </xf>
    <xf numFmtId="0" fontId="218" fillId="0" borderId="78" xfId="8" applyFont="1" applyBorder="1" applyAlignment="1">
      <alignment horizontal="center" vertical="center" wrapText="1"/>
    </xf>
    <xf numFmtId="0" fontId="218" fillId="0" borderId="82" xfId="8" applyFont="1" applyBorder="1" applyAlignment="1">
      <alignment horizontal="center" vertical="center" wrapText="1"/>
    </xf>
    <xf numFmtId="0" fontId="218" fillId="0" borderId="81" xfId="8" applyFont="1" applyBorder="1" applyAlignment="1">
      <alignment vertical="center" wrapText="1"/>
    </xf>
    <xf numFmtId="0" fontId="218" fillId="0" borderId="79" xfId="8" applyFont="1" applyBorder="1" applyAlignment="1">
      <alignment vertical="center" wrapText="1"/>
    </xf>
    <xf numFmtId="0" fontId="218" fillId="0" borderId="29" xfId="8" applyFont="1" applyBorder="1" applyAlignment="1">
      <alignment vertical="center" wrapText="1"/>
    </xf>
    <xf numFmtId="0" fontId="218" fillId="0" borderId="31" xfId="0" applyFont="1" applyBorder="1" applyAlignment="1">
      <alignment vertical="center" wrapText="1"/>
    </xf>
    <xf numFmtId="0" fontId="218" fillId="0" borderId="79" xfId="0" applyFont="1" applyBorder="1" applyAlignment="1">
      <alignment vertical="center" wrapText="1"/>
    </xf>
    <xf numFmtId="0" fontId="218" fillId="0" borderId="29" xfId="0" applyFont="1" applyBorder="1" applyAlignment="1">
      <alignment vertical="center" wrapText="1"/>
    </xf>
    <xf numFmtId="0" fontId="218" fillId="11" borderId="17" xfId="8" applyFont="1" applyFill="1" applyBorder="1" applyAlignment="1">
      <alignment vertical="center"/>
    </xf>
    <xf numFmtId="0" fontId="218" fillId="11" borderId="7" xfId="8" applyFont="1" applyFill="1" applyBorder="1" applyAlignment="1">
      <alignment vertical="center"/>
    </xf>
    <xf numFmtId="0" fontId="217" fillId="0" borderId="18" xfId="8" applyFont="1" applyBorder="1" applyAlignment="1">
      <alignment vertical="center"/>
    </xf>
    <xf numFmtId="0" fontId="217" fillId="0" borderId="28" xfId="8" applyFont="1" applyBorder="1" applyAlignment="1">
      <alignment vertical="center"/>
    </xf>
    <xf numFmtId="0" fontId="222" fillId="2" borderId="51" xfId="8" applyFont="1" applyFill="1" applyBorder="1" applyAlignment="1">
      <alignment horizontal="left" vertical="center"/>
    </xf>
    <xf numFmtId="0" fontId="218" fillId="2" borderId="46" xfId="0" applyFont="1" applyFill="1" applyBorder="1" applyAlignment="1">
      <alignment vertical="center"/>
    </xf>
    <xf numFmtId="0" fontId="218" fillId="2" borderId="8" xfId="0" applyFont="1" applyFill="1" applyBorder="1" applyAlignment="1">
      <alignment vertical="center"/>
    </xf>
    <xf numFmtId="0" fontId="217" fillId="0" borderId="16" xfId="8" applyFont="1" applyBorder="1" applyAlignment="1">
      <alignment vertical="center"/>
    </xf>
    <xf numFmtId="0" fontId="217" fillId="0" borderId="2" xfId="8" applyFont="1" applyBorder="1" applyAlignment="1">
      <alignment vertical="center"/>
    </xf>
    <xf numFmtId="0" fontId="218" fillId="3" borderId="33" xfId="8" applyFont="1" applyFill="1" applyBorder="1" applyAlignment="1">
      <alignment horizontal="center" vertical="center" wrapText="1"/>
    </xf>
    <xf numFmtId="0" fontId="218" fillId="3" borderId="78" xfId="8" applyFont="1" applyFill="1" applyBorder="1" applyAlignment="1">
      <alignment horizontal="center" vertical="center" wrapText="1"/>
    </xf>
    <xf numFmtId="0" fontId="218" fillId="3" borderId="82" xfId="8" applyFont="1" applyFill="1" applyBorder="1" applyAlignment="1">
      <alignment horizontal="center" vertical="center" wrapText="1"/>
    </xf>
    <xf numFmtId="0" fontId="217" fillId="3" borderId="16" xfId="8" applyFont="1" applyFill="1" applyBorder="1" applyAlignment="1">
      <alignment vertical="center"/>
    </xf>
    <xf numFmtId="0" fontId="217" fillId="3" borderId="2" xfId="8" applyFont="1" applyFill="1" applyBorder="1" applyAlignment="1">
      <alignment vertical="center"/>
    </xf>
    <xf numFmtId="0" fontId="217" fillId="3" borderId="19" xfId="8" applyFont="1" applyFill="1" applyBorder="1" applyAlignment="1">
      <alignment vertical="center"/>
    </xf>
    <xf numFmtId="0" fontId="217" fillId="3" borderId="4" xfId="8" applyFont="1" applyFill="1" applyBorder="1" applyAlignment="1">
      <alignment vertical="center"/>
    </xf>
    <xf numFmtId="0" fontId="218" fillId="11" borderId="17" xfId="0" applyFont="1" applyFill="1" applyBorder="1" applyAlignment="1">
      <alignment vertical="center"/>
    </xf>
    <xf numFmtId="0" fontId="218" fillId="11" borderId="7" xfId="0" applyFont="1" applyFill="1" applyBorder="1" applyAlignment="1">
      <alignment vertical="center"/>
    </xf>
    <xf numFmtId="0" fontId="218" fillId="11" borderId="51" xfId="0" applyFont="1" applyFill="1" applyBorder="1" applyAlignment="1">
      <alignment vertical="center"/>
    </xf>
    <xf numFmtId="0" fontId="218" fillId="11" borderId="46" xfId="0" applyFont="1" applyFill="1" applyBorder="1" applyAlignment="1">
      <alignment vertical="center"/>
    </xf>
    <xf numFmtId="0" fontId="218" fillId="11" borderId="8" xfId="0" applyFont="1" applyFill="1" applyBorder="1" applyAlignment="1">
      <alignment vertical="center"/>
    </xf>
    <xf numFmtId="0" fontId="218" fillId="11" borderId="52" xfId="8" applyFont="1" applyFill="1" applyBorder="1" applyAlignment="1">
      <alignment vertical="center"/>
    </xf>
    <xf numFmtId="0" fontId="218" fillId="11" borderId="47" xfId="8" applyFont="1" applyFill="1" applyBorder="1" applyAlignment="1">
      <alignment vertical="center"/>
    </xf>
    <xf numFmtId="0" fontId="218" fillId="11" borderId="48" xfId="8" applyFont="1" applyFill="1" applyBorder="1" applyAlignment="1">
      <alignment vertical="center"/>
    </xf>
    <xf numFmtId="0" fontId="218" fillId="0" borderId="31" xfId="8" applyFont="1" applyBorder="1" applyAlignment="1">
      <alignment vertical="center" wrapText="1"/>
    </xf>
    <xf numFmtId="0" fontId="218" fillId="11" borderId="27" xfId="8" applyFont="1" applyFill="1" applyBorder="1" applyAlignment="1">
      <alignment vertical="center"/>
    </xf>
    <xf numFmtId="0" fontId="218" fillId="11" borderId="6" xfId="8" applyFont="1" applyFill="1" applyBorder="1" applyAlignment="1">
      <alignment vertical="center"/>
    </xf>
    <xf numFmtId="178" fontId="218" fillId="0" borderId="21" xfId="8" applyNumberFormat="1" applyFont="1" applyBorder="1" applyAlignment="1">
      <alignment horizontal="center" vertical="center" wrapText="1"/>
    </xf>
    <xf numFmtId="178" fontId="218" fillId="0" borderId="14" xfId="8" applyNumberFormat="1" applyFont="1" applyBorder="1" applyAlignment="1">
      <alignment horizontal="center" vertical="center" wrapText="1"/>
    </xf>
    <xf numFmtId="178" fontId="218" fillId="0" borderId="20" xfId="8" applyNumberFormat="1" applyFont="1" applyBorder="1" applyAlignment="1">
      <alignment horizontal="center" vertical="center" wrapText="1"/>
    </xf>
    <xf numFmtId="176" fontId="218" fillId="4" borderId="147" xfId="0" applyNumberFormat="1" applyFont="1" applyFill="1" applyBorder="1" applyAlignment="1">
      <alignment horizontal="center" vertical="center"/>
    </xf>
    <xf numFmtId="176" fontId="218" fillId="4" borderId="132" xfId="0" applyNumberFormat="1" applyFont="1" applyFill="1" applyBorder="1" applyAlignment="1">
      <alignment horizontal="center" vertical="center"/>
    </xf>
    <xf numFmtId="0" fontId="218" fillId="4" borderId="138" xfId="9" applyFont="1" applyFill="1" applyBorder="1" applyAlignment="1">
      <alignment horizontal="center" vertical="center" wrapText="1"/>
    </xf>
    <xf numFmtId="0" fontId="218" fillId="4" borderId="50" xfId="9" applyFont="1" applyFill="1" applyBorder="1" applyAlignment="1">
      <alignment horizontal="center" vertical="center" wrapText="1"/>
    </xf>
    <xf numFmtId="0" fontId="218" fillId="4" borderId="146" xfId="9" applyFont="1" applyFill="1" applyBorder="1" applyAlignment="1">
      <alignment horizontal="center" vertical="center" wrapText="1"/>
    </xf>
    <xf numFmtId="0" fontId="217" fillId="14" borderId="142" xfId="11" applyFont="1" applyFill="1" applyBorder="1" applyAlignment="1" applyProtection="1">
      <alignment horizontal="center" vertical="center" wrapText="1"/>
      <protection locked="0"/>
    </xf>
    <xf numFmtId="0" fontId="217" fillId="14" borderId="78" xfId="11" applyFont="1" applyFill="1" applyBorder="1" applyAlignment="1" applyProtection="1">
      <alignment horizontal="center" vertical="center" wrapText="1"/>
      <protection locked="0"/>
    </xf>
    <xf numFmtId="0" fontId="217" fillId="14" borderId="136" xfId="11" applyFont="1" applyFill="1" applyBorder="1" applyAlignment="1" applyProtection="1">
      <alignment horizontal="center" vertical="center" wrapText="1"/>
      <protection locked="0"/>
    </xf>
    <xf numFmtId="0" fontId="218" fillId="4" borderId="11" xfId="0" applyFont="1" applyFill="1" applyBorder="1" applyAlignment="1">
      <alignment horizontal="center" vertical="center"/>
    </xf>
    <xf numFmtId="0" fontId="217" fillId="4" borderId="11" xfId="0" applyFont="1" applyFill="1" applyBorder="1" applyAlignment="1">
      <alignment horizontal="center" vertical="center"/>
    </xf>
    <xf numFmtId="0" fontId="218" fillId="4" borderId="11" xfId="9" applyFont="1" applyFill="1" applyBorder="1" applyAlignment="1">
      <alignment horizontal="center" vertical="center" wrapText="1"/>
    </xf>
    <xf numFmtId="0" fontId="218" fillId="4" borderId="11" xfId="0" applyFont="1" applyFill="1" applyBorder="1" applyAlignment="1">
      <alignment horizontal="center" vertical="center" wrapText="1"/>
    </xf>
    <xf numFmtId="0" fontId="218" fillId="4" borderId="147" xfId="0" applyFont="1" applyFill="1" applyBorder="1" applyAlignment="1">
      <alignment horizontal="center" vertical="center" wrapText="1"/>
    </xf>
    <xf numFmtId="181" fontId="218" fillId="4" borderId="147" xfId="9" applyNumberFormat="1" applyFont="1" applyFill="1" applyBorder="1" applyAlignment="1">
      <alignment horizontal="center" vertical="center" wrapText="1"/>
    </xf>
    <xf numFmtId="176" fontId="218" fillId="4" borderId="11" xfId="5" applyNumberFormat="1" applyFont="1" applyFill="1" applyBorder="1" applyAlignment="1">
      <alignment horizontal="center" vertical="center"/>
    </xf>
    <xf numFmtId="176" fontId="218" fillId="4" borderId="22" xfId="5" applyNumberFormat="1" applyFont="1" applyFill="1" applyBorder="1" applyAlignment="1">
      <alignment horizontal="center" vertical="center"/>
    </xf>
    <xf numFmtId="0" fontId="217" fillId="0" borderId="0" xfId="0" applyFont="1" applyAlignment="1">
      <alignment horizontal="left" vertical="center"/>
    </xf>
    <xf numFmtId="0" fontId="217" fillId="0" borderId="46" xfId="0" applyFont="1" applyBorder="1" applyAlignment="1">
      <alignment vertical="center"/>
    </xf>
    <xf numFmtId="0" fontId="217" fillId="0" borderId="8" xfId="0" applyFont="1" applyBorder="1" applyAlignment="1">
      <alignment vertical="center"/>
    </xf>
    <xf numFmtId="0" fontId="218" fillId="4" borderId="147" xfId="9" applyFont="1" applyFill="1" applyBorder="1" applyAlignment="1">
      <alignment horizontal="center" vertical="center" wrapText="1"/>
    </xf>
    <xf numFmtId="0" fontId="218" fillId="6" borderId="20" xfId="11" applyFont="1" applyFill="1" applyBorder="1" applyAlignment="1" applyProtection="1">
      <alignment horizontal="center" vertical="center"/>
    </xf>
    <xf numFmtId="0" fontId="218" fillId="6" borderId="15" xfId="11" applyFont="1" applyFill="1" applyBorder="1" applyAlignment="1" applyProtection="1">
      <alignment horizontal="center" vertical="center"/>
    </xf>
    <xf numFmtId="0" fontId="217" fillId="0" borderId="15" xfId="0" applyFont="1" applyBorder="1" applyAlignment="1">
      <alignment horizontal="center" vertical="center"/>
    </xf>
    <xf numFmtId="0" fontId="218" fillId="21" borderId="24" xfId="0" applyFont="1" applyFill="1" applyBorder="1" applyAlignment="1" applyProtection="1">
      <alignment horizontal="center" vertical="center"/>
    </xf>
    <xf numFmtId="0" fontId="218" fillId="21" borderId="25" xfId="0" applyFont="1" applyFill="1" applyBorder="1" applyAlignment="1" applyProtection="1">
      <alignment horizontal="center" vertical="center"/>
    </xf>
    <xf numFmtId="0" fontId="217" fillId="0" borderId="1" xfId="0" applyFont="1" applyFill="1" applyBorder="1" applyAlignment="1" applyProtection="1">
      <alignment horizontal="center" vertical="center"/>
    </xf>
    <xf numFmtId="0" fontId="217" fillId="0" borderId="5" xfId="0" applyFont="1" applyFill="1" applyBorder="1" applyAlignment="1" applyProtection="1">
      <alignment horizontal="center" vertical="center"/>
    </xf>
    <xf numFmtId="0" fontId="217" fillId="0" borderId="38" xfId="0" applyFont="1" applyFill="1" applyBorder="1" applyAlignment="1" applyProtection="1">
      <alignment horizontal="center" vertical="center"/>
    </xf>
    <xf numFmtId="0" fontId="218" fillId="18" borderId="148" xfId="11" applyFont="1" applyFill="1" applyBorder="1" applyAlignment="1" applyProtection="1">
      <alignment horizontal="center" vertical="center" wrapText="1"/>
    </xf>
    <xf numFmtId="0" fontId="218" fillId="18" borderId="147" xfId="11" applyFont="1" applyFill="1" applyBorder="1" applyAlignment="1" applyProtection="1">
      <alignment horizontal="center" vertical="center" wrapText="1"/>
    </xf>
    <xf numFmtId="0" fontId="218" fillId="18" borderId="132" xfId="11" applyFont="1" applyFill="1" applyBorder="1" applyAlignment="1" applyProtection="1">
      <alignment horizontal="center" vertical="center" wrapText="1"/>
    </xf>
    <xf numFmtId="0" fontId="218" fillId="18" borderId="41" xfId="11" applyFont="1" applyFill="1" applyBorder="1" applyAlignment="1" applyProtection="1">
      <alignment horizontal="center" vertical="center" wrapText="1"/>
    </xf>
    <xf numFmtId="0" fontId="218" fillId="18" borderId="134" xfId="11" applyFont="1" applyFill="1" applyBorder="1" applyAlignment="1" applyProtection="1">
      <alignment horizontal="center" vertical="center" wrapText="1"/>
    </xf>
    <xf numFmtId="0" fontId="218" fillId="18" borderId="149" xfId="11" applyFont="1" applyFill="1" applyBorder="1" applyAlignment="1" applyProtection="1">
      <alignment horizontal="center" vertical="center" wrapText="1"/>
    </xf>
    <xf numFmtId="0" fontId="218" fillId="5" borderId="80" xfId="11" applyFont="1" applyFill="1" applyBorder="1" applyAlignment="1" applyProtection="1">
      <alignment horizontal="center" vertical="center"/>
    </xf>
    <xf numFmtId="0" fontId="218" fillId="5" borderId="7" xfId="11" applyFont="1" applyFill="1" applyBorder="1" applyAlignment="1" applyProtection="1">
      <alignment horizontal="center" vertical="center"/>
    </xf>
    <xf numFmtId="0" fontId="218" fillId="6" borderId="52" xfId="0" applyFont="1" applyFill="1" applyBorder="1" applyAlignment="1" applyProtection="1">
      <alignment horizontal="center" vertical="center"/>
    </xf>
    <xf numFmtId="0" fontId="218" fillId="6" borderId="47" xfId="0" applyFont="1" applyFill="1" applyBorder="1" applyAlignment="1" applyProtection="1">
      <alignment horizontal="center" vertical="center"/>
    </xf>
    <xf numFmtId="0" fontId="218" fillId="6" borderId="48" xfId="0" applyFont="1" applyFill="1" applyBorder="1" applyAlignment="1" applyProtection="1">
      <alignment horizontal="center" vertical="center"/>
    </xf>
    <xf numFmtId="176" fontId="232" fillId="0" borderId="99" xfId="7" applyNumberFormat="1" applyFont="1" applyFill="1" applyBorder="1" applyAlignment="1">
      <alignment horizontal="left" vertical="center"/>
    </xf>
    <xf numFmtId="176" fontId="216" fillId="9" borderId="0" xfId="8" applyNumberFormat="1" applyFont="1" applyFill="1" applyAlignment="1">
      <alignment horizontal="center" vertical="center"/>
    </xf>
    <xf numFmtId="0" fontId="217" fillId="0" borderId="0" xfId="0" applyFont="1" applyAlignment="1">
      <alignment horizontal="center" vertical="center"/>
    </xf>
    <xf numFmtId="176" fontId="218" fillId="4" borderId="21" xfId="7" applyNumberFormat="1" applyFont="1" applyFill="1" applyBorder="1" applyAlignment="1">
      <alignment horizontal="center" vertical="center"/>
    </xf>
    <xf numFmtId="176" fontId="218" fillId="4" borderId="11" xfId="7" applyNumberFormat="1" applyFont="1" applyFill="1" applyBorder="1" applyAlignment="1">
      <alignment horizontal="center" vertical="center"/>
    </xf>
    <xf numFmtId="176" fontId="218" fillId="4" borderId="14" xfId="7" applyNumberFormat="1" applyFont="1" applyFill="1" applyBorder="1" applyAlignment="1">
      <alignment horizontal="center" vertical="center"/>
    </xf>
    <xf numFmtId="176" fontId="218" fillId="4" borderId="147" xfId="7" applyNumberFormat="1" applyFont="1" applyFill="1" applyBorder="1" applyAlignment="1">
      <alignment horizontal="center" vertical="center"/>
    </xf>
    <xf numFmtId="0" fontId="218" fillId="4" borderId="150" xfId="0" applyFont="1" applyFill="1" applyBorder="1" applyAlignment="1">
      <alignment horizontal="center" vertical="center"/>
    </xf>
    <xf numFmtId="176" fontId="218" fillId="6" borderId="20" xfId="7" applyNumberFormat="1" applyFont="1" applyFill="1" applyBorder="1" applyAlignment="1">
      <alignment horizontal="center" vertical="center"/>
    </xf>
    <xf numFmtId="176" fontId="236" fillId="6" borderId="15" xfId="7" applyNumberFormat="1" applyFont="1" applyFill="1" applyBorder="1" applyAlignment="1">
      <alignment horizontal="center" vertical="center"/>
    </xf>
    <xf numFmtId="0" fontId="217" fillId="0" borderId="78" xfId="7" applyFont="1" applyBorder="1" applyAlignment="1">
      <alignment horizontal="center" vertical="center"/>
    </xf>
    <xf numFmtId="0" fontId="217" fillId="0" borderId="136" xfId="7" applyFont="1" applyBorder="1" applyAlignment="1">
      <alignment horizontal="center" vertical="center"/>
    </xf>
    <xf numFmtId="176" fontId="217" fillId="0" borderId="14" xfId="7" applyNumberFormat="1" applyFont="1" applyBorder="1" applyAlignment="1">
      <alignment horizontal="center" vertical="center"/>
    </xf>
    <xf numFmtId="0" fontId="231" fillId="0" borderId="144" xfId="7" applyFont="1" applyBorder="1" applyAlignment="1">
      <alignment horizontal="center" vertical="center"/>
    </xf>
    <xf numFmtId="0" fontId="218" fillId="4" borderId="36" xfId="0" applyFont="1" applyFill="1" applyBorder="1" applyAlignment="1">
      <alignment horizontal="center" vertical="center"/>
    </xf>
    <xf numFmtId="0" fontId="218" fillId="4" borderId="22" xfId="0" applyFont="1" applyFill="1" applyBorder="1" applyAlignment="1">
      <alignment horizontal="center" vertical="center"/>
    </xf>
    <xf numFmtId="176" fontId="217" fillId="0" borderId="142" xfId="7" applyNumberFormat="1" applyFont="1" applyBorder="1" applyAlignment="1">
      <alignment horizontal="center" vertical="center"/>
    </xf>
    <xf numFmtId="176" fontId="217" fillId="0" borderId="78" xfId="7" applyNumberFormat="1" applyFont="1" applyBorder="1" applyAlignment="1">
      <alignment horizontal="center" vertical="center"/>
    </xf>
    <xf numFmtId="176" fontId="217" fillId="0" borderId="136" xfId="7" applyNumberFormat="1" applyFont="1" applyBorder="1" applyAlignment="1">
      <alignment horizontal="center" vertical="center"/>
    </xf>
    <xf numFmtId="178" fontId="218" fillId="4" borderId="131" xfId="12" applyNumberFormat="1" applyFont="1" applyFill="1" applyBorder="1" applyAlignment="1">
      <alignment horizontal="center" vertical="center"/>
    </xf>
    <xf numFmtId="176" fontId="216" fillId="9" borderId="0" xfId="8" applyNumberFormat="1" applyFont="1" applyFill="1" applyBorder="1" applyAlignment="1">
      <alignment horizontal="center" vertical="center"/>
    </xf>
    <xf numFmtId="0" fontId="216" fillId="9" borderId="0" xfId="0" applyFont="1" applyFill="1" applyBorder="1" applyAlignment="1">
      <alignment horizontal="center" vertical="center"/>
    </xf>
    <xf numFmtId="0" fontId="217" fillId="0" borderId="0" xfId="0" applyFont="1" applyBorder="1" applyAlignment="1">
      <alignment horizontal="center" vertical="center"/>
    </xf>
    <xf numFmtId="186" fontId="218" fillId="4" borderId="11" xfId="0" applyNumberFormat="1" applyFont="1" applyFill="1" applyBorder="1" applyAlignment="1">
      <alignment horizontal="center" vertical="center"/>
    </xf>
    <xf numFmtId="0" fontId="218" fillId="4" borderId="21" xfId="12" applyFont="1" applyFill="1" applyBorder="1" applyAlignment="1">
      <alignment horizontal="center" vertical="center"/>
    </xf>
    <xf numFmtId="0" fontId="218" fillId="4" borderId="14" xfId="12" applyFont="1" applyFill="1" applyBorder="1" applyAlignment="1">
      <alignment horizontal="center" vertical="center"/>
    </xf>
    <xf numFmtId="0" fontId="218" fillId="4" borderId="11" xfId="12" applyFont="1" applyFill="1" applyBorder="1" applyAlignment="1">
      <alignment horizontal="center" vertical="center"/>
    </xf>
    <xf numFmtId="0" fontId="218" fillId="4" borderId="131" xfId="12" applyFont="1" applyFill="1" applyBorder="1" applyAlignment="1">
      <alignment horizontal="center" vertical="center"/>
    </xf>
    <xf numFmtId="178" fontId="218" fillId="4" borderId="11" xfId="12" applyNumberFormat="1" applyFont="1" applyFill="1" applyBorder="1" applyAlignment="1">
      <alignment horizontal="center" vertical="center"/>
    </xf>
    <xf numFmtId="176" fontId="217" fillId="0" borderId="15" xfId="7" applyNumberFormat="1" applyFont="1" applyFill="1" applyBorder="1" applyAlignment="1">
      <alignment horizontal="left" vertical="center"/>
    </xf>
    <xf numFmtId="0" fontId="217" fillId="0" borderId="15" xfId="0" applyFont="1" applyBorder="1" applyAlignment="1">
      <alignment horizontal="left" vertical="center"/>
    </xf>
    <xf numFmtId="176" fontId="217" fillId="0" borderId="147" xfId="7" applyNumberFormat="1" applyFont="1" applyFill="1" applyBorder="1" applyAlignment="1">
      <alignment horizontal="left" vertical="center"/>
    </xf>
    <xf numFmtId="176" fontId="218" fillId="0" borderId="14" xfId="7" applyNumberFormat="1" applyFont="1" applyFill="1" applyBorder="1" applyAlignment="1">
      <alignment horizontal="left" vertical="center"/>
    </xf>
    <xf numFmtId="0" fontId="217" fillId="0" borderId="147" xfId="7" applyFont="1" applyBorder="1" applyAlignment="1">
      <alignment horizontal="left" vertical="center"/>
    </xf>
    <xf numFmtId="176" fontId="218" fillId="0" borderId="147" xfId="7" applyNumberFormat="1" applyFont="1" applyFill="1" applyBorder="1" applyAlignment="1">
      <alignment horizontal="left" vertical="center"/>
    </xf>
    <xf numFmtId="0" fontId="217" fillId="0" borderId="147" xfId="7" applyFont="1" applyFill="1" applyBorder="1" applyAlignment="1">
      <alignment horizontal="left" vertical="center"/>
    </xf>
    <xf numFmtId="0" fontId="217" fillId="0" borderId="147" xfId="0" applyFont="1" applyFill="1" applyBorder="1" applyAlignment="1">
      <alignment horizontal="left" vertical="center"/>
    </xf>
    <xf numFmtId="176" fontId="218" fillId="0" borderId="20" xfId="7" applyNumberFormat="1" applyFont="1" applyFill="1" applyBorder="1" applyAlignment="1">
      <alignment horizontal="left" vertical="center"/>
    </xf>
    <xf numFmtId="0" fontId="217" fillId="0" borderId="15" xfId="7" applyFont="1" applyBorder="1" applyAlignment="1">
      <alignment horizontal="left" vertical="center"/>
    </xf>
    <xf numFmtId="0" fontId="217" fillId="0" borderId="0" xfId="0" applyFont="1" applyAlignment="1">
      <alignment vertical="center"/>
    </xf>
    <xf numFmtId="0" fontId="218" fillId="4" borderId="11" xfId="7" applyFont="1" applyFill="1" applyBorder="1" applyAlignment="1">
      <alignment horizontal="center" vertical="center"/>
    </xf>
    <xf numFmtId="176" fontId="234" fillId="0" borderId="147" xfId="7" applyNumberFormat="1" applyFont="1" applyFill="1" applyBorder="1" applyAlignment="1">
      <alignment horizontal="center" vertical="center"/>
    </xf>
  </cellXfs>
  <cellStyles count="5247">
    <cellStyle name="          _x000d__x000a_386grabber=vga.3gr_x000d__x000a_" xfId="4908"/>
    <cellStyle name=" FY96" xfId="2720"/>
    <cellStyle name="_x000a_386grabber=M" xfId="2721"/>
    <cellStyle name="#" xfId="4909"/>
    <cellStyle name="#,##0" xfId="4907"/>
    <cellStyle name="#,##0.0" xfId="4905"/>
    <cellStyle name="#,##0.00" xfId="4903"/>
    <cellStyle name="#,##0.000" xfId="4902"/>
    <cellStyle name="#_cost9702 (2)_계통도 (2)_계통도 " xfId="4906"/>
    <cellStyle name="#_cost9702 (2)_계통도 (2)_계통도 _Xl0000015" xfId="4910"/>
    <cellStyle name="#_cost9702 (2)_공사비예산서 (2)_계통도 " xfId="4911"/>
    <cellStyle name="#_cost9702 (2)_공사비예산서 (2)_계통도 _Xl0000015" xfId="4912"/>
    <cellStyle name="#_cost9702 (2)_공사비예산서_계통도 " xfId="4913"/>
    <cellStyle name="#_cost9702 (2)_공사비예산서_계통도 _Xl0000015" xfId="4914"/>
    <cellStyle name="#_cost9702 (2)_예정공정표 (2)_계통도 " xfId="4915"/>
    <cellStyle name="#_cost9702 (2)_예정공정표 (2)_계통도 _Xl0000015" xfId="4916"/>
    <cellStyle name="#_cost9702 (2)_주요자재_계통도 " xfId="4917"/>
    <cellStyle name="#_cost9702 (2)_주요자재_계통도 _Xl0000015" xfId="4918"/>
    <cellStyle name="#_Xl0000015" xfId="4919"/>
    <cellStyle name="#_예정공정표_계통도 " xfId="4920"/>
    <cellStyle name="#_예정공정표_계통도 _Xl0000015" xfId="4921"/>
    <cellStyle name="#_품셈 " xfId="4922"/>
    <cellStyle name="#_품셈 _Xl0000015" xfId="4923"/>
    <cellStyle name="#_품셈_계통도 " xfId="4924"/>
    <cellStyle name="#_품셈_계통도 _Xl0000015" xfId="4925"/>
    <cellStyle name="$" xfId="4926"/>
    <cellStyle name="$_2003 기지국 전기료 ERP분석자료(10.13)1" xfId="4927"/>
    <cellStyle name="%4_x0003_?투자계획 조정내역" xfId="2722"/>
    <cellStyle name="%4_x0003_?투자계획 조정내역 2" xfId="4928"/>
    <cellStyle name="&amp;A" xfId="2723"/>
    <cellStyle name=")" xfId="2724"/>
    <cellStyle name="??_x000c_長_x0017__x000d_筬U_x0001_??_x0007__x0001__x0001_" xfId="32"/>
    <cellStyle name="??&amp;O?&amp;H?_x0008__x000f__x0007_?_x0007__x0001__x0001_" xfId="2725"/>
    <cellStyle name="??&amp;O?&amp;H?_x0008_??_x0007__x0001__x0001_" xfId="2726"/>
    <cellStyle name="??&amp;O?&amp;H?_x0008_??_x0007__x0001__x0001_ 2" xfId="2727"/>
    <cellStyle name="??&amp;O?&amp;H?_x0008_??_x0007__x0001__x0001_ 3" xfId="2728"/>
    <cellStyle name="??&amp;O?&amp;H?_x0008_]_x0019_1_x001a__x0007__x0001__x0001_" xfId="4929"/>
    <cellStyle name="???? [0.00]_PRODUCT DETAIL Q1can " xfId="2729"/>
    <cellStyle name="????_PRODUCT DETAIL Q3 (2) Q3 " xfId="2730"/>
    <cellStyle name="?W?_laroux" xfId="4930"/>
    <cellStyle name="_   급  여  " xfId="2731"/>
    <cellStyle name="_  COSS 집계  " xfId="2732"/>
    <cellStyle name="_(9월~12월) 하반기 접대비 예산배포_프로젝트팀" xfId="2733"/>
    <cellStyle name="_(ver-0110) 2007_12월결산_BTN" xfId="2734"/>
    <cellStyle name="_(ver-0212) 월 ASP매출분석(0712월 vs. 0801월)_BTN" xfId="2735"/>
    <cellStyle name="_(ver-0324) 2008년 뱅크타운+이니텍 인원계획" xfId="2736"/>
    <cellStyle name="_(ver-0805) 2008년 통합예산" xfId="2737"/>
    <cellStyle name="_(ver-0806) 6월(누적) 예실분석(제조부서)" xfId="2738"/>
    <cellStyle name="_(ver-0806) 6월(누적) 예실분석_판관비" xfId="2739"/>
    <cellStyle name="_(ver-0807-2) 이니텍 6월누적 손익보고" xfId="2740"/>
    <cellStyle name="_(ver-0811) 06월 예실적분석_이니텍" xfId="2741"/>
    <cellStyle name="_(ver-0811) 06월(누적) 사업본부별 예실적보고" xfId="2742"/>
    <cellStyle name="_(ver-0821-1) 이니텍 7월누적 손익보고 - 솔루션COSS,IT직접비" xfId="2743"/>
    <cellStyle name="_(ver-0827-3)이니텍(주) 사업본부별 통합손익" xfId="2744"/>
    <cellStyle name="_(Ver-1214,기존재추정) 0711월_손익보고_더존DB" xfId="2745"/>
    <cellStyle name="_(ver2-0211,최종) 2008년 사업계획(세부)_뱅크타운" xfId="2746"/>
    <cellStyle name="_(ver2-0922) 08월 예실적분석_이니텍" xfId="2747"/>
    <cellStyle name="_(전국)주파수통합일정" xfId="4931"/>
    <cellStyle name="_■ 2006년사업계획(자재운영)-051013" xfId="2748"/>
    <cellStyle name="_■ 2006년사업계획(자재운영)-051020" xfId="2749"/>
    <cellStyle name="_00 2004년 플랫폼 유지보수계약 Total-예산기준-이시홍" xfId="4932"/>
    <cellStyle name="_00 2004년 플랫폼 유지보수계약 Total-인계기준-new0513" xfId="4933"/>
    <cellStyle name="_017 HLR이설용 장비 설계서-이성인" xfId="4934"/>
    <cellStyle name="_017기지국광중계기철거현황(020129)" xfId="4935"/>
    <cellStyle name="_017로밍계획" xfId="4936"/>
    <cellStyle name="_02_환경개선공사원가계산서(합동전자-0924)" xfId="4937"/>
    <cellStyle name="_021009_CATS견적_예산(조규열)" xfId="4938"/>
    <cellStyle name="_'02년 ACCESS망 추가 투자사업 내역(020703B)" xfId="4939"/>
    <cellStyle name="_'02년 추가사업 2차 변경 내역(020829A)" xfId="4940"/>
    <cellStyle name="_'02초과이윤분석-030428" xfId="4941"/>
    <cellStyle name="_'03 지하철환경개선국소" xfId="4942"/>
    <cellStyle name="_030926_CATS Package 검증 견적서(2004년 예산용)" xfId="4943"/>
    <cellStyle name="_030926_SK텔레콤견적서_20030926_네트웍" xfId="4944"/>
    <cellStyle name="_03기지국망환경개선_ver2" xfId="4945"/>
    <cellStyle name="_03년도전력투자예산(TE)" xfId="4946"/>
    <cellStyle name="_03년운용투자사업계획(김영습)" xfId="4947"/>
    <cellStyle name="_03년운용투자사업수립(박철홍)수정" xfId="4948"/>
    <cellStyle name="_'03년투자사업수립지침_부산(최종)" xfId="4949"/>
    <cellStyle name="_03전송실환경개선_ver2" xfId="4950"/>
    <cellStyle name="_03중심국이설공사_ver3" xfId="4951"/>
    <cellStyle name="_03중심국환경개선_ver2" xfId="4952"/>
    <cellStyle name="_05년10월결산보고(본사)" xfId="2750"/>
    <cellStyle name="_05년10월결산보고(본사)-20051116" xfId="2751"/>
    <cellStyle name="_05사업계획총괄-04.11.29" xfId="2752"/>
    <cellStyle name="_061126_매출원가심의(총괄표_1차)" xfId="2753"/>
    <cellStyle name="_06사업계획(전산운영)rev1 " xfId="2754"/>
    <cellStyle name="_080909_08년 Widget 1차 추가 개발" xfId="4953"/>
    <cellStyle name="_10 03년계획vs04년현황" xfId="4954"/>
    <cellStyle name="_11월결산(본사)" xfId="2755"/>
    <cellStyle name="_19 통신료(전용회선)" xfId="2756"/>
    <cellStyle name="_1파트견적" xfId="4955"/>
    <cellStyle name="_2003광주공장LAY-OUT" xfId="2757"/>
    <cellStyle name="_2003년도운용투자(CORE1팀)" xfId="4956"/>
    <cellStyle name="_2003년도운용투자예산(CORE3팀)" xfId="4957"/>
    <cellStyle name="_2003년운용투자(코아3팀)" xfId="4958"/>
    <cellStyle name="_2003년운용투자비용(코아3팀)" xfId="4959"/>
    <cellStyle name="_2003년운용투자예산작성(서부)" xfId="4960"/>
    <cellStyle name="_2003운용투자(노후대개체등)_수정분(김영습)" xfId="4961"/>
    <cellStyle name="_2006년 사업계획(투자)_20051114-20051114" xfId="2758"/>
    <cellStyle name="_2006년 포장자재비볼륨(사업계획)_최종_20051020" xfId="2759"/>
    <cellStyle name="_2006년도 CKD운영팀 투자계획" xfId="2760"/>
    <cellStyle name="_2006투자예산(경주A)" xfId="2761"/>
    <cellStyle name="_2006투자예산(경주A)-20051019" xfId="2762"/>
    <cellStyle name="_2008년 1월 EXCO Meeting자료" xfId="2763"/>
    <cellStyle name="_2008년 3월 EXCO첨부자료" xfId="2764"/>
    <cellStyle name="_2008년 6월 이니통홥 손익(텍스트)" xfId="2765"/>
    <cellStyle name="_2008년 통합예산 - 손익포함 final" xfId="2766"/>
    <cellStyle name="_2008년_이니텍_뱅크타운_통합통합 매출목표_20080313v01(수정)" xfId="2767"/>
    <cellStyle name="_2262 WTB2003_이채널의 워크시트" xfId="2768"/>
    <cellStyle name="_2262 WTB2003-sck의 워크시트" xfId="2769"/>
    <cellStyle name="_25,말일전기요금" xfId="4962"/>
    <cellStyle name="_2월분 부품 출하(매출반영분) - CKD 운영팀 050308-20050314" xfId="2770"/>
    <cellStyle name="_2차-2006년 사업계획 추정" xfId="2771"/>
    <cellStyle name="_63510_기지국임차료(최종)" xfId="4963"/>
    <cellStyle name="_7-15" xfId="33"/>
    <cellStyle name="_Ⅱ-2. 매출계획(영업) (2)" xfId="2772"/>
    <cellStyle name="_BiVerT-030319" xfId="4964"/>
    <cellStyle name="_BS-04.12.06" xfId="2773"/>
    <cellStyle name="_CFS_200510" xfId="2774"/>
    <cellStyle name="_CKD추진상세일정-20031217-20031218" xfId="2775"/>
    <cellStyle name="_Comma" xfId="4965"/>
    <cellStyle name="_Comma_2003 기지국 전기료 ERP분석자료(10.13)1" xfId="4966"/>
    <cellStyle name="_console master-skt-1014" xfId="4967"/>
    <cellStyle name="_Currency" xfId="4968"/>
    <cellStyle name="_Currency_2003 기지국 전기료 ERP분석자료(10.13)1" xfId="4969"/>
    <cellStyle name="_CurrencySpace" xfId="4970"/>
    <cellStyle name="_EMC가격(삼테크)" xfId="4971"/>
    <cellStyle name="_EXCO엑셀자료(2008 01)" xfId="2776"/>
    <cellStyle name="_EXCO엑셀자료(2008 01,조대리자료)" xfId="2777"/>
    <cellStyle name="_GOF2005-092" xfId="2778"/>
    <cellStyle name="_HLR OMP교체 (sun blade견적)" xfId="4972"/>
    <cellStyle name="_HMMA LDC분석(030512)" xfId="2779"/>
    <cellStyle name="_Intel" xfId="4973"/>
    <cellStyle name="_IODPS(수도권)_1018" xfId="4974"/>
    <cellStyle name="_IS" xfId="2780"/>
    <cellStyle name="_IST_HW_020529_01_오일뱅크(570RACK)" xfId="4975"/>
    <cellStyle name="_JCI 물류비 40FT 4차 산출(박종석,1100대분)-051011" xfId="2781"/>
    <cellStyle name="_KM부품고검토안2차_030902의장" xfId="2782"/>
    <cellStyle name="_KM부품고검토안3차_030908" xfId="2783"/>
    <cellStyle name="_KM부품고최종보고_030916" xfId="2784"/>
    <cellStyle name="_KM업무추진일정(TFT-04월4차)-04.4.23." xfId="2785"/>
    <cellStyle name="_LDC산출(NF2.4_GL_MT)Rev2(HMMA회신기준)" xfId="2786"/>
    <cellStyle name="_LDC산출(NF3.3_GLS_AT)Rev2(HMMA회신기준)" xfId="2787"/>
    <cellStyle name="_LGH_2004년재무제표_잉여금처분계산서" xfId="2788"/>
    <cellStyle name="_Multiple" xfId="4976"/>
    <cellStyle name="_Multiple_2003 기지국 전기료 ERP분석자료(10.13)1" xfId="4977"/>
    <cellStyle name="_MultipleSpace" xfId="4978"/>
    <cellStyle name="_MultipleSpace_2003 기지국 전기료 ERP분석자료(10.13)1" xfId="4979"/>
    <cellStyle name="_NF MASTER(040202기준) 040217_YWG BJ송부 대외문첨부" xfId="2789"/>
    <cellStyle name="_NF_삼립산업_서열비_분석양식" xfId="2790"/>
    <cellStyle name="_NF_삼립산업_서열비_분석양식 20040816" xfId="2791"/>
    <cellStyle name="_NGM 예산용_HP server, storage, backup_022503" xfId="4980"/>
    <cellStyle name="_NGS견적" xfId="4981"/>
    <cellStyle name="_NW(시스코웍스)" xfId="4982"/>
    <cellStyle name="_PC견적" xfId="4983"/>
    <cellStyle name="_Percent" xfId="4984"/>
    <cellStyle name="_Percent_2003 기지국 전기료 ERP분석자료(10.13)1" xfId="4985"/>
    <cellStyle name="_PercentSpace" xfId="4986"/>
    <cellStyle name="_PercentSpace_2003 기지국 전기료 ERP분석자료(10.13)1" xfId="4987"/>
    <cellStyle name="_roaming기지국" xfId="4988"/>
    <cellStyle name="_Sheet1" xfId="2792"/>
    <cellStyle name="_Sheet2" xfId="2793"/>
    <cellStyle name="_SI개발Project_매출원가조정" xfId="2794"/>
    <cellStyle name="_SKT On-Site 교육_STRATUS" xfId="4989"/>
    <cellStyle name="_SKT On-Site 교육_Tandem" xfId="4990"/>
    <cellStyle name="_SKT_ERP-030620" xfId="4991"/>
    <cellStyle name="_견적서 - MTS 시스템 추가 구축 건.(070601)" xfId="4992"/>
    <cellStyle name="_견적서(전원감시장치)" xfId="4993"/>
    <cellStyle name="_견적서양식" xfId="4994"/>
    <cellStyle name="_경비산출현황(JIS)_040830-20040830" xfId="2795"/>
    <cellStyle name="_경비산출현황(JIS)_수정1-20040614" xfId="2796"/>
    <cellStyle name="_경비산출현황(JIS적용)-04.06.08-20040612" xfId="2797"/>
    <cellStyle name="_경비산출현황(JIT)" xfId="2798"/>
    <cellStyle name="_경비산출현황(JIT)_040825-20040825" xfId="2799"/>
    <cellStyle name="_경비산출현황(카렌스JIS)_040825-20040825" xfId="2800"/>
    <cellStyle name="_계약건별예산조정-본부양식■-0113" xfId="4995"/>
    <cellStyle name="_계약건별예산조정-본부양식■-0203" xfId="4996"/>
    <cellStyle name="_국내03안전규제대응집행예산편성표02_07_4" xfId="2801"/>
    <cellStyle name="_국내03안전규제대응집행예산품의" xfId="2802"/>
    <cellStyle name="_금융사업본부-매출정리" xfId="2803"/>
    <cellStyle name="_기존이니텍관련매출(솔루션,유지보수,ITO)" xfId="2804"/>
    <cellStyle name="_기지국Filter교체수신단분리" xfId="4997"/>
    <cellStyle name="_기지국임차료" xfId="4998"/>
    <cellStyle name="_김해전송국사" xfId="4999"/>
    <cellStyle name="_김해전송국사_03년 Access망 운용시설 환경 및 성능 개선 사업계획1" xfId="5000"/>
    <cellStyle name="_김해전송국사_03년 Access망 운용시설 환경 및 성능 개선 사업계획1_PC,비품 현황 측정기_작성중 03_0919" xfId="5001"/>
    <cellStyle name="_김해전송국사_03년 Access망 운용시설 환경 및 성능 개선 사업계획1_PC현황조사_조사중" xfId="5002"/>
    <cellStyle name="_김해전송국사_1" xfId="5003"/>
    <cellStyle name="_김해전송국사_2" xfId="5004"/>
    <cellStyle name="_김해전송국사_3" xfId="5005"/>
    <cellStyle name="_김해전송국사_4" xfId="5006"/>
    <cellStyle name="_김해전송국사_OCNS설치관련 사업 계획서_수정" xfId="5007"/>
    <cellStyle name="_김해전송국사_OCNS설치관련 사업 계획서_수정_PC,비품 현황 측정기_작성중 03_0919" xfId="5008"/>
    <cellStyle name="_김해전송국사_OCNS설치관련 사업 계획서_수정_PC현황조사_조사중" xfId="5009"/>
    <cellStyle name="_김해전송국사_PC,비품 현황 측정기_작성중 03_0919" xfId="5010"/>
    <cellStyle name="_김해전송국사_PC현황조사_조사중" xfId="5011"/>
    <cellStyle name="_김해전송국사_사업 계획서 수정(수도권)Access망_1018" xfId="5012"/>
    <cellStyle name="_김해전송국사_사업 계획서 수정(수도권)Access망_1018_PC,비품 현황 측정기_작성중 03_0919" xfId="5013"/>
    <cellStyle name="_김해전송국사_사업 계획서 수정(수도권)Access망_1018_PC현황조사_조사중" xfId="5014"/>
    <cellStyle name="_남상기지국사 보강공사" xfId="5015"/>
    <cellStyle name="_남상기지국사 보강공사_03년 Access망 운용시설 환경 및 성능 개선 사업계획1" xfId="5016"/>
    <cellStyle name="_남상기지국사 보강공사_03년 Access망 운용시설 환경 및 성능 개선 사업계획1_PC,비품 현황 측정기_작성중 03_0919" xfId="5017"/>
    <cellStyle name="_남상기지국사 보강공사_03년 Access망 운용시설 환경 및 성능 개선 사업계획1_PC현황조사_조사중" xfId="5018"/>
    <cellStyle name="_남상기지국사 보강공사_1" xfId="5019"/>
    <cellStyle name="_남상기지국사 보강공사_2" xfId="5020"/>
    <cellStyle name="_남상기지국사 보강공사_3" xfId="5021"/>
    <cellStyle name="_남상기지국사 보강공사_4" xfId="5022"/>
    <cellStyle name="_남상기지국사 보강공사_OCNS설치관련 사업 계획서_수정" xfId="5023"/>
    <cellStyle name="_남상기지국사 보강공사_OCNS설치관련 사업 계획서_수정_PC,비품 현황 측정기_작성중 03_0919" xfId="5024"/>
    <cellStyle name="_남상기지국사 보강공사_OCNS설치관련 사업 계획서_수정_PC현황조사_조사중" xfId="5025"/>
    <cellStyle name="_남상기지국사 보강공사_PC,비품 현황 측정기_작성중 03_0919" xfId="5026"/>
    <cellStyle name="_남상기지국사 보강공사_PC현황조사_조사중" xfId="5027"/>
    <cellStyle name="_남상기지국사 보강공사_사업 계획서 수정(수도권)Access망_1018" xfId="5028"/>
    <cellStyle name="_남상기지국사 보강공사_사업 계획서 수정(수도권)Access망_1018_PC,비품 현황 측정기_작성중 03_0919" xfId="5029"/>
    <cellStyle name="_남상기지국사 보강공사_사업 계획서 수정(수도권)Access망_1018_PC현황조사_조사중" xfId="5030"/>
    <cellStyle name="_대갑견적" xfId="5031"/>
    <cellStyle name="_대갑견적1" xfId="5032"/>
    <cellStyle name="_도동현" xfId="5033"/>
    <cellStyle name="_도동현2" xfId="5034"/>
    <cellStyle name="_도동현3" xfId="5035"/>
    <cellStyle name="_디버거견적" xfId="5036"/>
    <cellStyle name="_매출계획" xfId="2805"/>
    <cellStyle name="_매출집계(2008)" xfId="2806"/>
    <cellStyle name="_매출프로젝트-개발서비스명 정리" xfId="2807"/>
    <cellStyle name="_별첨#41-QMS Server유지보수" xfId="5037"/>
    <cellStyle name="_복리후생비(기타)" xfId="2808"/>
    <cellStyle name="_부국산업 4000대 포장비 재검토-050823" xfId="2809"/>
    <cellStyle name="_부품고전후비교_030619" xfId="2810"/>
    <cellStyle name="_설계변경" xfId="5038"/>
    <cellStyle name="_설계변경_1" xfId="5039"/>
    <cellStyle name="_설계변경_2" xfId="5040"/>
    <cellStyle name="_설계변경_3" xfId="5041"/>
    <cellStyle name="_설계변경_4" xfId="5042"/>
    <cellStyle name="_수도권 020216-2002년 주파수통합 필터교체 대상국소(BTS+MC)" xfId="5043"/>
    <cellStyle name="_수도권지하철광전송시설공급(미포설구간)1" xfId="5044"/>
    <cellStyle name="_스니퍼프로" xfId="5045"/>
    <cellStyle name="_신공항전력선시설공사" xfId="5046"/>
    <cellStyle name="_신규 SCP견적1004" xfId="5047"/>
    <cellStyle name="_실비정산" xfId="5048"/>
    <cellStyle name="_실행사손익분석" xfId="2811"/>
    <cellStyle name="_예비품 구매 소요예산 견적(1)" xfId="5049"/>
    <cellStyle name="_운용시설환경성능개선(Access망)" xfId="5050"/>
    <cellStyle name="_운용팀 예산용 견적HP(20021014_1)" xfId="5051"/>
    <cellStyle name="_원광대3월수술재료" xfId="34"/>
    <cellStyle name="_원광대3월수술재료(1)" xfId="35"/>
    <cellStyle name="_원광대8월마감데이터" xfId="36"/>
    <cellStyle name="_위젯_OMC견적_20080911_2" xfId="5052"/>
    <cellStyle name="_유성기업 LDC-041215" xfId="2812"/>
    <cellStyle name="_유지보수용역 현황(최종)_0119_1100417226" xfId="5053"/>
    <cellStyle name="_은행별 손익보고자료" xfId="2813"/>
    <cellStyle name="_이니그룹인원계획수정" xfId="2814"/>
    <cellStyle name="_재무계획" xfId="2815"/>
    <cellStyle name="_전원 계약내역서(44국소)" xfId="5054"/>
    <cellStyle name="_정동기지국사 보강공사" xfId="5055"/>
    <cellStyle name="_정동기지국사 보강공사_03년 Access망 운용시설 환경 및 성능 개선 사업계획1" xfId="5056"/>
    <cellStyle name="_정동기지국사 보강공사_03년 Access망 운용시설 환경 및 성능 개선 사업계획1_PC,비품 현황 측정기_작성중 03_0919" xfId="5057"/>
    <cellStyle name="_정동기지국사 보강공사_03년 Access망 운용시설 환경 및 성능 개선 사업계획1_PC현황조사_조사중" xfId="5058"/>
    <cellStyle name="_정동기지국사 보강공사_1" xfId="5059"/>
    <cellStyle name="_정동기지국사 보강공사_2" xfId="5060"/>
    <cellStyle name="_정동기지국사 보강공사_3" xfId="5061"/>
    <cellStyle name="_정동기지국사 보강공사_4" xfId="5062"/>
    <cellStyle name="_정동기지국사 보강공사_OCNS설치관련 사업 계획서_수정" xfId="5063"/>
    <cellStyle name="_정동기지국사 보강공사_OCNS설치관련 사업 계획서_수정_PC,비품 현황 측정기_작성중 03_0919" xfId="5064"/>
    <cellStyle name="_정동기지국사 보강공사_OCNS설치관련 사업 계획서_수정_PC현황조사_조사중" xfId="5065"/>
    <cellStyle name="_정동기지국사 보강공사_PC,비품 현황 측정기_작성중 03_0919" xfId="5066"/>
    <cellStyle name="_정동기지국사 보강공사_PC현황조사_조사중" xfId="5067"/>
    <cellStyle name="_정동기지국사 보강공사_사업 계획서 수정(수도권)Access망_1018" xfId="5068"/>
    <cellStyle name="_정동기지국사 보강공사_사업 계획서 수정(수도권)Access망_1018_PC,비품 현황 측정기_작성중 03_0919" xfId="5069"/>
    <cellStyle name="_정동기지국사 보강공사_사업 계획서 수정(수도권)Access망_1018_PC현황조사_조사중" xfId="5070"/>
    <cellStyle name="_조완교(1)" xfId="5071"/>
    <cellStyle name="_조완교(2)" xfId="5072"/>
    <cellStyle name="_조완교(3)" xfId="5073"/>
    <cellStyle name="_지급수수료(기타)" xfId="2816"/>
    <cellStyle name="_첨부-cdma기지국 os용역비" xfId="5074"/>
    <cellStyle name="_첨부자료" xfId="2817"/>
    <cellStyle name="_추가사업" xfId="5075"/>
    <cellStyle name="_출장비 산출내역(기획)1-20041011" xfId="2818"/>
    <cellStyle name="_컨설팅견적서-(HP,Compaq,Sun,Tandem)" xfId="5076"/>
    <cellStyle name="_컨설팅견적서-Stratus" xfId="5077"/>
    <cellStyle name="_크레인 작업의뢰서" xfId="2819"/>
    <cellStyle name="_퇴충명세서-20050712" xfId="2820"/>
    <cellStyle name="_투자방안 및 수익성 검토(감가비 제외041112)" xfId="2821"/>
    <cellStyle name="_투자방안 및 수익성 검토(감가비 제외041112)-20041129" xfId="2822"/>
    <cellStyle name="_투자품의서 (트럭케노피)" xfId="2823"/>
    <cellStyle name="_현대정보기술-030612-eCrux5000" xfId="5078"/>
    <cellStyle name="’E‰Y [0.00]_laroux" xfId="5079"/>
    <cellStyle name="’E‰Y_laroux" xfId="5080"/>
    <cellStyle name="¤@?e_TEST-1 " xfId="2824"/>
    <cellStyle name="=C:\WINDOWS\SYSTEM32\COMMAND.COM" xfId="2825"/>
    <cellStyle name="▬Ƃښb◄Ƃڪb◤Ƃںb☌Ƃۊb⤼Ƃۚb⥨Ƃ۪b⦈Ƃۺb⦨Ƃ܊b⧌Ƃܚb☰Ƃܪb♈Ƃܺb♬Ƃ݊b⚜Ƃݚb⛘Ƃݪb⧨Ƃݺb⨤Ƃފb⩔Ƃޚb⩸Ƃުb⪤Ƃ޺b ƂߊbÀƂߚbàƂߪbĄƂߺbĠƂࠊbļƂ" xfId="2826"/>
    <cellStyle name="┄Ƃيb┰Ƃٚb═Ƃ٪b╼Ƃٺb▔Ƃڊb▬Ƃښb◄Ƃڪb◤Ƃںb☌Ƃۊb⤼Ƃۚb⥨Ƃ۪b⦈Ƃۺb⦨Ƃ܊b⧌Ƃܚb☰Ƃܪb♈Ƃܺb♬Ƃ݊b⚜Ƃݚb⛘Ƃݪb⧨Ƃݺb⨤Ƃފb⩔Ƃޚb⩸Ƃުb⪤Ƃ޺b Ƃ" xfId="2827"/>
    <cellStyle name="°iA¤Aa·A2_10¿u2WA¸ºI " xfId="2828"/>
    <cellStyle name="∬Ƃ؊b≈Ƃؚb≰ƂتbⓨƂغb┄Ƃيb┰Ƃٚb═Ƃ٪b╼Ƃٺb▔Ƃڊb▬Ƃښb◄Ƃڪb◤Ƃںb☌Ƃۊb⤼Ƃۚb⥨Ƃ۪b⦈Ƃۺb⦨Ƃ܊b⧌Ƃܚb☰Ƃܪb♈Ƃܺb♬Ƃ݊b⚜Ƃݚb⛘Ƃݪb⧨Ƃݺb⨤Ƃ" xfId="2829"/>
    <cellStyle name="•W_laroux" xfId="5081"/>
    <cellStyle name="" xfId="5082"/>
    <cellStyle name="æØè [0.00]_PRODUCT DETAIL Q1" xfId="2830"/>
    <cellStyle name="æØè_PRODUCT DETAIL Q1" xfId="2831"/>
    <cellStyle name="ÊÝ [0.00]_PRODUCT DETAIL Q1" xfId="2832"/>
    <cellStyle name="ÊÝ_PRODUCT DETAIL Q1" xfId="2833"/>
    <cellStyle name="W?_BOOKSHIP_½ÇÀûÇöÈ² " xfId="2834"/>
    <cellStyle name="W_BOOKSHIP" xfId="2835"/>
    <cellStyle name="0" xfId="2836"/>
    <cellStyle name="0%" xfId="5083"/>
    <cellStyle name="0.0%" xfId="5084"/>
    <cellStyle name="0.00%" xfId="5085"/>
    <cellStyle name="0.000%" xfId="5086"/>
    <cellStyle name="0.0000%" xfId="5087"/>
    <cellStyle name="0_~MF0001" xfId="2837"/>
    <cellStyle name="0_~MF0004" xfId="2838"/>
    <cellStyle name="0_~MF0562" xfId="2839"/>
    <cellStyle name="0_~MF0B5B" xfId="2840"/>
    <cellStyle name="0_~MF0F3F" xfId="2841"/>
    <cellStyle name="0_~MF1943" xfId="2842"/>
    <cellStyle name="0_~MF2839" xfId="2843"/>
    <cellStyle name="0_~MF3317" xfId="2844"/>
    <cellStyle name="0_~MF381F" xfId="2845"/>
    <cellStyle name="0_10월 근태" xfId="2846"/>
    <cellStyle name="0_10월근태" xfId="2847"/>
    <cellStyle name="0_11월 근태" xfId="2848"/>
    <cellStyle name="0_12월 근태" xfId="2849"/>
    <cellStyle name="0_1월근태" xfId="2850"/>
    <cellStyle name="0_2월근태" xfId="2851"/>
    <cellStyle name="0_3월근태" xfId="2852"/>
    <cellStyle name="0_4월근태" xfId="2853"/>
    <cellStyle name="0_5월근태" xfId="2854"/>
    <cellStyle name="0_6월근태" xfId="2855"/>
    <cellStyle name="0_6월근태1" xfId="2856"/>
    <cellStyle name="0_7월근태" xfId="2857"/>
    <cellStyle name="0_8월 근태" xfId="2858"/>
    <cellStyle name="0_8월근태" xfId="2859"/>
    <cellStyle name="0_9월 근태" xfId="2860"/>
    <cellStyle name="0_중합" xfId="2861"/>
    <cellStyle name="0_직원근태(최신)" xfId="2862"/>
    <cellStyle name="0뾍R_x0005_?뾍b_x0005_" xfId="2863"/>
    <cellStyle name="1" xfId="5088"/>
    <cellStyle name="1 000 K?_RESULTS" xfId="2864"/>
    <cellStyle name="¹eºÐA²_±aA¸" xfId="2865"/>
    <cellStyle name="20% - Accent1" xfId="4877"/>
    <cellStyle name="20% - Accent2" xfId="4876"/>
    <cellStyle name="20% - Accent3" xfId="4879"/>
    <cellStyle name="20% - Accent4" xfId="4875"/>
    <cellStyle name="20% - Accent5" xfId="4874"/>
    <cellStyle name="20% - Accent6" xfId="4873"/>
    <cellStyle name="20% - 강조색1 2" xfId="37"/>
    <cellStyle name="20% - 강조색1 2 2" xfId="38"/>
    <cellStyle name="20% - 강조색1 2 3" xfId="2866"/>
    <cellStyle name="20% - 강조색1 3" xfId="39"/>
    <cellStyle name="20% - 강조색1 4" xfId="40"/>
    <cellStyle name="20% - 강조색1 5" xfId="41"/>
    <cellStyle name="20% - 강조색1 6" xfId="42"/>
    <cellStyle name="20% - 강조색2 2" xfId="43"/>
    <cellStyle name="20% - 강조색2 2 2" xfId="44"/>
    <cellStyle name="20% - 강조색2 2 3" xfId="2867"/>
    <cellStyle name="20% - 강조색2 3" xfId="45"/>
    <cellStyle name="20% - 강조색2 4" xfId="46"/>
    <cellStyle name="20% - 강조색2 5" xfId="47"/>
    <cellStyle name="20% - 강조색2 6" xfId="48"/>
    <cellStyle name="20% - 강조색3 2" xfId="49"/>
    <cellStyle name="20% - 강조색3 2 2" xfId="50"/>
    <cellStyle name="20% - 강조색3 2 3" xfId="2868"/>
    <cellStyle name="20% - 강조색3 3" xfId="51"/>
    <cellStyle name="20% - 강조색3 4" xfId="52"/>
    <cellStyle name="20% - 강조색3 5" xfId="53"/>
    <cellStyle name="20% - 강조색3 6" xfId="54"/>
    <cellStyle name="20% - 강조색4 2" xfId="55"/>
    <cellStyle name="20% - 강조색4 2 2" xfId="56"/>
    <cellStyle name="20% - 강조색4 2 3" xfId="2869"/>
    <cellStyle name="20% - 강조색4 3" xfId="57"/>
    <cellStyle name="20% - 강조색4 4" xfId="58"/>
    <cellStyle name="20% - 강조색4 5" xfId="59"/>
    <cellStyle name="20% - 강조색4 6" xfId="60"/>
    <cellStyle name="20% - 강조색5 2" xfId="61"/>
    <cellStyle name="20% - 강조색5 2 2" xfId="62"/>
    <cellStyle name="20% - 강조색5 2 3" xfId="2870"/>
    <cellStyle name="20% - 강조색5 3" xfId="63"/>
    <cellStyle name="20% - 강조색5 4" xfId="64"/>
    <cellStyle name="20% - 강조색5 5" xfId="65"/>
    <cellStyle name="20% - 강조색5 6" xfId="66"/>
    <cellStyle name="20% - 강조색6 2" xfId="67"/>
    <cellStyle name="20% - 강조색6 2 2" xfId="68"/>
    <cellStyle name="20% - 강조색6 2 3" xfId="2871"/>
    <cellStyle name="20% - 강조색6 3" xfId="69"/>
    <cellStyle name="20% - 강조색6 4" xfId="70"/>
    <cellStyle name="20% - 강조색6 5" xfId="71"/>
    <cellStyle name="20% - 강조색6 6" xfId="72"/>
    <cellStyle name="200" xfId="2872"/>
    <cellStyle name="40% - Accent1" xfId="4872"/>
    <cellStyle name="40% - Accent2" xfId="4871"/>
    <cellStyle name="40% - Accent3" xfId="4830"/>
    <cellStyle name="40% - Accent4" xfId="4831"/>
    <cellStyle name="40% - Accent5" xfId="4832"/>
    <cellStyle name="40% - Accent6" xfId="4833"/>
    <cellStyle name="40% - 강조색1 2" xfId="73"/>
    <cellStyle name="40% - 강조색1 2 2" xfId="74"/>
    <cellStyle name="40% - 강조색1 2 3" xfId="2873"/>
    <cellStyle name="40% - 강조색1 3" xfId="75"/>
    <cellStyle name="40% - 강조색1 4" xfId="76"/>
    <cellStyle name="40% - 강조색1 5" xfId="77"/>
    <cellStyle name="40% - 강조색1 6" xfId="78"/>
    <cellStyle name="40% - 강조색2 2" xfId="79"/>
    <cellStyle name="40% - 강조색2 2 2" xfId="80"/>
    <cellStyle name="40% - 강조색2 2 3" xfId="2874"/>
    <cellStyle name="40% - 강조색2 3" xfId="81"/>
    <cellStyle name="40% - 강조색2 4" xfId="82"/>
    <cellStyle name="40% - 강조색2 5" xfId="83"/>
    <cellStyle name="40% - 강조색2 6" xfId="84"/>
    <cellStyle name="40% - 강조색3 2" xfId="85"/>
    <cellStyle name="40% - 강조색3 2 2" xfId="86"/>
    <cellStyle name="40% - 강조색3 2 3" xfId="2875"/>
    <cellStyle name="40% - 강조색3 3" xfId="87"/>
    <cellStyle name="40% - 강조색3 4" xfId="88"/>
    <cellStyle name="40% - 강조색3 5" xfId="89"/>
    <cellStyle name="40% - 강조색3 6" xfId="90"/>
    <cellStyle name="40% - 강조색4 2" xfId="91"/>
    <cellStyle name="40% - 강조색4 2 2" xfId="92"/>
    <cellStyle name="40% - 강조색4 2 3" xfId="2876"/>
    <cellStyle name="40% - 강조색4 3" xfId="93"/>
    <cellStyle name="40% - 강조색4 4" xfId="94"/>
    <cellStyle name="40% - 강조색4 5" xfId="95"/>
    <cellStyle name="40% - 강조색4 6" xfId="96"/>
    <cellStyle name="40% - 강조색5 2" xfId="97"/>
    <cellStyle name="40% - 강조색5 2 2" xfId="98"/>
    <cellStyle name="40% - 강조색5 2 3" xfId="2877"/>
    <cellStyle name="40% - 강조색5 3" xfId="99"/>
    <cellStyle name="40% - 강조색5 4" xfId="100"/>
    <cellStyle name="40% - 강조색5 5" xfId="101"/>
    <cellStyle name="40% - 강조색5 6" xfId="102"/>
    <cellStyle name="40% - 강조색6 2" xfId="103"/>
    <cellStyle name="40% - 강조색6 2 2" xfId="104"/>
    <cellStyle name="40% - 강조색6 2 3" xfId="2878"/>
    <cellStyle name="40% - 강조색6 3" xfId="105"/>
    <cellStyle name="40% - 강조색6 4" xfId="106"/>
    <cellStyle name="40% - 강조색6 5" xfId="107"/>
    <cellStyle name="40% - 강조색6 6" xfId="108"/>
    <cellStyle name="60% - Accent1" xfId="4868"/>
    <cellStyle name="60% - Accent2" xfId="4834"/>
    <cellStyle name="60% - Accent3" xfId="4835"/>
    <cellStyle name="60% - Accent4" xfId="4867"/>
    <cellStyle name="60% - Accent5" xfId="4836"/>
    <cellStyle name="60% - Accent6" xfId="4837"/>
    <cellStyle name="60% - 강조색1 2" xfId="109"/>
    <cellStyle name="60% - 강조색1 2 2" xfId="110"/>
    <cellStyle name="60% - 강조색1 2 3" xfId="2879"/>
    <cellStyle name="60% - 강조색1 3" xfId="111"/>
    <cellStyle name="60% - 강조색1 4" xfId="112"/>
    <cellStyle name="60% - 강조색1 5" xfId="113"/>
    <cellStyle name="60% - 강조색1 6" xfId="114"/>
    <cellStyle name="60% - 강조색2 2" xfId="115"/>
    <cellStyle name="60% - 강조색2 2 2" xfId="116"/>
    <cellStyle name="60% - 강조색2 2 3" xfId="2880"/>
    <cellStyle name="60% - 강조색2 3" xfId="117"/>
    <cellStyle name="60% - 강조색2 4" xfId="118"/>
    <cellStyle name="60% - 강조색2 5" xfId="119"/>
    <cellStyle name="60% - 강조색2 6" xfId="120"/>
    <cellStyle name="60% - 강조색3 2" xfId="121"/>
    <cellStyle name="60% - 강조색3 2 2" xfId="122"/>
    <cellStyle name="60% - 강조색3 2 3" xfId="2881"/>
    <cellStyle name="60% - 강조색3 3" xfId="123"/>
    <cellStyle name="60% - 강조색3 4" xfId="124"/>
    <cellStyle name="60% - 강조색3 5" xfId="125"/>
    <cellStyle name="60% - 강조색3 6" xfId="126"/>
    <cellStyle name="60% - 강조색4 2" xfId="127"/>
    <cellStyle name="60% - 강조색4 2 2" xfId="128"/>
    <cellStyle name="60% - 강조색4 2 3" xfId="2882"/>
    <cellStyle name="60% - 강조색4 3" xfId="129"/>
    <cellStyle name="60% - 강조색4 4" xfId="130"/>
    <cellStyle name="60% - 강조색4 5" xfId="131"/>
    <cellStyle name="60% - 강조색4 6" xfId="132"/>
    <cellStyle name="60% - 강조색5 2" xfId="133"/>
    <cellStyle name="60% - 강조색5 2 2" xfId="134"/>
    <cellStyle name="60% - 강조색5 2 3" xfId="2883"/>
    <cellStyle name="60% - 강조색5 3" xfId="135"/>
    <cellStyle name="60% - 강조색5 4" xfId="136"/>
    <cellStyle name="60% - 강조색5 5" xfId="137"/>
    <cellStyle name="60% - 강조색5 6" xfId="138"/>
    <cellStyle name="60% - 강조색6 2" xfId="139"/>
    <cellStyle name="60% - 강조색6 2 2" xfId="140"/>
    <cellStyle name="60% - 강조색6 2 3" xfId="2884"/>
    <cellStyle name="60% - 강조색6 3" xfId="141"/>
    <cellStyle name="60% - 강조색6 4" xfId="142"/>
    <cellStyle name="60% - 강조색6 5" xfId="143"/>
    <cellStyle name="60% - 강조색6 6" xfId="144"/>
    <cellStyle name="7" xfId="2885"/>
    <cellStyle name="7_(사업계획수정) 월별매출조정_발생기준" xfId="2886"/>
    <cellStyle name="7_NCsoft정산표_2002 v.9.0" xfId="2887"/>
    <cellStyle name="7_NCsoft정산표_2002 v.9.0_(사업계획수정) 월별매출조정_발생기준" xfId="2888"/>
    <cellStyle name="7_NCsoft정산표_2002 v.9.0_2003_NCsoft정산표(0201)V3.0" xfId="2889"/>
    <cellStyle name="7_NCsoft정산표_2002 v.9.0_2003_NCsoft정산표(0201)V3.0_(사업계획수정) 월별매출조정_발생기준" xfId="2890"/>
    <cellStyle name="7_NCsoft정산표_2002 v.9.0_2003_NCsoft정산표(0201)V3.0_최종_2007년사업계획(추가비용반영분)2007.04.11" xfId="2891"/>
    <cellStyle name="7_NCsoft정산표_2002 v.9.0_최종_2007년사업계획(추가비용반영분)2007.04.11" xfId="2892"/>
    <cellStyle name="7_최종_2007년사업계획(추가비용반영분)2007.04.11" xfId="2893"/>
    <cellStyle name="95262" xfId="2894"/>
    <cellStyle name="A????E???EO_96?쬾??R?쬸OBD " xfId="2895"/>
    <cellStyle name="Ä?¸¶ [0]_¸í¿¹È¸Àå°ËÅä " xfId="2896"/>
    <cellStyle name="Ä?¸¶_¸í¿¹È¸Àå°ËÅä " xfId="2897"/>
    <cellStyle name="A?R??R쭵?RE?R??REO [0]_?ER??R?쬕?ERAi?ERicAc?ER??Ri " xfId="2898"/>
    <cellStyle name="A?R??R쭵?RE?R??REO_?ER??R?쬕?ERAi?ERicAc?ER??Ri " xfId="2899"/>
    <cellStyle name="A?마 [0]_96???OBD " xfId="2900"/>
    <cellStyle name="A?마_96???OBD " xfId="2901"/>
    <cellStyle name="A¡§¡ⓒ¡E¡þ¡EO [0]_¡§¡þ¡§¡EAO" xfId="2902"/>
    <cellStyle name="A¡§¡ⓒ¡E¡þ¡EO_¡§¡þ¡§¡EAO" xfId="2903"/>
    <cellStyle name="A¨­???? [0]_2000¨?OER " xfId="2904"/>
    <cellStyle name="A¨­????_2000¨?OER " xfId="2905"/>
    <cellStyle name="A¨­￠￢￠O [0]_¡¾ⓒøA¡ÆAIA￠´ " xfId="2906"/>
    <cellStyle name="A¨­¢¬¢Ò [0]_2000¨ùOER " xfId="2907"/>
    <cellStyle name="A¨­￠￢￠O [0]_M107CDT " xfId="2908"/>
    <cellStyle name="A¨­¢¬¢Ò [0]_M107CDT " xfId="2909"/>
    <cellStyle name="A¨­￠￢￠O_¡¾ⓒøA¡ÆAIA￠´ " xfId="2910"/>
    <cellStyle name="A¨­¢¬¢Ò_2000¨ùOER " xfId="2911"/>
    <cellStyle name="A¨­￠￢￠O_M107CDT " xfId="2912"/>
    <cellStyle name="A¨­¢¬¢Ò_M107CDT " xfId="2913"/>
    <cellStyle name="A￠R¡×￠R¨I￠RE￠Rⓒ­￠REO [0]_¡ER¡§￠R¡§I¡ERAi¡ERicAc¡ER¡§￠Ri " xfId="2914"/>
    <cellStyle name="A￠R¡×￠R¨I￠RE￠Rⓒ­￠REO_¡ER¡§￠R¡§I¡ERAi¡ERicAc¡ER¡§￠Ri " xfId="2915"/>
    <cellStyle name="Accent1" xfId="4838"/>
    <cellStyle name="Accent2" xfId="4839"/>
    <cellStyle name="Accent3" xfId="4870"/>
    <cellStyle name="Accent4" xfId="4840"/>
    <cellStyle name="Accent5" xfId="4841"/>
    <cellStyle name="Accent6" xfId="4842"/>
    <cellStyle name="Actual Date" xfId="2916"/>
    <cellStyle name="AeE­ [0]_¡U¾EU￢ A¾COºn±³ " xfId="2917"/>
    <cellStyle name="ÅëÈ­ [0]_¡Ú¾ÈÜ¬ Á¾ÇÕºñ±³ " xfId="2918"/>
    <cellStyle name="AeE­ [0]_´eA÷´eA¶" xfId="2919"/>
    <cellStyle name="ÅëÈ­ [0]_±³À°ÀÏÁ¤ " xfId="2920"/>
    <cellStyle name="AeE­ [0]_±³A°AIA¤ _베네주엘라비정규" xfId="2921"/>
    <cellStyle name="ÅëÈ­ [0]_±â¾È " xfId="2922"/>
    <cellStyle name="AeE­ [0]_≫c±aÆC¸A¹æAo" xfId="2923"/>
    <cellStyle name="ÅëÈ­ [0]_°í°´½Å¿ëÆò°¡" xfId="2924"/>
    <cellStyle name="AeE­ [0]_°u¸RC×¸n_¾÷A¾º° " xfId="2925"/>
    <cellStyle name="ÅëÈ­ [0]_¼­½ÄÃ¼01_ÅõÀÔ°èÈ¹ " xfId="2926"/>
    <cellStyle name="AeE­ [0]_¼­½AAI¶÷_AoAO°eE¹ " xfId="2927"/>
    <cellStyle name="ÅëÈ­ [0]_¼­½ÄÀÏ¶÷_ÅõÀÔ°èÈ¹ " xfId="2928"/>
    <cellStyle name="AeE­ [0]_¼o¼o·a¿a¾aC￥" xfId="2929"/>
    <cellStyle name="ÅëÈ­ [0]_¼ö¼ö·á¿ä¾àÇ¥" xfId="2930"/>
    <cellStyle name="AeE­ [0]_¼oAI¼º " xfId="145"/>
    <cellStyle name="ÅëÈ­ [0]_½Ä´çÀÌÀü°èÈ¹" xfId="2931"/>
    <cellStyle name="AeE­ [0]_½A¿eμi±ÞC￥" xfId="2932"/>
    <cellStyle name="ÅëÈ­ [0]_1.ÆÇ¸Å½ÇÀû " xfId="2933"/>
    <cellStyle name="AeE­ [0]_1.ÆC¸A½CAu _~0014723" xfId="2934"/>
    <cellStyle name="ÅëÈ­ [0]_1.SUMMARY " xfId="2935"/>
    <cellStyle name="AeE­ [0]_1.SUMMARY _~0014723" xfId="2936"/>
    <cellStyle name="ÅëÈ­ [0]_1.SUMMARY _2월분 부품 출하(매출반영분) - CKD 운영팀 050308-20050314" xfId="2937"/>
    <cellStyle name="AeE­ [0]_¹æ¾E2" xfId="2938"/>
    <cellStyle name="ÅëÈ­ [0]_¹æ¾È2" xfId="2939"/>
    <cellStyle name="AeE­ [0]_¹yAIº°AoAU°eE¹" xfId="2940"/>
    <cellStyle name="ÅëÈ­ [0]_2.CONCEPT " xfId="2941"/>
    <cellStyle name="AeE­ [0]_2.CONCEPT _~0014723" xfId="2942"/>
    <cellStyle name="ÅëÈ­ [0]_2.CONCEPT _2월분 부품 출하(매출반영분) - CKD 운영팀 050308-20050314" xfId="2943"/>
    <cellStyle name="AeE­ [0]_2000³a GRACE KDQR" xfId="2944"/>
    <cellStyle name="ÅëÈ­ [0]_3.MSCHEDULE¿µ¹® " xfId="2945"/>
    <cellStyle name="AeE­ [0]_3.MSCHEDULE¿μ¹R " xfId="2946"/>
    <cellStyle name="ÅëÈ­ [0]_3PJTR°èÈ¹ " xfId="2947"/>
    <cellStyle name="AeE­ [0]_4 " xfId="2948"/>
    <cellStyle name="ÅëÈ­ [0]_4 " xfId="2949"/>
    <cellStyle name="AeE­ [0]_4 _~0014723" xfId="2950"/>
    <cellStyle name="ÅëÈ­ [0]_4 _2월분 부품 출하(매출반영분) - CKD 운영팀 050308-20050314" xfId="2951"/>
    <cellStyle name="AeE­ [0]_5-3-3-1-1.≫y≫e±¸A¶ºÐ¼R-MAT'L¡­ " xfId="2952"/>
    <cellStyle name="ÅëÈ­ [0]_6-3°æÀï·Â " xfId="2953"/>
    <cellStyle name="AeE­ [0]_7.MASTER SCHEDULE " xfId="2954"/>
    <cellStyle name="ÅëÈ­ [0]_7.MASTER SCHEDULE " xfId="2955"/>
    <cellStyle name="AeE­ [0]_7.MASTER SCHEDULE _~0014723" xfId="2956"/>
    <cellStyle name="ÅëÈ­ [0]_7.MASTER SCHEDULE _2월분 부품 출하(매출반영분) - CKD 운영팀 050308-20050314" xfId="2957"/>
    <cellStyle name="AeE­ [0]_96¾Æ½OBD " xfId="2958"/>
    <cellStyle name="ÅëÈ­ [0]_Ã¤±Ç¼­·ù" xfId="2959"/>
    <cellStyle name="AeE­ [0]_A·ºI1" xfId="2960"/>
    <cellStyle name="ÅëÈ­ [0]_Á¾ÇÕ½Å¼³ " xfId="5089"/>
    <cellStyle name="AeE­ [0]_A¾COA¶°AºÐ " xfId="5090"/>
    <cellStyle name="ÅëÈ­ [0]_Á¾ÇÕÃ¶°ÅºÐ " xfId="5091"/>
    <cellStyle name="AeE­ [0]_AI¿ø°eE¹ _1¿￢±¸¼O (°￠ÆAº°) " xfId="2961"/>
    <cellStyle name="ÅëÈ­ [0]_ÀÎ¿ø°èÈ¹ _1¿¬±¸¼Ò (°¢ÆÀº°) " xfId="2962"/>
    <cellStyle name="AeE­ [0]_AI¿ø°eE¹ _1¿￢±¸¼O (°￠ÆAº°) _베네주엘라비정규" xfId="2963"/>
    <cellStyle name="ÅëÈ­ [0]_ÀÎ¿ø°èÈ¹ _2월분 부품 출하(매출반영분) - CKD 운영팀 050308-20050314" xfId="2964"/>
    <cellStyle name="AeE­ [0]_AI¿ø°eE¹ _C￥Ao _베네주엘라비정규" xfId="2965"/>
    <cellStyle name="ÅëÈ­ [0]_ÀÎ¿ø¹× Á¶Á÷(96.5.2.) " xfId="2966"/>
    <cellStyle name="AeE­ [0]_AN°yº¸°i-Aß°¡Ay°¨ " xfId="2967"/>
    <cellStyle name="ÅëÈ­ [0]_ÃÖÁ¾ÀÏÁ¤ " xfId="2968"/>
    <cellStyle name="AeE­ [0]_AOA¾AIA¤ _~0014723" xfId="2969"/>
    <cellStyle name="ÅëÈ­ [0]_Ç° " xfId="2970"/>
    <cellStyle name="AeE­ [0]_CN°eAIAI96³a" xfId="2971"/>
    <cellStyle name="ÅëÈ­ [0]_EF PAD " xfId="2972"/>
    <cellStyle name="AeE­ [0]_F006-1A÷ " xfId="2973"/>
    <cellStyle name="ÅëÈ­ [0]_FLOW_CELSIOR " xfId="2974"/>
    <cellStyle name="AeE­ [0]_INQUIRY ¿μ¾÷AßAø " xfId="2975"/>
    <cellStyle name="ÅëÈ­ [0]_laroux" xfId="2976"/>
    <cellStyle name="AeE­ [0]_LZ BODY ¹RA|A¡" xfId="2977"/>
    <cellStyle name="ÅëÈ­ [0]_MKN-M1.1 " xfId="2978"/>
    <cellStyle name="AeE­ [0]_º?°æ³≫¿ª" xfId="2979"/>
    <cellStyle name="ÅëÈ­ [0]_º¸°í¾ç½Ä" xfId="2980"/>
    <cellStyle name="AeE­ [0]_º≫≫c½AAøAI¹Y" xfId="2981"/>
    <cellStyle name="ÅëÈ­ [0]_ºÐ·ù±â01_ÅõÀÔ°èÈ¹ " xfId="2982"/>
    <cellStyle name="AeE­ [0]_ºÐ·u±a02_AoAO°eE¹ " xfId="2983"/>
    <cellStyle name="ÅëÈ­ [0]_ºÐ·ù±â02_ÅõÀÔ°èÈ¹ " xfId="2984"/>
    <cellStyle name="AeE­ [0]_ºÐ·u±a03_AoAO°eE¹ " xfId="2985"/>
    <cellStyle name="ÅëÈ­ [0]_ºÐ·ù±â03_ÅõÀÔ°èÈ¹ " xfId="2986"/>
    <cellStyle name="AeE­ [0]_ºÐ·u±aAØ_AoAO°eE¹ " xfId="2987"/>
    <cellStyle name="ÅëÈ­ [0]_ºÐ·ù±âÁØ_ÅõÀÔ°èÈ¹ " xfId="2988"/>
    <cellStyle name="AeE­ [0]_ºÐ·u±aE￡_AoAO°eE¹ " xfId="2989"/>
    <cellStyle name="ÅëÈ­ [0]_ºÐ·ù±âÈ£_ÅõÀÔ°èÈ¹ " xfId="2990"/>
    <cellStyle name="AeE­ [0]_ºn¿e¿¹≫e" xfId="2991"/>
    <cellStyle name="ÅëÈ­ [0]_SAMPLE " xfId="2992"/>
    <cellStyle name="AeE­ [0]_SAMPLE _~0014723" xfId="2993"/>
    <cellStyle name="ÅëÈ­ [0]_SAMPLE _2월분 부품 출하(매출반영분) - CKD 운영팀 050308-20050314" xfId="2994"/>
    <cellStyle name="AeE­ [0]_Sheet1" xfId="2995"/>
    <cellStyle name="ÅëÈ­ [0]_Sheet1" xfId="2996"/>
    <cellStyle name="AeE­ [0]_Sheet1 (2)_1.SUMMARY _~0014723" xfId="2997"/>
    <cellStyle name="ÅëÈ­ [0]_Sheet1_±¸¸Å¿äÃ» PRESSX)P)TS)2)be " xfId="2998"/>
    <cellStyle name="AeE­ [0]_Sheet1_1.SUMMARY " xfId="2999"/>
    <cellStyle name="ÅëÈ­ [0]_Sheet1_1.SUMMARY " xfId="3000"/>
    <cellStyle name="AeE­ [0]_Sheet1_1.SUMMARY _2월분 부품 출하(매출반영분) - CKD 운영팀 050308-20050314" xfId="3001"/>
    <cellStyle name="ÅëÈ­ [0]_Sheet1_1.SUMMARY _2월분 부품 출하(매출반영분) - CKD 운영팀 050308-20050314" xfId="3002"/>
    <cellStyle name="AeE­ [0]_Sheet1_3.MSCHEDULE¿μ¹R " xfId="3003"/>
    <cellStyle name="ÅëÈ­ [0]_Sheet1_ÃÖÁ¾ÀÏÁ¤ " xfId="3004"/>
    <cellStyle name="AeE­ [0]_Sheet1_XD AOA¾AIA¤ " xfId="3005"/>
    <cellStyle name="ÅëÈ­ [0]_Sheet1_XD ÃÖÁ¾ÀÏÁ¤ " xfId="3006"/>
    <cellStyle name="AeE­ [0]_SMG-CKD-d1.1 " xfId="3007"/>
    <cellStyle name="ÅëÈ­ [0]_SMG-CKD-d1.1 " xfId="3008"/>
    <cellStyle name="AeE­ [0]_SMG-CKD-d1.1 _2월분 부품 출하(매출반영분) - CKD 운영팀 050308-20050314" xfId="3009"/>
    <cellStyle name="ÅëÈ­ [0]_SMG-CKD-d1.1 _2월분 부품 출하(매출반영분) - CKD 운영팀 050308-20050314" xfId="3010"/>
    <cellStyle name="AeE­ [0]_XD±aAØ " xfId="3011"/>
    <cellStyle name="AeE?[0]_´eA÷´eA¶C?(HYPA)?s####" xfId="3012"/>
    <cellStyle name="AeE?´eA÷´eA¶C?(HYPA))PA) (" xfId="3013"/>
    <cellStyle name="AeE?´U°¡´eA " xfId="3014"/>
    <cellStyle name="AeE?¸¸±aµµ·¡C?(HYPA)" xfId="3015"/>
    <cellStyle name="AeE?¸nA÷µµ·" xfId="3016"/>
    <cellStyle name="AeE?±Y¾×µµ·¡" xfId="3017"/>
    <cellStyle name="AeE?»o¹Y±a(HYPA) (2))PA)" xfId="3018"/>
    <cellStyle name="AeE?»o¹Y±a(HYPA) (2)_»o¹Y±a(HYPA) (2)_¼OAI1¿u (ÆC¸A) (3)_x0016_" xfId="3019"/>
    <cellStyle name="AeE?»y»e½CAuYPA)" xfId="3020"/>
    <cellStyle name="AeE?°¡µ¿A²AuYPA)" xfId="3021"/>
    <cellStyle name="AeE?°æºn7¿uÐ¸R))" xfId="3022"/>
    <cellStyle name="AeE?°æºnA?¤¸R)) (" xfId="3023"/>
    <cellStyle name="AeE?°ø¹R (3)YPA)" xfId="3024"/>
    <cellStyle name="AeE?°ø¹R (ºÐ¸R)) (2)_P" xfId="3025"/>
    <cellStyle name="AeE?°ø¹R ²AuY" xfId="3026"/>
    <cellStyle name="AeE?01.06 " xfId="3027"/>
    <cellStyle name="AeE?04.01 " xfId="3028"/>
    <cellStyle name="AeE?05.01 " xfId="3029"/>
    <cellStyle name="AeE?05.30 " xfId="3030"/>
    <cellStyle name="AeE?06.27 " xfId="3031"/>
    <cellStyle name="AeE?¼OAI(»y»e1-3)(2)_" xfId="3032"/>
    <cellStyle name="AeE?¼OAI(ÆC¸A1-3) 2)_P" xfId="3033"/>
    <cellStyle name="AeE?¼OAI(FEB»y»e) 2)_" xfId="3034"/>
    <cellStyle name="AeE?¼OAI(FEBÆC¸A) 2)_P" xfId="3035"/>
    <cellStyle name="AeE?¼OAI(MAR»y»e) 2)_" xfId="3036"/>
    <cellStyle name="AeE?¼OAI(MARÆC¸A) 2)_" xfId="3037"/>
    <cellStyle name="AeE?¼OAI1¿u (2)A) " xfId="3038"/>
    <cellStyle name="AeE?¼OAI1¿u (ÆC¸A)2)_PR" xfId="3039"/>
    <cellStyle name="AeE?¼OAI1¿uRÆC" xfId="3040"/>
    <cellStyle name="AeE?¼OAIA?¤»cC " xfId="3041"/>
    <cellStyle name="AeE?¼OAIA?I.95¸A)" xfId="3042"/>
    <cellStyle name="AeE?¼OAIA?I.9972)2)" xfId="3043"/>
    <cellStyle name="AeE?¼OAIAO¿a»cC?)2)_" xfId="3044"/>
    <cellStyle name="AeE?¼OAIJAN(»y»e?°æAu)OD.SEPT" xfId="3045"/>
    <cellStyle name="AeE?¼OAIJAN(»y»e?°æEA) D.SEPTI" xfId="3046"/>
    <cellStyle name="AeE?¼OAIJAN(ÆC¸A)?°æE" xfId="3047"/>
    <cellStyle name="AeE?1¿u_1AN" xfId="3048"/>
    <cellStyle name="AeE?1¿uIJ" xfId="3049"/>
    <cellStyle name="AeE?10¿u1A" xfId="3050"/>
    <cellStyle name="AeE?11.41" xfId="3051"/>
    <cellStyle name="AeE?11¿u1A" xfId="3052"/>
    <cellStyle name="AeE?12¿u1A" xfId="3053"/>
    <cellStyle name="AeE?2.3u" xfId="3054"/>
    <cellStyle name="AeE?2¿u_1AN" xfId="3055"/>
    <cellStyle name="AeE?2¿uu1" xfId="3056"/>
    <cellStyle name="AeE?3.3_" xfId="3057"/>
    <cellStyle name="AeE?3¿u 1A" xfId="3058"/>
    <cellStyle name="AeE?³a?A?¤ÆC¸A)?" xfId="3059"/>
    <cellStyle name="AeE?4¿u  ?" xfId="3060"/>
    <cellStyle name="AeE?5¿u  ?" xfId="3061"/>
    <cellStyle name="AeE?9¿u  " xfId="3062"/>
    <cellStyle name="AeE?95³aAc°iÆC¸A)?°æE" xfId="3063"/>
    <cellStyle name="AeE?96 Factory Overhead " xfId="3064"/>
    <cellStyle name="AeE?96(ÆC°uºn) (2)rhea" xfId="3065"/>
    <cellStyle name="AeE?96(ÆC°uºn) (3)rhea" xfId="3066"/>
    <cellStyle name="AeE?96???OBD " xfId="3067"/>
    <cellStyle name="AeE?96³a¹IÆC¸A¼OAI»o¼¼d D.SEPTI" xfId="3068"/>
    <cellStyle name="AeE?97 " xfId="3069"/>
    <cellStyle name="AeE?97PORTIONA" xfId="3070"/>
    <cellStyle name="AeE?Ac°i?°¡°¨¼OAI»o " xfId="3071"/>
    <cellStyle name="AeE?Ac°iº¸A?¹RA|AI»o " xfId="3072"/>
    <cellStyle name="AeE?ALLOCATIONA" xfId="3073"/>
    <cellStyle name="AeE?Ao±ÞAIAU¹eºI±aA?(4¿u)SEPTINGA" xfId="3074"/>
    <cellStyle name="AeE?Ao±ÞAIAU¹eºI±aA?(5¿u)SEPTINGA" xfId="3075"/>
    <cellStyle name="AeE?Ao±ÞAIAUONA" xfId="3076"/>
    <cellStyle name="AeE?AoAUA" xfId="3077"/>
    <cellStyle name="AeE?AprilI" xfId="3078"/>
    <cellStyle name="AeE?APRU" xfId="3079"/>
    <cellStyle name="AeE?AS400 A" xfId="3080"/>
    <cellStyle name="AeE?AU±Y¼oAo (2)±aA" xfId="3081"/>
    <cellStyle name="AeE?AU¾÷AI¼o (2)" xfId="3082"/>
    <cellStyle name="AeE?Book2I" xfId="3083"/>
    <cellStyle name="AeE?BOXk" xfId="3084"/>
    <cellStyle name="AeE?C?Ao (2) (" xfId="3085"/>
    <cellStyle name="AeE?CI¹Y±a(HYPA) (3) (5" xfId="3086"/>
    <cellStyle name="AeE?CI¹Y±a2) " xfId="3087"/>
    <cellStyle name="AeE?CIAU¿øAIYPA" xfId="3088"/>
    <cellStyle name="AeE?CIAU±Y¾×A??(3) (" xfId="3089"/>
    <cellStyle name="AeE?CoE?(2)A " xfId="3090"/>
    <cellStyle name="AeE?CoE²±Y" xfId="3091"/>
    <cellStyle name="AeE?COGS " xfId="3092"/>
    <cellStyle name="AeE?CONSOL(CLOSING))" xfId="3093"/>
    <cellStyle name="AeE?cover (2)O" xfId="3094"/>
    <cellStyle name="AeE?cover_¸¸±aµµ·¡)) (5¿u)" xfId="3095"/>
    <cellStyle name="AeE?COVERL" xfId="3096"/>
    <cellStyle name="AeE?DOMe" xfId="3097"/>
    <cellStyle name="AeE?ER?쬕 [0]_?ER??R?쬕?ERAi?ERicAc?ER??Ri " xfId="3098"/>
    <cellStyle name="AeE?ER?쬕_?ER??R?쬕?ERAi?ERicAc?ER??Ri " xfId="3099"/>
    <cellStyle name="AeE?FAC.OVERHEAD(" xfId="3100"/>
    <cellStyle name="AeE?Factory O.H.(°a»eeA)u)S" xfId="3101"/>
    <cellStyle name="AeE?Factory O.H.(allo)(DEC)E" xfId="3102"/>
    <cellStyle name="AeE?Factory O.H.Vr.Fix.AnalysisN" xfId="3103"/>
    <cellStyle name="AeE?FACTORY OH. &amp; MISC. INC.EXPN" xfId="3104"/>
    <cellStyle name="AeE?FACTORY OH.&amp; MISC.EXP.(JAN)N" xfId="3105"/>
    <cellStyle name="AeE?FACTORY OVERHEAD &amp; MISC INC.EXP_¸¸±aµµ·¡EPTINGA)" xfId="3106"/>
    <cellStyle name="AeE?FACTORY OVERHEAD &amp; MISC INC.EXP2" xfId="3107"/>
    <cellStyle name="AeE?FACTORY OVERHEAD FOR DEC.N" xfId="3108"/>
    <cellStyle name="AeE?FACTORY OVERHEAD FOR NOV." xfId="3109"/>
    <cellStyle name="AeE?FACTORY OVERHEAD(june)_¸¸±aµµ·¡_cover (" xfId="3110"/>
    <cellStyle name="AeE?FACTORY OVERHEAD(june)O" xfId="3111"/>
    <cellStyle name="AeE?FACTORY OVERHEAD.EXPe" xfId="3112"/>
    <cellStyle name="AeE?FACTORY OVERHEADC" xfId="3113"/>
    <cellStyle name="AeE?FebruaryO" xfId="3114"/>
    <cellStyle name="AeE?FEBT" xfId="3115"/>
    <cellStyle name="AeE?GEN(1-5)O" xfId="3116"/>
    <cellStyle name="AeE?Gen.Exp.Analysis(DEC))" xfId="3117"/>
    <cellStyle name="AeE?GEN12  ." xfId="3118"/>
    <cellStyle name="AeE?GEN12  _1n" xfId="3119"/>
    <cellStyle name="AeE?GEN4  " xfId="3120"/>
    <cellStyle name="AeE?GEN4 _¸¸±aµµ·¡is(DEC))" xfId="3121"/>
    <cellStyle name="AeE?General Exp.Vr.Fix Analysis_1(" xfId="3122"/>
    <cellStyle name="AeE?General Exp.Vr.Fix Analysisr" xfId="3123"/>
    <cellStyle name="AeE?GRPe" xfId="3124"/>
    <cellStyle name="AeE?HPA1298 " xfId="3125"/>
    <cellStyle name="AeE?HPA9812 " xfId="3126"/>
    <cellStyle name="AeE?INV. QTY.x" xfId="3127"/>
    <cellStyle name="AeE?inv.finishedV" xfId="3128"/>
    <cellStyle name="AeE?itemº°nis" xfId="3129"/>
    <cellStyle name="AeE?JAN98 " xfId="3130"/>
    <cellStyle name="AeE?JANm" xfId="3131"/>
    <cellStyle name="AeE?Januaryi" xfId="3132"/>
    <cellStyle name="AeE?Julya" xfId="3133"/>
    <cellStyle name="AeE?Junea" xfId="3134"/>
    <cellStyle name="AeE?LABOR.FAC.EXPr" xfId="3135"/>
    <cellStyle name="AeE?LEADR" xfId="3136"/>
    <cellStyle name="AeE?LINE¿i¿µ (2)Pr.F" xfId="3137"/>
    <cellStyle name="AeE?LINE¿i¿µC.EX" xfId="3138"/>
    <cellStyle name="AeE?MANUF. COSTSP" xfId="3139"/>
    <cellStyle name="AeE?March." xfId="3140"/>
    <cellStyle name="AeE?MARU" xfId="3141"/>
    <cellStyle name="AeE?MATERIALO" xfId="3142"/>
    <cellStyle name="AeE?MAYE" xfId="3143"/>
    <cellStyle name="AeE?MEX.PRL_¸¸±aµµ·¡ix Analy" xfId="3144"/>
    <cellStyle name="AeE?MEX.PRLL" xfId="3145"/>
    <cellStyle name="AeE?MEX1P" xfId="3146"/>
    <cellStyle name="AeE?mex3P" xfId="3147"/>
    <cellStyle name="AeE?MEXICAN PAYROLL(JAN) " xfId="3148"/>
    <cellStyle name="AeE?MHX" xfId="3149"/>
    <cellStyle name="AeE?MONTHLY PRODO" xfId="3150"/>
    <cellStyle name="AeE?ºI¼­º° (2)ODOLL(" xfId="3151"/>
    <cellStyle name="AeE?ºI¼­º°Y PROD" xfId="3152"/>
    <cellStyle name="AeE?P&amp;L~ADV. PRODL" xfId="3153"/>
    <cellStyle name="AeE?PLAN`98(6.15)L" xfId="3154"/>
    <cellStyle name="AeE?PRD(12)(" xfId="3155"/>
    <cellStyle name="AeE?PRD_¸¸±aµµ·¡)LL(JAN)" xfId="3156"/>
    <cellStyle name="AeE?PRDN" xfId="3157"/>
    <cellStyle name="AeE?PROD REPORT2" xfId="3158"/>
    <cellStyle name="AeE?PROD REPORT3)" xfId="3159"/>
    <cellStyle name="AeE?PROD(FEB)R" xfId="3160"/>
    <cellStyle name="AeE?PROD(JAN)R" xfId="3161"/>
    <cellStyle name="AeE?PROD.COSTING)" xfId="3162"/>
    <cellStyle name="AeE?PROD.MAYT" xfId="3163"/>
    <cellStyle name="AeE?REEFERA" xfId="3164"/>
    <cellStyle name="AeE?R쭵 [0]_96?쬾??R?쬸OBD " xfId="3165"/>
    <cellStyle name="AeE?R쭵_96?쬾??R?쬸OBD " xfId="3166"/>
    <cellStyle name="AeE?Sheet1 (2)_¸¸±aµµ·¡) (3)sis" xfId="3167"/>
    <cellStyle name="AeE?Sheet1 (2)N" xfId="3168"/>
    <cellStyle name="AeE?Sheet1_12" xfId="3169"/>
    <cellStyle name="AeE?Sheet1A" xfId="3170"/>
    <cellStyle name="AeE?Sheet3_" xfId="3171"/>
    <cellStyle name="AeE?Sheet4_" xfId="3172"/>
    <cellStyle name="AeE?SUBCONTRACTOR COSTS " xfId="3173"/>
    <cellStyle name="AeE?SUBCONTRACTOR COSTS_¸¸±aµµ·¡1(2)PA) " xfId="3174"/>
    <cellStyle name="AeE?SUMMARYR" xfId="3175"/>
    <cellStyle name="AeE?TCM" xfId="3176"/>
    <cellStyle name="AeE?US PAYROLL(JAN)O" xfId="3177"/>
    <cellStyle name="AeE?US.PRL_¸¸±aµµ·¡OSTS_cov" xfId="3178"/>
    <cellStyle name="AeE?US.PRLR" xfId="3179"/>
    <cellStyle name="AeE?V.8.(2)¿µ¾÷¿UAU±YA) (3)e" xfId="3180"/>
    <cellStyle name="AeE?V.8.(3)ºIA·AU±YA¶´Þ¹æ¾Eer (2)PA) " xfId="3181"/>
    <cellStyle name="AeE?V.8.(4)¿µ¾÷¿Uºn¿eA?¤¾Eer (2)PA" xfId="3182"/>
    <cellStyle name="AeE?V.8.AU±Y¿i¿e(1.¿µ¾÷»o)Eer (2)PA" xfId="3183"/>
    <cellStyle name="AeE?VT8" xfId="3184"/>
    <cellStyle name="AeE?VT95³aAc°iÆC¸A»o¼¼÷»o)Eer " xfId="3185"/>
    <cellStyle name="AeE?WARRANTY " xfId="3186"/>
    <cellStyle name="AeE?WARRANTY_¸¸±aµµ·¡¼÷»o)Eer" xfId="3187"/>
    <cellStyle name="AeE?warrantyA?¤A?I (2)) (3" xfId="3188"/>
    <cellStyle name="AeE?warrantyA?¤A?I2)PA" xfId="3189"/>
    <cellStyle name="AeE?WK1_¸¸±aµµ·¡A?I (2)" xfId="3190"/>
    <cellStyle name="AeE?WK1r" xfId="3191"/>
    <cellStyle name="AeE?WK2_" xfId="3192"/>
    <cellStyle name="AeE?WK3_" xfId="3193"/>
    <cellStyle name="AeE?WK4_" xfId="3194"/>
    <cellStyle name="AeE­_¡U¾EU￢ A¾COºn±³ " xfId="3195"/>
    <cellStyle name="ÅëÈ­_¡Ú¾ÈÜ¬ Á¾ÇÕºñ±³ " xfId="3196"/>
    <cellStyle name="AeE­_´eA÷´eA¶" xfId="3197"/>
    <cellStyle name="ÅëÈ­_±³À°ÀÏÁ¤ " xfId="3198"/>
    <cellStyle name="AeE­_±³A°AIA¤ _베네주엘라비정규" xfId="3199"/>
    <cellStyle name="ÅëÈ­_±â¾È " xfId="3200"/>
    <cellStyle name="AeE­_≫c±aÆC¸A¹æAo" xfId="3201"/>
    <cellStyle name="ÅëÈ­_°í°´½Å¿ëÆò°¡" xfId="3202"/>
    <cellStyle name="AeE­_°u¸RC×¸n_¾÷A¾º° " xfId="3203"/>
    <cellStyle name="ÅëÈ­_¼­½ÄÃ¼01_ÅõÀÔ°èÈ¹ " xfId="3204"/>
    <cellStyle name="AeE­_¼­½AAI¶÷_AoAO°eE¹ " xfId="3205"/>
    <cellStyle name="ÅëÈ­_¼­½ÄÀÏ¶÷_ÅõÀÔ°èÈ¹ " xfId="3206"/>
    <cellStyle name="AeE­_¼o¼o·a¿a¾aC￥" xfId="3207"/>
    <cellStyle name="ÅëÈ­_¼ö¼ö·á¿ä¾àÇ¥" xfId="3208"/>
    <cellStyle name="AeE­_¼oAI¼º " xfId="146"/>
    <cellStyle name="ÅëÈ­_½Ä´çÀÌÀü°èÈ¹" xfId="3209"/>
    <cellStyle name="AeE­_½A¿eμi±ÞC￥" xfId="3210"/>
    <cellStyle name="ÅëÈ­_1.ÆÇ¸Å½ÇÀû " xfId="3211"/>
    <cellStyle name="AeE­_1.SUMMARY " xfId="3212"/>
    <cellStyle name="ÅëÈ­_1.SUMMARY " xfId="3213"/>
    <cellStyle name="AeE­_1.SUMMARY _2월분 부품 출하(매출반영분) - CKD 운영팀 050308-20050314" xfId="3214"/>
    <cellStyle name="ÅëÈ­_1.SUMMARY _2월분 부품 출하(매출반영분) - CKD 운영팀 050308-20050314" xfId="3215"/>
    <cellStyle name="AeE­_¹æ¾E2" xfId="3216"/>
    <cellStyle name="ÅëÈ­_¹æ¾È2" xfId="3217"/>
    <cellStyle name="AeE­_¹yAIº°AoAU°eE¹" xfId="3218"/>
    <cellStyle name="ÅëÈ­_2.CONCEPT " xfId="3219"/>
    <cellStyle name="AeE­_2.CONCEPT _2월분 부품 출하(매출반영분) - CKD 운영팀 050308-20050314" xfId="3220"/>
    <cellStyle name="ÅëÈ­_2.CONCEPT _2월분 부품 출하(매출반영분) - CKD 운영팀 050308-20050314" xfId="3221"/>
    <cellStyle name="AeE­_2000³a GRACE KDQR" xfId="3222"/>
    <cellStyle name="ÅëÈ­_3.MSCHEDULE¿µ¹® " xfId="3223"/>
    <cellStyle name="AeE­_3.MSCHEDULE¿μ¹R " xfId="3224"/>
    <cellStyle name="ÅëÈ­_³»ÀÚÀÔ°íFLOW_IPGOFLOW(LP)X)P)TS)2)be " xfId="3225"/>
    <cellStyle name="AeE­_3PJTR°eE¹ " xfId="3226"/>
    <cellStyle name="ÅëÈ­_3PJTR°èÈ¹ " xfId="3227"/>
    <cellStyle name="AeE­_4 " xfId="3228"/>
    <cellStyle name="ÅëÈ­_4 " xfId="3229"/>
    <cellStyle name="AeE­_4 _2월분 부품 출하(매출반영분) - CKD 운영팀 050308-20050314" xfId="3230"/>
    <cellStyle name="ÅëÈ­_4 _2월분 부품 출하(매출반영분) - CKD 운영팀 050308-20050314" xfId="3231"/>
    <cellStyle name="AeE­_5-3-3-1-1.≫y≫e±¸A¶ºÐ¼R-MAT'L¡­ " xfId="3232"/>
    <cellStyle name="ÅëÈ­_6-3°æÀï·Â " xfId="3233"/>
    <cellStyle name="AeE­_7.MASTER SCHEDULE " xfId="3234"/>
    <cellStyle name="ÅëÈ­_7.MASTER SCHEDULE " xfId="3235"/>
    <cellStyle name="AeE­_7.MASTER SCHEDULE _2월분 부품 출하(매출반영분) - CKD 운영팀 050308-20050314" xfId="3236"/>
    <cellStyle name="ÅëÈ­_7.MASTER SCHEDULE _2월분 부품 출하(매출반영분) - CKD 운영팀 050308-20050314" xfId="3237"/>
    <cellStyle name="AeE­_96°eE¹ " xfId="3238"/>
    <cellStyle name="ÅëÈ­_Ã¤±Ç¼­·ù" xfId="3239"/>
    <cellStyle name="AeE­_A·ºI1" xfId="3240"/>
    <cellStyle name="ÅëÈ­_Á¾ÇÕ½Å¼³ " xfId="5092"/>
    <cellStyle name="AeE­_A¾COA¶°AºÐ " xfId="5093"/>
    <cellStyle name="ÅëÈ­_Á¾ÇÕÃ¶°ÅºÐ " xfId="5094"/>
    <cellStyle name="AeE­_AI¿ø°eE¹ _1¿￢±¸¼O (°￠ÆAº°) " xfId="3241"/>
    <cellStyle name="ÅëÈ­_ÀÎ¿ø°èÈ¹ _1¿¬±¸¼Ò (°¢ÆÀº°) " xfId="3242"/>
    <cellStyle name="AeE­_AI¿ø°eE¹ _1¿￢±¸¼O (°￠ÆAº°) _베네주엘라비정규" xfId="3243"/>
    <cellStyle name="ÅëÈ­_ÀÎ¿ø°èÈ¹ _2월분 부품 출하(매출반영분) - CKD 운영팀 050308-20050314" xfId="3244"/>
    <cellStyle name="AeE­_AI¿ø°eE¹ _C￥Ao _베네주엘라비정규" xfId="3245"/>
    <cellStyle name="ÅëÈ­_ÀÎ¿ø¹× Á¶Á÷(96.5.2.) " xfId="3246"/>
    <cellStyle name="AeE­_AN°yº¸°i-Aß°¡Ay°¨ " xfId="3247"/>
    <cellStyle name="ÅëÈ­_ÃÖÁ¾ÀÏÁ¤ " xfId="3248"/>
    <cellStyle name="AeE­_C￥Ao " xfId="3249"/>
    <cellStyle name="ÅëÈ­_Ç° " xfId="3250"/>
    <cellStyle name="AeE­_CN°eAIAI96³a" xfId="3251"/>
    <cellStyle name="ÅëÈ­_EF PAD " xfId="3252"/>
    <cellStyle name="AeE­_F006-1A÷ " xfId="3253"/>
    <cellStyle name="ÅëÈ­_FLOW_CELSIOR " xfId="3254"/>
    <cellStyle name="AeE­_INQUIRY ¿μ¾÷AßAø " xfId="3255"/>
    <cellStyle name="ÅëÈ­_laroux" xfId="3256"/>
    <cellStyle name="AeE­_LZ BODY ¹RA|A¡" xfId="3257"/>
    <cellStyle name="ÅëÈ­_MKN-M1.1 " xfId="3258"/>
    <cellStyle name="AeE­_º?°æ³≫¿ª" xfId="3259"/>
    <cellStyle name="ÅëÈ­_º¸°í¾ç½Ä" xfId="3260"/>
    <cellStyle name="AeE­_º≫≫c½AAøAI¹Y" xfId="3261"/>
    <cellStyle name="ÅëÈ­_ºÐ·ù±â01_ÅõÀÔ°èÈ¹ " xfId="3262"/>
    <cellStyle name="AeE­_ºÐ·u±a02_AoAO°eE¹ " xfId="3263"/>
    <cellStyle name="ÅëÈ­_ºÐ·ù±â02_ÅõÀÔ°èÈ¹ " xfId="3264"/>
    <cellStyle name="AeE­_ºÐ·u±a03_AoAO°eE¹ " xfId="3265"/>
    <cellStyle name="ÅëÈ­_ºÐ·ù±â03_ÅõÀÔ°èÈ¹ " xfId="3266"/>
    <cellStyle name="AeE­_ºÐ·u±aAØ_AoAO°eE¹ " xfId="3267"/>
    <cellStyle name="ÅëÈ­_ºÐ·ù±âÁØ_ÅõÀÔ°èÈ¹ " xfId="3268"/>
    <cellStyle name="AeE­_ºÐ·u±aE￡_AoAO°eE¹ " xfId="3269"/>
    <cellStyle name="ÅëÈ­_ºÐ·ù±âÈ£_ÅõÀÔ°èÈ¹ " xfId="3270"/>
    <cellStyle name="AeE­_ºn¿e¿¹≫e" xfId="3271"/>
    <cellStyle name="ÅëÈ­_SAMPLE " xfId="3272"/>
    <cellStyle name="AeE­_SAMPLE _2월분 부품 출하(매출반영분) - CKD 운영팀 050308-20050314" xfId="3273"/>
    <cellStyle name="ÅëÈ­_SAMPLE _2월분 부품 출하(매출반영분) - CKD 운영팀 050308-20050314" xfId="3274"/>
    <cellStyle name="AeE­_Sheet1" xfId="3275"/>
    <cellStyle name="ÅëÈ­_Sheet1" xfId="3276"/>
    <cellStyle name="AeE­_Sheet1 (2)_3.MSCHEDULE¿μ¹R " xfId="3277"/>
    <cellStyle name="ÅëÈ­_Sheet1_1.SUMMARY " xfId="3278"/>
    <cellStyle name="AeE­_Sheet1_3.MSCHEDULE¿μ¹R " xfId="3279"/>
    <cellStyle name="ÅëÈ­_Sheet1_ÃÖÁ¾ÀÏÁ¤ " xfId="3280"/>
    <cellStyle name="AeE­_Sheet1_XD AOA¾AIA¤ " xfId="3281"/>
    <cellStyle name="ÅëÈ­_Sheet1_XD ÃÖÁ¾ÀÏÁ¤ " xfId="3282"/>
    <cellStyle name="AeE­_SMG-CKD-d1.1 " xfId="3283"/>
    <cellStyle name="ÅëÈ­_SMG-CKD-d1.1 " xfId="3284"/>
    <cellStyle name="AeE­_SMG-CKD-d1.1 _2월분 부품 출하(매출반영분) - CKD 운영팀 050308-20050314" xfId="3285"/>
    <cellStyle name="ÅëÈ­_SMG-CKD-d1.1 _2월분 부품 출하(매출반영분) - CKD 운영팀 050308-20050314" xfId="3286"/>
    <cellStyle name="AeE­_XD±aAØ " xfId="3287"/>
    <cellStyle name="AeE¡? [0]_2000¨?OER " xfId="3288"/>
    <cellStyle name="AeE¡?_2000¨?OER " xfId="3289"/>
    <cellStyle name="AeE¡© [0]_2000¨ùOER " xfId="3290"/>
    <cellStyle name="AeE¡©_2000¨ùOER " xfId="3291"/>
    <cellStyle name="AeE¡ⓒ [0]_¡¾ⓒøA¡ÆAIA￠´ " xfId="3292"/>
    <cellStyle name="AeE¡ⓒ_¡¾ⓒøA¡ÆAIA￠´ " xfId="3293"/>
    <cellStyle name="AeE¡ER¡§I [0]_¡ER¡§￠R¡§I¡ERAi¡ERicAc¡ER¡§￠Ri " xfId="3294"/>
    <cellStyle name="AeE¡ER¡§I_¡ER¡§￠R¡§I¡ERAi¡ERicAc¡ER¡§￠Ri " xfId="3295"/>
    <cellStyle name="AeE￠R¨I [0]_¡§¡þ¡§¡EAO" xfId="3296"/>
    <cellStyle name="AeE￠R¨I_¡§¡þ¡§¡EAO" xfId="3297"/>
    <cellStyle name="ALIGNMENT" xfId="3298"/>
    <cellStyle name="AÞ¸?[0]_´eA÷´eA¶C?(HYPA)) (3) (2" xfId="3299"/>
    <cellStyle name="AÞ¸?´eA÷´eA¶C?(HYPA))PA) (3)" xfId="3300"/>
    <cellStyle name="AÞ¸?´U°¡´eA¶C?" xfId="3301"/>
    <cellStyle name="AÞ¸?¸¸±aµµ·¡C?(HYPA))P" xfId="3302"/>
    <cellStyle name="AÞ¸?¸nA÷µµ·¡C" xfId="3303"/>
    <cellStyle name="AÞ¸?±Y¾×µµ·¡C?" xfId="3304"/>
    <cellStyle name="AÞ¸?»o¹Y±a(HYPA) (2))PA) (" xfId="3305"/>
    <cellStyle name="AÞ¸?»o¹Y±a(HYPA) (2)_»o¹Y±a(HYPA) (2)_¼OAI1¿u (ÆC¸A) (3)_x0016_" xfId="3306"/>
    <cellStyle name="AÞ¸?»y»e½CAuYPA) (" xfId="3307"/>
    <cellStyle name="AÞ¸?°¡µ¿A²AuYPA) (" xfId="3308"/>
    <cellStyle name="AÞ¸?°æºn7¿uÐ¸R)) (" xfId="3309"/>
    <cellStyle name="AÞ¸?°æºnA?¤¸R)) (2)" xfId="3310"/>
    <cellStyle name="AÞ¸?°ø¹R (3)YPA) (" xfId="3311"/>
    <cellStyle name="AÞ¸?°ø¹R (ºÐ¸R)) (2)_PRO" xfId="3312"/>
    <cellStyle name="AÞ¸?°ø¹R ²AuYPA" xfId="3313"/>
    <cellStyle name="AÞ¸?01.06? " xfId="3314"/>
    <cellStyle name="AÞ¸?04.01? " xfId="3315"/>
    <cellStyle name="AÞ¸?05.01? " xfId="3316"/>
    <cellStyle name="AÞ¸?05.30? " xfId="3317"/>
    <cellStyle name="AÞ¸?06.27? " xfId="3318"/>
    <cellStyle name="AÞ¸?¼OAI(»y»e1-3)(2)_PR" xfId="3319"/>
    <cellStyle name="AÞ¸?¼OAI(ÆC¸A1-3) 2)_PRO" xfId="3320"/>
    <cellStyle name="AÞ¸?¼OAI(FEB»y»e) 2)_PR" xfId="3321"/>
    <cellStyle name="AÞ¸?¼OAI(FEBÆC¸A) 2)_PRO" xfId="3322"/>
    <cellStyle name="AÞ¸?¼OAI(MAR»y»e) 2)_PR" xfId="3323"/>
    <cellStyle name="AÞ¸?¼OAI(MARÆC¸A) 2)_PR" xfId="3324"/>
    <cellStyle name="AÞ¸?¼OAI1¿u (2)A) 2)" xfId="3325"/>
    <cellStyle name="AÞ¸?¼OAI1¿u (ÆC¸A)2)_PROD" xfId="3326"/>
    <cellStyle name="AÞ¸?¼OAI1¿uRÆC¸A" xfId="3327"/>
    <cellStyle name="AÞ¸?¼OAIA?¤»cC?)" xfId="3328"/>
    <cellStyle name="AÞ¸?¼OAIA?I.95¸A)2)" xfId="3329"/>
    <cellStyle name="AÞ¸?¼OAIA?I.9972)2)_P" xfId="3330"/>
    <cellStyle name="AÞ¸?¼OAIAO¿a»cC?)2)_PR" xfId="3331"/>
    <cellStyle name="AÞ¸?¼OAIJAN(»y»e?°æAu)OD.SEPTIN" xfId="3332"/>
    <cellStyle name="AÞ¸?¼OAIJAN(»y»e?°æEA) D.SEPTING" xfId="3333"/>
    <cellStyle name="AÞ¸?¼OAIJAN(ÆC¸A)?°æEA)" xfId="3334"/>
    <cellStyle name="AÞ¸?1¿u_1AN( " xfId="3335"/>
    <cellStyle name="AÞ¸?1¿uIJAN" xfId="3336"/>
    <cellStyle name="AÞ¸?10¿u1AN(" xfId="3337"/>
    <cellStyle name="AÞ¸?11.41AN" xfId="3338"/>
    <cellStyle name="AÞ¸?11¿u1AN(" xfId="3339"/>
    <cellStyle name="AÞ¸?12¿u1AN(" xfId="3340"/>
    <cellStyle name="AÞ¸?2.3u1A" xfId="3341"/>
    <cellStyle name="AÞ¸?2¿u_1AN( " xfId="3342"/>
    <cellStyle name="AÞ¸?2¿uu1AN" xfId="3343"/>
    <cellStyle name="AÞ¸?3.3_1A" xfId="3344"/>
    <cellStyle name="AÞ¸?3¿u 1AN(" xfId="3345"/>
    <cellStyle name="AÞ¸?³a?A?¤ÆC¸A)?°æ" xfId="3346"/>
    <cellStyle name="AÞ¸?4¿u  ?¤Æ" xfId="3347"/>
    <cellStyle name="AÞ¸?5¿u  ?¤Æ" xfId="3348"/>
    <cellStyle name="AÞ¸?9¿u  ?" xfId="3349"/>
    <cellStyle name="AÞ¸?95³aAc°iÆC¸A)?°æEA)" xfId="3350"/>
    <cellStyle name="AÞ¸?96 Factory Overhead D." xfId="3351"/>
    <cellStyle name="AÞ¸?96(ÆC°uºn) (2)rhead " xfId="3352"/>
    <cellStyle name="AÞ¸?96(ÆC°uºn) (3)rhead " xfId="3353"/>
    <cellStyle name="AÞ¸?96³a¹IÆC¸A¼OAI»o¼¼d D.SEPTING" xfId="3354"/>
    <cellStyle name="AÞ¸?97³a " xfId="3355"/>
    <cellStyle name="AÞ¸?97PORTIONA¼O" xfId="3356"/>
    <cellStyle name="AÞ¸?Ac°i?°¡°¨¼OAI»o¼¼d" xfId="3357"/>
    <cellStyle name="AÞ¸?Ac°iº¸A?¹RA|AI»o¼¼d" xfId="3358"/>
    <cellStyle name="AÞ¸?ALLOCATIONA|A" xfId="3359"/>
    <cellStyle name="AÞ¸?Ao±ÞAIAU¹eºI±aA?(4¿u)SEPTINGNG2" xfId="3360"/>
    <cellStyle name="AÞ¸?Ao±ÞAIAU¹eºI±aA?(5¿u)SEPTINGNG2" xfId="3361"/>
    <cellStyle name="AÞ¸?Ao±ÞAIAUONA|A" xfId="3362"/>
    <cellStyle name="AÞ¸?AoAUAIA" xfId="3363"/>
    <cellStyle name="AÞ¸?AprilIAU" xfId="3364"/>
    <cellStyle name="AÞ¸?APRUAI" xfId="3365"/>
    <cellStyle name="AÞ¸?AS400 AU " xfId="3366"/>
    <cellStyle name="AÞ¸?AU±Y¼oAo (2)±aA?" xfId="3367"/>
    <cellStyle name="AÞ¸?AU¾÷AI¼o (2)±a" xfId="3368"/>
    <cellStyle name="AÞ¸?Book2I¼o" xfId="3369"/>
    <cellStyle name="AÞ¸?BOXk2I" xfId="3370"/>
    <cellStyle name="AÞ¸?C?Ao (2) (2)" xfId="3371"/>
    <cellStyle name="AÞ¸?CI¹Y±a(HYPA) (3) (5¿u" xfId="3372"/>
    <cellStyle name="AÞ¸?CI¹Y±a2) (2" xfId="3373"/>
    <cellStyle name="AÞ¸?CIAU¿øAIYPA) " xfId="3374"/>
    <cellStyle name="AÞ¸?CIAU±Y¾×A??(3) (5 " xfId="3375"/>
    <cellStyle name="AÞ¸?CoE?(2)A? " xfId="3376"/>
    <cellStyle name="AÞ¸?CoE²±Y¾×" xfId="3377"/>
    <cellStyle name="AÞ¸?COGS (2" xfId="3378"/>
    <cellStyle name="AÞ¸?CONSOL(CLOSING)) (" xfId="3379"/>
    <cellStyle name="AÞ¸?cover (2)_ALLOCATIONu)S" xfId="3380"/>
    <cellStyle name="AÞ¸?cover (2)OSI" xfId="3381"/>
    <cellStyle name="AÞ¸?cover_¸¸±aµµ·¡.SEPTINGSE" xfId="3382"/>
    <cellStyle name="AÞ¸?COVERL(C" xfId="3383"/>
    <cellStyle name="AÞ¸?DOMer_" xfId="3384"/>
    <cellStyle name="AÞ¸?FAC.OVERHEAD(2)" xfId="3385"/>
    <cellStyle name="AÞ¸?Factory O.H.(°a»eeA)NGSEP" xfId="3386"/>
    <cellStyle name="AÞ¸?Factory O.H.(allo)(DEC)EPT" xfId="3387"/>
    <cellStyle name="AÞ¸?Factory O.H.Vr.Fix.AnalysisNGN" xfId="3388"/>
    <cellStyle name="AÞ¸?FACTORY OH. &amp; MISC. INC.EXPNGN" xfId="3389"/>
    <cellStyle name="AÞ¸?FACTORY OH.&amp; MISC.EXP.(JAN)NGN" xfId="3390"/>
    <cellStyle name="AÞ¸?FACTORY OVERHEAD &amp; MISC INC.EXP_¸¸±aµµ·¡EPTINGA) (" xfId="3391"/>
    <cellStyle name="AÞ¸?FACTORY OVERHEAD &amp; MISC INC.EXP2)_" xfId="3392"/>
    <cellStyle name="AÞ¸?FACTORY OVERHEAD FOR DEC.NC." xfId="3393"/>
    <cellStyle name="AÞ¸?FACTORY OVERHEAD FOR NOV.NC" xfId="3394"/>
    <cellStyle name="AÞ¸?FACTORY OVERHEAD(june)_¸¸±aµµ·¡_cover (2)" xfId="3395"/>
    <cellStyle name="AÞ¸?FACTORY OVERHEAD(june)OV." xfId="3396"/>
    <cellStyle name="AÞ¸?FACTORY OVERHEAD.EXPe)_" xfId="3397"/>
    <cellStyle name="AÞ¸?FACTORY OVERHEADC.E" xfId="3398"/>
    <cellStyle name="AÞ¸?FebruaryOVE" xfId="3399"/>
    <cellStyle name="AÞ¸?FEBTOR" xfId="3400"/>
    <cellStyle name="AÞ¸?GEN(1-5)OVE" xfId="3401"/>
    <cellStyle name="AÞ¸?Gen.Exp.Analysis(DEC))_c" xfId="3402"/>
    <cellStyle name="AÞ¸?GEN12  .An" xfId="3403"/>
    <cellStyle name="AÞ¸?GEN12  _1nal" xfId="3404"/>
    <cellStyle name="AÞ¸?GEN4   _" xfId="3405"/>
    <cellStyle name="AÞ¸?GEN4 _¸¸±aµµ·¡is(DEC))_c" xfId="3406"/>
    <cellStyle name="AÞ¸?General Exp.Vr.Fix Analysis_1EPT" xfId="3407"/>
    <cellStyle name="AÞ¸?General Exp.Vr.Fix AnalysisGSE" xfId="3408"/>
    <cellStyle name="AÞ¸?GRPera" xfId="3409"/>
    <cellStyle name="AÞ¸?HPA1298 Ex" xfId="3410"/>
    <cellStyle name="AÞ¸?HPA1298_HPAFINAL0699(final)_Hy" xfId="3411"/>
    <cellStyle name="AÞ¸?HPA9812_Hy" xfId="3412"/>
    <cellStyle name="AÞ¸?INV. QTY.ypa" xfId="3413"/>
    <cellStyle name="AÞ¸?inv.finished049" xfId="3414"/>
    <cellStyle name="AÞ¸?itemº°nishe" xfId="3415"/>
    <cellStyle name="AÞ¸?JAN98°ni" xfId="3416"/>
    <cellStyle name="AÞ¸?JANmº°" xfId="3417"/>
    <cellStyle name="AÞ¸?Januaryish" xfId="3418"/>
    <cellStyle name="AÞ¸?Julyary" xfId="3419"/>
    <cellStyle name="AÞ¸?Juneary" xfId="3420"/>
    <cellStyle name="AÞ¸?LABOR.FAC.EXP499" xfId="3421"/>
    <cellStyle name="AÞ¸?LEADR.F" xfId="3422"/>
    <cellStyle name="AÞ¸?LINE¿i¿µ (2)P49906" xfId="3423"/>
    <cellStyle name="AÞ¸?LINE¿i¿µC.EXP4" xfId="3424"/>
    <cellStyle name="AÞ¸?MANUF. COSTSP49" xfId="3425"/>
    <cellStyle name="AÞ¸?March. C" xfId="3426"/>
    <cellStyle name="AÞ¸?MARUF." xfId="3427"/>
    <cellStyle name="AÞ¸?MATERIALOST" xfId="3428"/>
    <cellStyle name="AÞ¸?MAYERI" xfId="3429"/>
    <cellStyle name="AÞ¸?MEX.PRL_¸¸±aµµ·¡0699(final" xfId="3430"/>
    <cellStyle name="AÞ¸?MEX.PRLLOS" xfId="3431"/>
    <cellStyle name="AÞ¸?MEX1PRL" xfId="3432"/>
    <cellStyle name="AÞ¸?mex3PRL" xfId="3433"/>
    <cellStyle name="AÞ¸?MEXICAN PAYROLL(JAN)OD." xfId="3434"/>
    <cellStyle name="AÞ¸?MHXIC" xfId="3435"/>
    <cellStyle name="AÞ¸?MONTHLY PRODOLL" xfId="3436"/>
    <cellStyle name="AÞ¸?ºI¼­º° (2)ODOLL(JA" xfId="3437"/>
    <cellStyle name="AÞ¸?ºI¼­º°Y PRODOL" xfId="3438"/>
    <cellStyle name="AÞ¸?P&amp;L~ADV. PRODLL(" xfId="3439"/>
    <cellStyle name="AÞ¸?PLAN`98(6.15)LL(" xfId="3440"/>
    <cellStyle name="AÞ¸?PRD(12)(6." xfId="3441"/>
    <cellStyle name="AÞ¸?PRD_¸¸±aµµ·¡)LL(JAN)OD" xfId="3442"/>
    <cellStyle name="AÞ¸?PRDN`9" xfId="3443"/>
    <cellStyle name="AÞ¸?PROD REPORT2)_" xfId="3444"/>
    <cellStyle name="AÞ¸?PROD REPORT3)_P" xfId="3445"/>
    <cellStyle name="AÞ¸?PROD(FEB)RT3" xfId="3446"/>
    <cellStyle name="AÞ¸?PROD(JAN)RT3" xfId="3447"/>
    <cellStyle name="AÞ¸?PROD.COSTING)_P" xfId="3448"/>
    <cellStyle name="AÞ¸?PROD.MAYTIN" xfId="3449"/>
    <cellStyle name="AÞ¸?REEFERAYT" xfId="3450"/>
    <cellStyle name="AÞ¸?Sheet1 (2)_¸¸±aµµ·¡SEPTINGSEP" xfId="3451"/>
    <cellStyle name="AÞ¸?Sheet1 (2)NG)" xfId="3452"/>
    <cellStyle name="AÞ¸?Sheet1_12)_" xfId="3453"/>
    <cellStyle name="AÞ¸?Sheet1AYT" xfId="3454"/>
    <cellStyle name="AÞ¸?Sheet3_12" xfId="3455"/>
    <cellStyle name="AÞ¸?Sheet4_12" xfId="3456"/>
    <cellStyle name="AÞ¸?SUBCONTRACTOR COSTS (2" xfId="3457"/>
    <cellStyle name="AÞ¸?SUBCONTRACTOR COSTS_¸¸±aµµ·¡PTINGTING." xfId="3458"/>
    <cellStyle name="AÞ¸?SUMMARYRAC" xfId="3459"/>
    <cellStyle name="AÞ¸?TCMMA" xfId="3460"/>
    <cellStyle name="AÞ¸?US PAYROLL(JAN)OST" xfId="3461"/>
    <cellStyle name="AÞ¸?US.PRL_¸¸±aµµ·¡OSTS_cover" xfId="3462"/>
    <cellStyle name="AÞ¸?US.PRLROL" xfId="3463"/>
    <cellStyle name="AÞ¸?V.8.(2)¿µ¾÷¿UAU±YPROD.SEPT" xfId="3464"/>
    <cellStyle name="AÞ¸?V.8.(3)ºIA·AU±YA¶´Þ¹æ¾EEPTINGSEPTIN" xfId="3465"/>
    <cellStyle name="AÞ¸?V.8.(4)¿µ¾÷¿Uºn¿eA?¤¾EEPTINGSEPT" xfId="3466"/>
    <cellStyle name="AÞ¸?V.8.AU±Y¿i¿e(1.¿µ¾÷»o)EEPTINGSEPT" xfId="3467"/>
    <cellStyle name="AÞ¸?VT8.A" xfId="3468"/>
    <cellStyle name="AÞ¸?VT95³aAc°iÆC¸A»o¼¼÷»o)EEPTIN" xfId="3469"/>
    <cellStyle name="AÞ¸?WARRANTY_¸¸±aµµ·¡¼÷»o)EEPTI" xfId="3470"/>
    <cellStyle name="AÞ¸?WARRANTY°i " xfId="3471"/>
    <cellStyle name="AÞ¸?warrantyA?¤A?I (2)ROD.SE" xfId="3472"/>
    <cellStyle name="AÞ¸?warrantyA?¤A?I2)_PRO" xfId="3473"/>
    <cellStyle name="AÞ¸?WK1_¸¸±aµµ·¡A?I (2)RO" xfId="3474"/>
    <cellStyle name="AÞ¸?WK1ran" xfId="3475"/>
    <cellStyle name="AÞ¸?WK2_¸¸±aµµ·¡)_PROD.SEP" xfId="3476"/>
    <cellStyle name="AÞ¸?WK3_¸¸±aµµ·¡)_PROD.SEP" xfId="3477"/>
    <cellStyle name="AÞ¸?WK4_¸¸±aµµ·¡)_PROD.SEP" xfId="3478"/>
    <cellStyle name="AÞ¸¶ [0]_¡U¾EU￢ A¾COºn±³ " xfId="3479"/>
    <cellStyle name="ÄÞ¸¶ [0]_¡Ú¾ÈÜ¬ Á¾ÇÕºñ±³ " xfId="3480"/>
    <cellStyle name="AÞ¸¶ [0]_´eA÷´eA¶" xfId="3481"/>
    <cellStyle name="ÄÞ¸¶ [0]_±â¾È " xfId="3482"/>
    <cellStyle name="AÞ¸¶ [0]_≫c±aÆC¸A¹æAo" xfId="3483"/>
    <cellStyle name="ÄÞ¸¶ [0]_°í°´½Å¿ëÆò°¡" xfId="3484"/>
    <cellStyle name="AÞ¸¶ [0]_°u¸RC×¸n_¾÷A¾º° " xfId="3485"/>
    <cellStyle name="ÄÞ¸¶ [0]_¼ö¼ö·á¿ä¾àÇ¥" xfId="3486"/>
    <cellStyle name="AÞ¸¶ [0]_¼oAI¼º " xfId="147"/>
    <cellStyle name="ÄÞ¸¶ [0]_½Å¿ëµî±ÞÇ¥" xfId="3487"/>
    <cellStyle name="AÞ¸¶ [0]_½A¿eμi±ÞC￥" xfId="3488"/>
    <cellStyle name="ÄÞ¸¶ [0]_½ÇÀûÇöÈ² " xfId="3489"/>
    <cellStyle name="AÞ¸¶ [0]_1.SUMMARY " xfId="3490"/>
    <cellStyle name="ÄÞ¸¶ [0]_1.SUMMARY " xfId="3491"/>
    <cellStyle name="AÞ¸¶ [0]_1-3¿u " xfId="3492"/>
    <cellStyle name="ÄÞ¸¶ [0]_¹æ¾È" xfId="3493"/>
    <cellStyle name="AÞ¸¶ [0]_¹æ¾E2" xfId="3494"/>
    <cellStyle name="ÄÞ¸¶ [0]_¹æ¾È2" xfId="3495"/>
    <cellStyle name="AÞ¸¶ [0]_¹yAIº°AoAU°eE¹" xfId="3496"/>
    <cellStyle name="ÄÞ¸¶ [0]_2.CONCEPT " xfId="3497"/>
    <cellStyle name="AÞ¸¶ [0]_3.MSCHEDULE¿μ¹R " xfId="3498"/>
    <cellStyle name="ÄÞ¸¶ [0]_3PJTR°èÈ¹ " xfId="3499"/>
    <cellStyle name="AÞ¸¶ [0]_4 " xfId="3500"/>
    <cellStyle name="ÄÞ¸¶ [0]_4 " xfId="3501"/>
    <cellStyle name="AÞ¸¶ [0]_6-3°æAi·A " xfId="3502"/>
    <cellStyle name="ÄÞ¸¶ [0]_6-3°æÀï·Â " xfId="3503"/>
    <cellStyle name="AÞ¸¶ [0]_7.MASTER SCHEDULE " xfId="3504"/>
    <cellStyle name="ÄÞ¸¶ [0]_7.MASTER SCHEDULE " xfId="3505"/>
    <cellStyle name="AÞ¸¶ [0]_96°eE¹ " xfId="3506"/>
    <cellStyle name="ÄÞ¸¶ [0]_Ã¤±Ç¼­·ù" xfId="3507"/>
    <cellStyle name="AÞ¸¶ [0]_A¾COA¶°AºÐ " xfId="5095"/>
    <cellStyle name="ÄÞ¸¶ [0]_Á¾ÇÕÃ¶°ÅºÐ " xfId="5096"/>
    <cellStyle name="AÞ¸¶ [0]_A¹Aa" xfId="3508"/>
    <cellStyle name="ÄÞ¸¶ [0]_ÀÎ¿ø°èÈ¹ " xfId="3509"/>
    <cellStyle name="AÞ¸¶ [0]_AI¿ø¹× A¶A÷(96.5.2.) " xfId="3510"/>
    <cellStyle name="ÄÞ¸¶ [0]_ÃÖÁ¾ÀÏÁ¤ " xfId="3511"/>
    <cellStyle name="AÞ¸¶ [0]_C￥Ao " xfId="3512"/>
    <cellStyle name="ÄÞ¸¶ [0]_Ç° " xfId="3513"/>
    <cellStyle name="AÞ¸¶ [0]_CN°eAIAI96³a" xfId="3514"/>
    <cellStyle name="ÄÞ¸¶ [0]_INQUIRY ¿µ¾÷ÃßÁø " xfId="3515"/>
    <cellStyle name="AÞ¸¶ [0]_INQUIRY ¿μ¾÷AßAø " xfId="3516"/>
    <cellStyle name="ÄÞ¸¶ [0]_laroux" xfId="3517"/>
    <cellStyle name="AÞ¸¶ [0]_M105CDT " xfId="3518"/>
    <cellStyle name="ÄÞ¸¶ [0]_MKN-M1.1 " xfId="3519"/>
    <cellStyle name="AÞ¸¶ [0]_º¸°i¾c½A" xfId="3520"/>
    <cellStyle name="ÄÞ¸¶ [0]_º¸°í¾ç½Ä" xfId="3521"/>
    <cellStyle name="AÞ¸¶ [0]_º≫ºIA¶A÷ " xfId="3522"/>
    <cellStyle name="ÄÞ¸¶ [0]_SAMPLE " xfId="3523"/>
    <cellStyle name="AÞ¸¶ [0]_Sheet1 (2)_1.SUMMARY " xfId="3524"/>
    <cellStyle name="ÄÞ¸¶ [0]_Sheet1 (2)_1.SUMMARY " xfId="3525"/>
    <cellStyle name="AÞ¸¶ [0]_Sheet1 (2)_3.MSCHEDULE¿μ¹R " xfId="3526"/>
    <cellStyle name="ÄÞ¸¶ [0]_Sheet1_1.SUMMARY " xfId="3527"/>
    <cellStyle name="AÞ¸¶ [0]_Sheet1_3.MSCHEDULE¿μ¹R " xfId="3528"/>
    <cellStyle name="ÄÞ¸¶ [0]_Sheet1_ÃÖÁ¾ÀÏÁ¤ " xfId="3529"/>
    <cellStyle name="AÞ¸¶ [0]_Sheet1_XD AOA¾AIA¤ " xfId="3530"/>
    <cellStyle name="ÄÞ¸¶ [0]_Sheet1_XD ÃÖÁ¾ÀÏÁ¤ " xfId="3531"/>
    <cellStyle name="AÞ¸¶ [0]_SMG-CKD-d1.1 " xfId="3532"/>
    <cellStyle name="ÄÞ¸¶ [0]_SMG-CKD-d1.1 " xfId="3533"/>
    <cellStyle name="AÞ¸¶ [0]_XD±aAØ " xfId="3534"/>
    <cellStyle name="AÞ¸¶_¡U¾EU￢ A¾COºn±³ " xfId="3535"/>
    <cellStyle name="ÄÞ¸¶_¡Ú¾ÈÜ¬ Á¾ÇÕºñ±³ " xfId="3536"/>
    <cellStyle name="AÞ¸¶_´eA÷´eA¶" xfId="3537"/>
    <cellStyle name="ÄÞ¸¶_±â¾È " xfId="3538"/>
    <cellStyle name="AÞ¸¶_≫c±aÆC¸A¹æAo" xfId="3539"/>
    <cellStyle name="ÄÞ¸¶_°í°´½Å¿ëÆò°¡" xfId="3540"/>
    <cellStyle name="AÞ¸¶_°u¸RC×¸n_¾÷A¾º° " xfId="3541"/>
    <cellStyle name="ÄÞ¸¶_¼ö¼ö·á¿ä¾àÇ¥" xfId="3542"/>
    <cellStyle name="AÞ¸¶_¼oAI¼º " xfId="148"/>
    <cellStyle name="ÄÞ¸¶_½Å¿ëµî±ÞÇ¥" xfId="3543"/>
    <cellStyle name="AÞ¸¶_½A¿eμi±ÞC￥" xfId="3544"/>
    <cellStyle name="ÄÞ¸¶_½ÇÀûÇöÈ² " xfId="3545"/>
    <cellStyle name="AÞ¸¶_1.SUMMARY " xfId="3546"/>
    <cellStyle name="ÄÞ¸¶_1.SUMMARY " xfId="3547"/>
    <cellStyle name="AÞ¸¶_1.SUMMARY _~0014723" xfId="3548"/>
    <cellStyle name="ÄÞ¸¶_¹æ¾È" xfId="3549"/>
    <cellStyle name="AÞ¸¶_¹æ¾E2" xfId="3550"/>
    <cellStyle name="ÄÞ¸¶_¹æ¾È2" xfId="3551"/>
    <cellStyle name="AÞ¸¶_¹yAIº°AoAU°eE¹" xfId="3552"/>
    <cellStyle name="ÄÞ¸¶_2.CONCEPT " xfId="3553"/>
    <cellStyle name="AÞ¸¶_2.CONCEPT _~0014723" xfId="3554"/>
    <cellStyle name="ÄÞ¸¶_3PJTR°èÈ¹ " xfId="3555"/>
    <cellStyle name="AÞ¸¶_4 " xfId="3556"/>
    <cellStyle name="ÄÞ¸¶_4 " xfId="3557"/>
    <cellStyle name="AÞ¸¶_4 _~0014723" xfId="3558"/>
    <cellStyle name="ÄÞ¸¶_6-3°æÀï·Â " xfId="3559"/>
    <cellStyle name="AÞ¸¶_7.MASTER SCHEDULE " xfId="3560"/>
    <cellStyle name="ÄÞ¸¶_7.MASTER SCHEDULE " xfId="3561"/>
    <cellStyle name="AÞ¸¶_7.MASTER SCHEDULE _~0014723" xfId="3562"/>
    <cellStyle name="ÄÞ¸¶_Ã¤±Ç¼­·ù" xfId="3563"/>
    <cellStyle name="AÞ¸¶_A¾COA¶°AºÐ " xfId="5097"/>
    <cellStyle name="ÄÞ¸¶_Á¾ÇÕÃ¶°ÅºÐ " xfId="5098"/>
    <cellStyle name="AÞ¸¶_A¹Aa" xfId="3564"/>
    <cellStyle name="ÄÞ¸¶_ÀÎ¿ø°èÈ¹ " xfId="3565"/>
    <cellStyle name="AÞ¸¶_AI¿ø°eE¹ _~0014723" xfId="3566"/>
    <cellStyle name="ÄÞ¸¶_ÃÖÁ¾ÀÏÁ¤ " xfId="3567"/>
    <cellStyle name="AÞ¸¶_AOA¾AIA¤ _~0014723" xfId="3568"/>
    <cellStyle name="ÄÞ¸¶_Ç° " xfId="3569"/>
    <cellStyle name="AÞ¸¶_CN°eAIAI96³a" xfId="3570"/>
    <cellStyle name="ÄÞ¸¶_INQUIRY ¿µ¾÷ÃßÁø " xfId="3571"/>
    <cellStyle name="AÞ¸¶_INQUIRY ¿μ¾÷AßAø " xfId="3572"/>
    <cellStyle name="ÄÞ¸¶_laroux" xfId="3573"/>
    <cellStyle name="AÞ¸¶_M105CDT " xfId="3574"/>
    <cellStyle name="ÄÞ¸¶_MKN-M1.1 " xfId="3575"/>
    <cellStyle name="AÞ¸¶_º¸°i¾c½A" xfId="3576"/>
    <cellStyle name="ÄÞ¸¶_º¸°í¾ç½Ä" xfId="3577"/>
    <cellStyle name="AÞ¸¶_º≫ºIA¶A÷ " xfId="3578"/>
    <cellStyle name="ÄÞ¸¶_SAMPLE " xfId="3579"/>
    <cellStyle name="AÞ¸¶_SAMPLE _~0014723" xfId="3580"/>
    <cellStyle name="ÄÞ¸¶_Sheet1" xfId="3581"/>
    <cellStyle name="AÞ¸¶_Sheet1 (2)_1.SUMMARY _~0014723" xfId="3582"/>
    <cellStyle name="ÄÞ¸¶_Sheet1_1.SUMMARY " xfId="3583"/>
    <cellStyle name="AÞ¸¶_Sheet1_3.MSCHEDULE¿μ¹R " xfId="3584"/>
    <cellStyle name="ÄÞ¸¶_Sheet1_ÃÖÁ¾ÀÏÁ¤ " xfId="3585"/>
    <cellStyle name="AÞ¸¶_Sheet1_XD AOA¾AIA¤ " xfId="3586"/>
    <cellStyle name="ÄÞ¸¶_Sheet1_XD ÃÖÁ¾ÀÏÁ¤ " xfId="3587"/>
    <cellStyle name="AÞ¸¶_SMG-CKD-d1.1 " xfId="3588"/>
    <cellStyle name="ÄÞ¸¶_SMG-CKD-d1.1 " xfId="3589"/>
    <cellStyle name="AÞ¸¶_XD±aAØ " xfId="3590"/>
    <cellStyle name="_x0001_b" xfId="3591"/>
    <cellStyle name="_x0001_b 2" xfId="5100"/>
    <cellStyle name="_x0001_b 3" xfId="5101"/>
    <cellStyle name="_x0001_b 4" xfId="5099"/>
    <cellStyle name="Bad" xfId="4843"/>
    <cellStyle name="Blue,Bold,12pt" xfId="5102"/>
    <cellStyle name="Body" xfId="3592"/>
    <cellStyle name="BuiltOpt_Content" xfId="3593"/>
    <cellStyle name="C?A??½ACNµµ (7¿u)PROD.SEP" xfId="3594"/>
    <cellStyle name="C?A?_96???OBD " xfId="3595"/>
    <cellStyle name="C?A?´U°¡cover" xfId="3596"/>
    <cellStyle name="C?A?¸¸±aµµ·¡ (2))_PROD.SE" xfId="3597"/>
    <cellStyle name="C?A?¸¸±aµµ·¡r (2)_PRO" xfId="3598"/>
    <cellStyle name="C?A?¸nA÷µµ· " xfId="3599"/>
    <cellStyle name="C?A?¿uº° (4) (7¿u" xfId="3600"/>
    <cellStyle name="C?A?±Y¾× (4) " xfId="3601"/>
    <cellStyle name="C?A?»o¹Y±a(HYPA) (2)OD.SE" xfId="3602"/>
    <cellStyle name="C?A?»y»e½CAuYPA) " xfId="3603"/>
    <cellStyle name="C?A?°¡µ¿A²AuYPA) " xfId="3604"/>
    <cellStyle name="C?A?°æºn7¿uÐ¸R)) " xfId="3605"/>
    <cellStyle name="C?A?°ø¹R (ºÐ¸R)) (2)OD." xfId="3606"/>
    <cellStyle name="C?A?°ø¹R ²AuYP" xfId="3607"/>
    <cellStyle name="C?A?¼OAI(»y»e1-3)(2)OD" xfId="3608"/>
    <cellStyle name="C?A?¼OAI(ÆC¸A1-3) 2)OD." xfId="3609"/>
    <cellStyle name="C?A?¼OAI(FEB»y»e) 2)OD" xfId="3610"/>
    <cellStyle name="C?A?¼OAI(FEBÆC¸A) 2)OD." xfId="3611"/>
    <cellStyle name="C?A?¼OAI(MAR»y»e) 2)OD" xfId="3612"/>
    <cellStyle name="C?A?¼OAI(MARÆC¸A) 2)OD" xfId="3613"/>
    <cellStyle name="C?A?¼OAI(RIO)C¸A" xfId="3614"/>
    <cellStyle name="C?A?¼OAI°e»e(¿uº°)2)OD.SEP" xfId="3615"/>
    <cellStyle name="C?A?¼OAI°e»e¼­uº°)2)O" xfId="3616"/>
    <cellStyle name="C?A?¼OAI1¿u (2)º°)2" xfId="3617"/>
    <cellStyle name="C?A?¼OAI1¿u (ÆC¸A)2)OD.S" xfId="3618"/>
    <cellStyle name="C?A?¼OAI1¿ue¼­u" xfId="3619"/>
    <cellStyle name="C?A?¼OAI1-12¿u  (»y)  (3)PTING" xfId="3620"/>
    <cellStyle name="C?A?¼OAI1-12¿u  (ÆC)  (4)PTING" xfId="3621"/>
    <cellStyle name="C?A?¼OAI1-5¿u  (»y)  (2))PTIN" xfId="3622"/>
    <cellStyle name="C?A?¼OAI1-6¿u  (ÆC¸A±aA?PTINGSEP" xfId="3623"/>
    <cellStyle name="C?A?¼OAIA?¤»cC?" xfId="3624"/>
    <cellStyle name="C?A?¼OAIA?I.95 (2)A±aA" xfId="3625"/>
    <cellStyle name="C?A?¼OAIA?I.95(ÆC " xfId="3626"/>
    <cellStyle name="C?A?¼OAIA?I.9972_¼OAI(AUG»y»e) (2)NGPTING" xfId="3627"/>
    <cellStyle name="C?A?¼OAIA?I.99722)A " xfId="3628"/>
    <cellStyle name="C?A?¼OAIAO¿a»cC?_PROD" xfId="3629"/>
    <cellStyle name="C?A?¼OAIAO¿a»cC?¼OAI(AUG»y»e) (2)(JUN) (2)" xfId="3630"/>
    <cellStyle name="C?A?¼OAIAO¿a»cC?¼OAI(JUL»y»e) (2)(JUN) (2)" xfId="3631"/>
    <cellStyle name="C?A?¼OAIAO¿a»cC?BOOK25UL»y»e" xfId="3632"/>
    <cellStyle name="C?A?¼OAIAO¿a»cC?BOOK26UL»y»e" xfId="3633"/>
    <cellStyle name="C?A?¼OAIAO¿a»cC?BOOK2JUL»y " xfId="3634"/>
    <cellStyle name="C?A?¼OAIAO¿a»cC?Gen.Exp.Analysis(AUG) (2))INGSE" xfId="3635"/>
    <cellStyle name="C?A?¼OAIAO¿a»cC?Gen.Exp.Analysis(JUL) (2))INGSE" xfId="3636"/>
    <cellStyle name="C?A?¼OAIAO¿a»cC?Gen.Exp.Analysis(JUN) (2))INGSE" xfId="3637"/>
    <cellStyle name="C?A?¼OAIAO¿a»cC?HYPA9810Analys" xfId="3638"/>
    <cellStyle name="C?A?¼OAIAO¿a»cC?HYPA9870Analy" xfId="3639"/>
    <cellStyle name="C?A?¼OAIAO¿a»cC?HYPA9880Analy" xfId="3640"/>
    <cellStyle name="C?A?¼OAIAO¿a»cC?HYPA9890Analy" xfId="3641"/>
    <cellStyle name="C?A?¼OAIAO¿a»cC?MEX19890An" xfId="3642"/>
    <cellStyle name="C?A?¼OAIAO¿a»cC?PROD REPORT3ysis(J" xfId="3643"/>
    <cellStyle name="C?A?¼OAIAO¿a»cC?PROD REPORTlysis(" xfId="3644"/>
    <cellStyle name="C?A?¼OAIJAN(»y»e?°æAu)EPORT3ys" xfId="3645"/>
    <cellStyle name="C?A?¼OAIJAN(»y»e?°æEA) PORT3ysi" xfId="3646"/>
    <cellStyle name="C?A?¼OAIJAN(ÆC¸A)?°æEA" xfId="3647"/>
    <cellStyle name="C?A?1¿u_1AN(" xfId="3648"/>
    <cellStyle name="C?A?1¿uIJA" xfId="3649"/>
    <cellStyle name="C?A?10¿u1AN" xfId="3650"/>
    <cellStyle name="C?A?11¿u1AN" xfId="3651"/>
    <cellStyle name="C?A?12¿u1AN" xfId="3652"/>
    <cellStyle name="C?A?2¿u_1AN(" xfId="3653"/>
    <cellStyle name="C?A?2¿uu1A" xfId="3654"/>
    <cellStyle name="C?A?3¿u 1AN" xfId="3655"/>
    <cellStyle name="C?A?4¿u  AN(" xfId="3656"/>
    <cellStyle name="C?A?5¿u  AN(" xfId="3657"/>
    <cellStyle name="C?A?9¿u  A" xfId="3658"/>
    <cellStyle name="C?A?96 Factory Overhead P" xfId="3659"/>
    <cellStyle name="C?A?96 Profit Projection (RC)ys" xfId="3660"/>
    <cellStyle name="C?A?96 Profit Projection (TC)ys" xfId="3661"/>
    <cellStyle name="C?A?96 Profit Projection (VT)ys" xfId="3662"/>
    <cellStyle name="C?A?96 Profit ProjectionPO" xfId="3663"/>
    <cellStyle name="C?A?97 INVENTORY COSTio" xfId="3664"/>
    <cellStyle name="C?A?97 P" xfId="3665"/>
    <cellStyle name="C?A?97 UNIT COST C" xfId="3666"/>
    <cellStyle name="C?A?97(ÆC°uºn) (2)OSTio" xfId="3667"/>
    <cellStyle name="C?A?97(ÆC°uºn) (3)OSTio" xfId="3668"/>
    <cellStyle name="C?A?97PORTION) " xfId="3669"/>
    <cellStyle name="C?A?A7P" xfId="3670"/>
    <cellStyle name="C?A?Ac°i?°¡°¨ (3)OSTi" xfId="3671"/>
    <cellStyle name="C?A?Ac°i?°¡°¨_¼OAI(AUG»y»e) (2)s(JUN) (2))" xfId="3672"/>
    <cellStyle name="C?A?Ac°iº¸A?¹RA|_¼OAI(AUG»y»e) (2)N) (2)2))" xfId="3673"/>
    <cellStyle name="C?A?Ac°iº¸A?¹RA|ROD RE" xfId="3674"/>
    <cellStyle name="C?A?ADJUSTA?" xfId="3675"/>
    <cellStyle name="C?A?ADJUSTED TOTALRO" xfId="3676"/>
    <cellStyle name="C?A?ALLOCATION_1AL" xfId="3677"/>
    <cellStyle name="C?A?ALLOCATIONOT" xfId="3678"/>
    <cellStyle name="C?A?Ao±ÞAIAU¹eºI±aA?(4¿u)3T3ysis(J" xfId="3679"/>
    <cellStyle name="C?A?Ao±ÞAIAU¹eºI±aA?(5¿u)3T3ysis(J" xfId="3680"/>
    <cellStyle name="C?A?APR?" xfId="3681"/>
    <cellStyle name="C?A?AprilIA" xfId="3682"/>
    <cellStyle name="C?A?AS400 AU" xfId="3683"/>
    <cellStyle name="C?A?AU±Yµ¿Ca (3)±aA?" xfId="3684"/>
    <cellStyle name="C?A?AU±Y¼oAo (2)±aA " xfId="3685"/>
    <cellStyle name="C?A?BOOK2_PROD REPORT35 " xfId="3686"/>
    <cellStyle name="C?A?Book2¿C" xfId="3687"/>
    <cellStyle name="C?A?BOOK25PR" xfId="3688"/>
    <cellStyle name="C?A?BOOK26PR" xfId="3689"/>
    <cellStyle name="C?A?BOXK2" xfId="3690"/>
    <cellStyle name="C?A?BREAK6P" xfId="3691"/>
    <cellStyle name="C?A?C?AoK6P" xfId="3692"/>
    <cellStyle name="C?A?CI¹Y±a(HYPA) (3)T35 " xfId="3693"/>
    <cellStyle name="C?A?CIAU¿øAI_¼OAI(AUG»y»e) (2)sis(JUN" xfId="3694"/>
    <cellStyle name="C?A?CIAU¿øAIYPA)" xfId="3695"/>
    <cellStyle name="C?A?CIAU±Y¾×A??¼OAI(AUG»y»e) (2) (2) (2))I" xfId="3696"/>
    <cellStyle name="C?A?CIAU±Y¾×A??¼OAI(JUL»y»e) (2) (2) (2))I" xfId="3697"/>
    <cellStyle name="C?A?CIAU±Y¾×A??BOOK25UL»y»e)" xfId="3698"/>
    <cellStyle name="C?A?CIAU±Y¾×A??BOOK26UL»y»e)" xfId="3699"/>
    <cellStyle name="C?A?CIAU±Y¾×A??BOOK2JUL»y»e" xfId="3700"/>
    <cellStyle name="C?A?CIAU±Y¾×A??Gen.Exp.Analysis(AUG) (2))INGSEP" xfId="3701"/>
    <cellStyle name="C?A?CIAU±Y¾×A??Gen.Exp.Analysis(JUL) (2))INGSEP" xfId="3702"/>
    <cellStyle name="C?A?CIAU±Y¾×A??Gen.Exp.Analysis(JUN) (2))INGSEP" xfId="3703"/>
    <cellStyle name="C?A?CIAU±Y¾×A??HYPA9810Analysi" xfId="3704"/>
    <cellStyle name="C?A?CIAU±Y¾×A??HYPA9870Analys" xfId="3705"/>
    <cellStyle name="C?A?CIAU±Y¾×A??HYPA9880Analys" xfId="3706"/>
    <cellStyle name="C?A?CIAU±Y¾×A??HYPA9890Analys" xfId="3707"/>
    <cellStyle name="C?A?CIAU±Y¾×A??MEX19890Ana" xfId="3708"/>
    <cellStyle name="C?A?CIAU±Y¾×A??PROD REPORT3ysis(JU" xfId="3709"/>
    <cellStyle name="C?A?CIAU±Y¾×A??PROD REPORTlysis(J" xfId="3710"/>
    <cellStyle name="C?A?CIAU±Y¾×A?¤D REPOR" xfId="3711"/>
    <cellStyle name="C?A?CoE?(2)_¸¸±aµµ·¡ REPORT3ys" xfId="3712"/>
    <cellStyle name="C?A?CoE?(2)A?" xfId="3713"/>
    <cellStyle name="C?A?CoE²±Y " xfId="3714"/>
    <cellStyle name="C?A?COGS (" xfId="3715"/>
    <cellStyle name="C?A?CONSOL(CLOSING)Ao" xfId="3716"/>
    <cellStyle name="C?A?cover (2)OS" xfId="3717"/>
    <cellStyle name="C?A?cover_¸¸±aµµ·¡)Ao (2)A)" xfId="3718"/>
    <cellStyle name="C?A?COVERL(" xfId="3719"/>
    <cellStyle name="C?A?DEDUCT.PLANoA" xfId="3720"/>
    <cellStyle name="C?A?Domcn&amp;ReeferAo" xfId="3721"/>
    <cellStyle name="C?A?DOMUC" xfId="3722"/>
    <cellStyle name="C?A?FAC.EXP.ALLO_¼OAI(AUG»y»e) (2)JUN) " xfId="3723"/>
    <cellStyle name="C?A?FAC.EXP.ALLOAo" xfId="3724"/>
    <cellStyle name="C?A?FAC.OVERHEAD_P" xfId="3725"/>
    <cellStyle name="C?A?Factory O.H.(°a»eeA)_¼OAI(AUG»y»e) (2))INGSEP" xfId="3726"/>
    <cellStyle name="C?A?Factory O.H.(°a»eeA)PORT" xfId="3727"/>
    <cellStyle name="C?A?Factory O.H.(allo)(DEC)OD" xfId="3728"/>
    <cellStyle name="C?A?Factory O.H.Vr.Fix.AnalysisEP" xfId="3729"/>
    <cellStyle name="C?A?FACTORY OH. &amp; MISC. INC.EXPEP" xfId="3730"/>
    <cellStyle name="C?A?FACTORY OH.&amp; MISC.EXP.(JAN)EP" xfId="3731"/>
    <cellStyle name="C?A?FACTORY OVERHEAD &amp; MISC INC.EXP_1ys" xfId="3732"/>
    <cellStyle name="C?A?FACTORY OVERHEAD &amp; MISC INC.EXPT3" xfId="3733"/>
    <cellStyle name="C?A?FACTORY OVERHEAD FOR DEC.NC" xfId="3734"/>
    <cellStyle name="C?A?FACTORY OVERHEAD FOR NOV.N" xfId="3735"/>
    <cellStyle name="C?A?FACTORY OVERHEAD(june)OV" xfId="3736"/>
    <cellStyle name="C?A?FACTORY OVERHEAD.EXPe)" xfId="3737"/>
    <cellStyle name="C?A?FACTORY OVERHEADC." xfId="3738"/>
    <cellStyle name="C?A?FebruaryOV" xfId="3739"/>
    <cellStyle name="C?A?FEBTO" xfId="3740"/>
    <cellStyle name="C?A?GEN(1-5)OV" xfId="3741"/>
    <cellStyle name="C?A?Gen.Exp.Analysis(DEC))O" xfId="3742"/>
    <cellStyle name="C?A?GEN12  .A" xfId="3743"/>
    <cellStyle name="C?A?GEN12  _1na" xfId="3744"/>
    <cellStyle name="C?A?GEN4   " xfId="3745"/>
    <cellStyle name="C?A?GEN4 _Hypa0499is" xfId="3746"/>
    <cellStyle name="C?A?General Exp.Vr.Fix Analysis.E" xfId="3747"/>
    <cellStyle name="C?A?General Exp.Vr.Fix Analysis_1_¼OAI(AUG»y»e) (2)NGING" xfId="3748"/>
    <cellStyle name="C?A?GRPer" xfId="3749"/>
    <cellStyle name="C?A?HPA1298 E" xfId="3750"/>
    <cellStyle name="C?A?HPA9812 E" xfId="3751"/>
    <cellStyle name="C?A?HYPA Jan - JuneFi" xfId="3752"/>
    <cellStyle name="C?A?Hypa81" xfId="3753"/>
    <cellStyle name="C?A?INV. QTY.- " xfId="3754"/>
    <cellStyle name="C?A?inv.finishedun" xfId="3755"/>
    <cellStyle name="C?A?ISSUE.SUMhe" xfId="3756"/>
    <cellStyle name="C?A?itemº°SUMh" xfId="3757"/>
    <cellStyle name="C?A?JAN98°S" xfId="3758"/>
    <cellStyle name="C?A?JANm " xfId="3759"/>
    <cellStyle name="C?A?JanuaryUM" xfId="3760"/>
    <cellStyle name="C?A?Julyar" xfId="3761"/>
    <cellStyle name="C?A?june (2)Mh" xfId="3762"/>
    <cellStyle name="C?A?Junear" xfId="3763"/>
    <cellStyle name="C?A?LABOR COST ALLOCATIONal" xfId="3764"/>
    <cellStyle name="C?A?LABOR.ALLO A" xfId="3765"/>
    <cellStyle name="C?A?LABOR.ALLO_¼OAI(AUG»y»e) (2)1_PRO" xfId="3766"/>
    <cellStyle name="C?A?LABOR.FAC.EXPOD" xfId="3767"/>
    <cellStyle name="C?A?LEADR." xfId="3768"/>
    <cellStyle name="C?A?LOANR." xfId="3769"/>
    <cellStyle name="C?A?MANUF. COSTS_MEX1EP" xfId="3770"/>
    <cellStyle name="C?A?MANUF. COSTSPO" xfId="3771"/>
    <cellStyle name="C?A?March. " xfId="3772"/>
    <cellStyle name="C?A?march_1CO" xfId="3773"/>
    <cellStyle name="C?A?MARUF" xfId="3774"/>
    <cellStyle name="C?A?MATERIALOS" xfId="3775"/>
    <cellStyle name="C?A?may (2)LO" xfId="3776"/>
    <cellStyle name="C?A?MAYER" xfId="3777"/>
    <cellStyle name="C?A?MEX.PRLLO" xfId="3778"/>
    <cellStyle name="C?A?MEX1PR" xfId="3779"/>
    <cellStyle name="C?A?mex3PR" xfId="3780"/>
    <cellStyle name="C?A?MEXICAN PAYROLL(JAN)PO" xfId="3781"/>
    <cellStyle name="C?A?MHXI" xfId="3782"/>
    <cellStyle name="C?A?MONTHLY PRODOL" xfId="3783"/>
    <cellStyle name="C?A?OCT98LY" xfId="3784"/>
    <cellStyle name="C?A?OVERHEAD. MISCL(" xfId="3785"/>
    <cellStyle name="C?A?P&amp;L~ADV. PRODCL" xfId="3786"/>
    <cellStyle name="C?A?PLAN`98(6.15)CL" xfId="3787"/>
    <cellStyle name="C?A?PRD(12)(6" xfId="3788"/>
    <cellStyle name="C?A?PRDN`" xfId="3789"/>
    <cellStyle name="C?A?PRO.SALE.INV._1(J" xfId="3790"/>
    <cellStyle name="C?A?PRO.SALE.INV.CL" xfId="3791"/>
    <cellStyle name="C?A?PROD REPORT3._" xfId="3792"/>
    <cellStyle name="C?A?PROD REPORTV." xfId="3793"/>
    <cellStyle name="C?A?PROD(FEB)RT" xfId="3794"/>
    <cellStyle name="C?A?PROD(JAN)RT" xfId="3795"/>
    <cellStyle name="C?A?PROD.COSTING._" xfId="3796"/>
    <cellStyle name="C?A?PROD.COSTRT" xfId="3797"/>
    <cellStyle name="C?A?PROD.JA" xfId="3798"/>
    <cellStyle name="C?A?PROD.MAYTI" xfId="3799"/>
    <cellStyle name="C?A?PROD.SALEIN" xfId="3800"/>
    <cellStyle name="C?A?REEFERAL" xfId="3801"/>
    <cellStyle name="C?A?Sheet1 (2)_1._" xfId="3802"/>
    <cellStyle name="C?A?Sheet1 (2)NG" xfId="3803"/>
    <cellStyle name="C?A?Sheet1_¸¸±aµµ·¡ONTHLY PR" xfId="3804"/>
    <cellStyle name="C?A?Sheet1AL" xfId="3805"/>
    <cellStyle name="C?A?Sheet3_w" xfId="3806"/>
    <cellStyle name="C?A?Sheet4_w" xfId="3807"/>
    <cellStyle name="C?A?Sheet5 (2)ra" xfId="3808"/>
    <cellStyle name="C?A?Sheet5_w" xfId="3809"/>
    <cellStyle name="C?A?SUBCONTRACTOR COSTS1-" xfId="3810"/>
    <cellStyle name="C?A?SUMMARYRA" xfId="3811"/>
    <cellStyle name="C?A?TCMM" xfId="3812"/>
    <cellStyle name="C?A?Tgt97-Chassis C" xfId="3813"/>
    <cellStyle name="C?A?TRANSACTION (2)OS" xfId="3814"/>
    <cellStyle name="C?A?TRANSACTIONis" xfId="3815"/>
    <cellStyle name="C?A?US PAYROLL(JAN)OS" xfId="3816"/>
    <cellStyle name="C?A?US.PRLRO" xfId="3817"/>
    <cellStyle name="C?A?VT.P" xfId="3818"/>
    <cellStyle name="C?A?warrantyA?¤A?I (2)_¼OAI(AUG»y»e) (2)3ysis(JU" xfId="3819"/>
    <cellStyle name="C?A?warrantyA?¤A?I (2)-3))O" xfId="3820"/>
    <cellStyle name="C?A?warrantyA?¤A?I_¼OAI(AUG»y»e) (2)sis(JUN)" xfId="3821"/>
    <cellStyle name="C?A?warrantyA?¤A?ISTS1-" xfId="3822"/>
    <cellStyle name="C?A?WARRANTYLL" xfId="3823"/>
    <cellStyle name="C?A?WIP.DETAIL_¼OAI(AUG»y»e) (2)3ysis" xfId="3824"/>
    <cellStyle name="C?A?WIP.DETAILA " xfId="3825"/>
    <cellStyle name="C?A?wipra" xfId="3826"/>
    <cellStyle name="C?A?WK1.D" xfId="3827"/>
    <cellStyle name="C?A?WK2.D" xfId="3828"/>
    <cellStyle name="C?A?WK3.D" xfId="3829"/>
    <cellStyle name="C?A?WK4.D" xfId="3830"/>
    <cellStyle name="C?ERIA?R???I_?ER??R?쬕?ERAi?ERicAc?ER??Ri " xfId="3831"/>
    <cellStyle name="C?RIA?㎤?_96?쬾??R?쬸OBD " xfId="3832"/>
    <cellStyle name="C¡?A¨ª_2000¨?OER " xfId="3833"/>
    <cellStyle name="C¡ERIA￠R¡×¡§¡I_¡ER¡§￠R¡§I¡ERAi¡ERicAc¡ER¡§￠Ri " xfId="3834"/>
    <cellStyle name="C¡IA¨ª_¡¾a¨uE " xfId="3835"/>
    <cellStyle name="C¡ÍA¨ª_¨ùOAI(RIO)" xfId="3836"/>
    <cellStyle name="C¡IA¨ª_¨uoAOCaA￠´¨oA¡io " xfId="3837"/>
    <cellStyle name="C¡ÍA¨ª_2000¨ùOER " xfId="3838"/>
    <cellStyle name="C¡IA¨ª_2000¨uOER _1월채권" xfId="3839"/>
    <cellStyle name="C¡ÍA¨ª_C¡¿¢¬n¢¯u¨¬n¢¯e " xfId="3840"/>
    <cellStyle name="C¡IA¨ª_M105CDT " xfId="3841"/>
    <cellStyle name="C¡ÍA¨ª_M105CDT " xfId="3842"/>
    <cellStyle name="C¡IA¨ª_M107CDT " xfId="3843"/>
    <cellStyle name="C¡ÍA¨ª_M107CDT " xfId="3844"/>
    <cellStyle name="C￠RIA¡§¨￡_¡§￠Ro￠R¨¡¡ERC￠RI" xfId="3845"/>
    <cellStyle name="C￥AØ_ 10AE " xfId="3846"/>
    <cellStyle name="Ç¥ÁØ_(Á¤º¸ºÎ¹®)¿ùº°ÀÎ¿ø°èÈ¹" xfId="3847"/>
    <cellStyle name="C￥AØ_(A¤º¸ºI¹R)¿uº°AI¿ø°eE¹" xfId="5103"/>
    <cellStyle name="Ç¥ÁØ_¡ßFO ÅõÀÚºñºñ±³ " xfId="3848"/>
    <cellStyle name="C￥AØ_¸i´U" xfId="3849"/>
    <cellStyle name="Ç¥ÁØ_¸ñÂ÷ " xfId="3850"/>
    <cellStyle name="C￥AØ_¸nA÷ _XD FL 팀별 계정별 기획예산 (1023)" xfId="3851"/>
    <cellStyle name="Ç¥ÁØ_¿¬±¸¼Ò °ø»çÇöÈ² " xfId="3852"/>
    <cellStyle name="C￥AØ_¿￢±¸¼O °ø≫cCoE² " xfId="3853"/>
    <cellStyle name="Ç¥ÁØ_¿µ¾÷ÇöÈ² " xfId="3854"/>
    <cellStyle name="C￥AØ_¿i¿μ¾E " xfId="3855"/>
    <cellStyle name="Ç¥ÁØ_±³À°ÀÏÁ¤ " xfId="3856"/>
    <cellStyle name="C￥AØ_±a¾E " xfId="3857"/>
    <cellStyle name="Ç¥ÁØ_±â¾È " xfId="3858"/>
    <cellStyle name="C￥AØ_±a¾E¿eAo_KDº?μ¿ " xfId="3859"/>
    <cellStyle name="Ç¥ÁØ_±âÁØÇ¥" xfId="3860"/>
    <cellStyle name="C￥AØ_±YºnAy°¨" xfId="3861"/>
    <cellStyle name="Ç¥ÁØ_»ç¾÷ºÎº° ÃÑ°è " xfId="3862"/>
    <cellStyle name="C￥AØ_≫c¾÷ºIº° AN°e " xfId="3863"/>
    <cellStyle name="Ç¥ÁØ_°¡¼Ö¸°ÀÏÁ¤_µ?Á©ÀÏÁ¤ " xfId="3864"/>
    <cellStyle name="C￥AØ_°¡¼O¸°AIA¤_μðAⓒAIA¤ " xfId="3865"/>
    <cellStyle name="Ç¥ÁØ_°³¹ßÀÏÁ¤ " xfId="3866"/>
    <cellStyle name="C￥AØ_°³¹ßAIA¤  (2)_°³¹ßAIA¤ " xfId="3867"/>
    <cellStyle name="Ç¥ÁØ_°³¹ßÀÏÁ¤  (2)_°³¹ßÀÏÁ¤ " xfId="3868"/>
    <cellStyle name="C￥AØ_°³¹ßAIA¤  (2)_°³¹ßAIA¤ _■ 2006년사업계획(자재운영)-051013" xfId="3869"/>
    <cellStyle name="Ç¥ÁØ_°³¹ßÀÏÁ¤  (2)_°³¹ßÀÏÁ¤ _■ 2006년사업계획(자재운영)-051013" xfId="3870"/>
    <cellStyle name="C￥AØ_°³¹ßAIA¤  (2)_°³¹ßAIA¤ _06사업계획(전산운영)rev1 " xfId="3871"/>
    <cellStyle name="Ç¥ÁØ_°³¹ßÀÏÁ¤  (2)_°³¹ßÀÏÁ¤ _06사업계획(전산운영)rev1 " xfId="3872"/>
    <cellStyle name="C￥AØ_°³¹ßAIA¤  (2)_°³¹ßAIA¤ _06사업계획(전산운영)rev1  10" xfId="3873"/>
    <cellStyle name="Ç¥ÁØ_°³¹ßÀÏÁ¤  (2)_°³¹ßÀÏÁ¤ _06사업계획(전산운영)rev1  10" xfId="3874"/>
    <cellStyle name="C￥AØ_°³¹ßAIA¤  (2)_°³¹ßAIA¤ _06사업계획(전산운영)rev1  11" xfId="3875"/>
    <cellStyle name="Ç¥ÁØ_°³¹ßÀÏÁ¤  (2)_°³¹ßÀÏÁ¤ _06사업계획(전산운영)rev1  11" xfId="3876"/>
    <cellStyle name="C￥AØ_°³¹ßAIA¤  (2)_°³¹ßAIA¤ _06사업계획(전산운영)rev1  12" xfId="3877"/>
    <cellStyle name="Ç¥ÁØ_°³¹ßÀÏÁ¤  (2)_°³¹ßÀÏÁ¤ _06사업계획(전산운영)rev1  12" xfId="3878"/>
    <cellStyle name="C￥AØ_°³¹ßAIA¤  (2)_°³¹ßAIA¤ _06사업계획(전산운영)rev1  13" xfId="3879"/>
    <cellStyle name="Ç¥ÁØ_°³¹ßÀÏÁ¤  (2)_°³¹ßÀÏÁ¤ _06사업계획(전산운영)rev1  13" xfId="3880"/>
    <cellStyle name="C￥AØ_°³¹ßAIA¤  (2)_°³¹ßAIA¤ _06사업계획(전산운영)rev1  14" xfId="3881"/>
    <cellStyle name="Ç¥ÁØ_°³¹ßÀÏÁ¤  (2)_°³¹ßÀÏÁ¤ _06사업계획(전산운영)rev1  14" xfId="3882"/>
    <cellStyle name="C￥AØ_°³¹ßAIA¤  (2)_°³¹ßAIA¤ _06사업계획(전산운영)rev1  2" xfId="3883"/>
    <cellStyle name="Ç¥ÁØ_°³¹ßÀÏÁ¤  (2)_°³¹ßÀÏÁ¤ _06사업계획(전산운영)rev1  2" xfId="3884"/>
    <cellStyle name="C￥AØ_°³¹ßAIA¤  (2)_°³¹ßAIA¤ _06사업계획(전산운영)rev1  3" xfId="3885"/>
    <cellStyle name="Ç¥ÁØ_°³¹ßÀÏÁ¤  (2)_°³¹ßÀÏÁ¤ _06사업계획(전산운영)rev1  3" xfId="3886"/>
    <cellStyle name="C￥AØ_°³¹ßAIA¤  (2)_°³¹ßAIA¤ _06사업계획(전산운영)rev1  4" xfId="3887"/>
    <cellStyle name="Ç¥ÁØ_°³¹ßÀÏÁ¤  (2)_°³¹ßÀÏÁ¤ _06사업계획(전산운영)rev1  4" xfId="3888"/>
    <cellStyle name="C￥AØ_°³¹ßAIA¤  (2)_°³¹ßAIA¤ _06사업계획(전산운영)rev1  5" xfId="3889"/>
    <cellStyle name="Ç¥ÁØ_°³¹ßÀÏÁ¤  (2)_°³¹ßÀÏÁ¤ _06사업계획(전산운영)rev1  5" xfId="3890"/>
    <cellStyle name="C￥AØ_°³¹ßAIA¤  (2)_°³¹ßAIA¤ _06사업계획(전산운영)rev1  6" xfId="3891"/>
    <cellStyle name="Ç¥ÁØ_°³¹ßÀÏÁ¤  (2)_°³¹ßÀÏÁ¤ _06사업계획(전산운영)rev1  6" xfId="3892"/>
    <cellStyle name="C￥AØ_°³¹ßAIA¤  (2)_°³¹ßAIA¤ _06사업계획(전산운영)rev1  7" xfId="3893"/>
    <cellStyle name="Ç¥ÁØ_°³¹ßÀÏÁ¤  (2)_°³¹ßÀÏÁ¤ _06사업계획(전산운영)rev1  7" xfId="3894"/>
    <cellStyle name="C￥AØ_°³¹ßAIA¤  (2)_°³¹ßAIA¤ _06사업계획(전산운영)rev1  8" xfId="3895"/>
    <cellStyle name="Ç¥ÁØ_°³¹ßÀÏÁ¤  (2)_°³¹ßÀÏÁ¤ _06사업계획(전산운영)rev1  8" xfId="3896"/>
    <cellStyle name="C￥AØ_°³¹ßAIA¤  (2)_°³¹ßAIA¤ _06사업계획(전산운영)rev1  9" xfId="3897"/>
    <cellStyle name="Ç¥ÁØ_°³¹ßÀÏÁ¤  (2)_°³¹ßÀÏÁ¤ _06사업계획(전산운영)rev1  9" xfId="3898"/>
    <cellStyle name="C￥AØ_°³¹ßAIA¤  (2)_°³¹ßAIA¤ _2006투자예산(경주A)" xfId="3899"/>
    <cellStyle name="Ç¥ÁØ_°³¹ßÀÏÁ¤  (2)_°³¹ßÀÏÁ¤ _2006투자예산(경주A)" xfId="3900"/>
    <cellStyle name="C￥AØ_°³¹ßAIA¤  (2)_°³¹ßAIA¤ _2006투자예산(경주A) 10" xfId="3901"/>
    <cellStyle name="Ç¥ÁØ_°³¹ßÀÏÁ¤  (2)_°³¹ßÀÏÁ¤ _2006투자예산(경주A) 10" xfId="3902"/>
    <cellStyle name="C￥AØ_°³¹ßAIA¤  (2)_°³¹ßAIA¤ _2006투자예산(경주A) 11" xfId="3903"/>
    <cellStyle name="Ç¥ÁØ_°³¹ßÀÏÁ¤  (2)_°³¹ßÀÏÁ¤ _2006투자예산(경주A) 11" xfId="3904"/>
    <cellStyle name="C￥AØ_°³¹ßAIA¤  (2)_°³¹ßAIA¤ _2006투자예산(경주A) 12" xfId="3905"/>
    <cellStyle name="Ç¥ÁØ_°³¹ßÀÏÁ¤  (2)_°³¹ßÀÏÁ¤ _2006투자예산(경주A) 12" xfId="3906"/>
    <cellStyle name="C￥AØ_°³¹ßAIA¤  (2)_°³¹ßAIA¤ _2006투자예산(경주A) 13" xfId="3907"/>
    <cellStyle name="Ç¥ÁØ_°³¹ßÀÏÁ¤  (2)_°³¹ßÀÏÁ¤ _2006투자예산(경주A) 13" xfId="3908"/>
    <cellStyle name="C￥AØ_°³¹ßAIA¤  (2)_°³¹ßAIA¤ _2006투자예산(경주A) 14" xfId="3909"/>
    <cellStyle name="Ç¥ÁØ_°³¹ßÀÏÁ¤  (2)_°³¹ßÀÏÁ¤ _2006투자예산(경주A) 14" xfId="3910"/>
    <cellStyle name="C￥AØ_°³¹ßAIA¤  (2)_°³¹ßAIA¤ _2006투자예산(경주A) 2" xfId="3911"/>
    <cellStyle name="Ç¥ÁØ_°³¹ßÀÏÁ¤  (2)_°³¹ßÀÏÁ¤ _2006투자예산(경주A) 2" xfId="3912"/>
    <cellStyle name="C￥AØ_°³¹ßAIA¤  (2)_°³¹ßAIA¤ _2006투자예산(경주A) 3" xfId="3913"/>
    <cellStyle name="Ç¥ÁØ_°³¹ßÀÏÁ¤  (2)_°³¹ßÀÏÁ¤ _2006투자예산(경주A) 3" xfId="3914"/>
    <cellStyle name="C￥AØ_°³¹ßAIA¤  (2)_°³¹ßAIA¤ _2006투자예산(경주A) 4" xfId="3915"/>
    <cellStyle name="Ç¥ÁØ_°³¹ßÀÏÁ¤  (2)_°³¹ßÀÏÁ¤ _2006투자예산(경주A) 4" xfId="3916"/>
    <cellStyle name="C￥AØ_°³¹ßAIA¤  (2)_°³¹ßAIA¤ _2006투자예산(경주A) 5" xfId="3917"/>
    <cellStyle name="Ç¥ÁØ_°³¹ßÀÏÁ¤  (2)_°³¹ßÀÏÁ¤ _2006투자예산(경주A) 5" xfId="3918"/>
    <cellStyle name="C￥AØ_°³¹ßAIA¤  (2)_°³¹ßAIA¤ _2006투자예산(경주A) 6" xfId="3919"/>
    <cellStyle name="Ç¥ÁØ_°³¹ßÀÏÁ¤  (2)_°³¹ßÀÏÁ¤ _2006투자예산(경주A) 6" xfId="3920"/>
    <cellStyle name="C￥AØ_°³¹ßAIA¤  (2)_°³¹ßAIA¤ _2006투자예산(경주A) 7" xfId="3921"/>
    <cellStyle name="Ç¥ÁØ_°³¹ßÀÏÁ¤  (2)_°³¹ßÀÏÁ¤ _2006투자예산(경주A) 7" xfId="3922"/>
    <cellStyle name="C￥AØ_°³¹ßAIA¤  (2)_°³¹ßAIA¤ _2006투자예산(경주A) 8" xfId="3923"/>
    <cellStyle name="Ç¥ÁØ_°³¹ßÀÏÁ¤  (2)_°³¹ßÀÏÁ¤ _2006투자예산(경주A) 8" xfId="3924"/>
    <cellStyle name="C￥AØ_°³¹ßAIA¤  (2)_°³¹ßAIA¤ _2006투자예산(경주A) 9" xfId="3925"/>
    <cellStyle name="Ç¥ÁØ_°³¹ßÀÏÁ¤  (2)_°³¹ßÀÏÁ¤ _2006투자예산(경주A) 9" xfId="3926"/>
    <cellStyle name="C￥AØ_°³¹ßAIA¤  (2)_°³¹ßAIA¤ _2006투자예산(경주A)-20051019" xfId="3927"/>
    <cellStyle name="Ç¥ÁØ_°³¹ßÀÏÁ¤  (2)_°³¹ßÀÏÁ¤ _2006투자예산(경주A)-20051019" xfId="3928"/>
    <cellStyle name="C￥AØ_°³¹ßAIA¤  (2)_°³¹ßAIA¤ _2006투자예산(경주A)-20051019 10" xfId="3929"/>
    <cellStyle name="Ç¥ÁØ_°³¹ßÀÏÁ¤  (2)_°³¹ßÀÏÁ¤ _2006투자예산(경주A)-20051019 10" xfId="3930"/>
    <cellStyle name="C￥AØ_°³¹ßAIA¤  (2)_°³¹ßAIA¤ _2006투자예산(경주A)-20051019 11" xfId="3931"/>
    <cellStyle name="Ç¥ÁØ_°³¹ßÀÏÁ¤  (2)_°³¹ßÀÏÁ¤ _2006투자예산(경주A)-20051019 11" xfId="3932"/>
    <cellStyle name="C￥AØ_°³¹ßAIA¤  (2)_°³¹ßAIA¤ _2006투자예산(경주A)-20051019 12" xfId="3933"/>
    <cellStyle name="Ç¥ÁØ_°³¹ßÀÏÁ¤  (2)_°³¹ßÀÏÁ¤ _2006투자예산(경주A)-20051019 12" xfId="3934"/>
    <cellStyle name="C￥AØ_°³¹ßAIA¤  (2)_°³¹ßAIA¤ _2006투자예산(경주A)-20051019 13" xfId="3935"/>
    <cellStyle name="Ç¥ÁØ_°³¹ßÀÏÁ¤  (2)_°³¹ßÀÏÁ¤ _2006투자예산(경주A)-20051019 13" xfId="3936"/>
    <cellStyle name="C￥AØ_°³¹ßAIA¤  (2)_°³¹ßAIA¤ _2006투자예산(경주A)-20051019 14" xfId="3937"/>
    <cellStyle name="Ç¥ÁØ_°³¹ßÀÏÁ¤  (2)_°³¹ßÀÏÁ¤ _2006투자예산(경주A)-20051019 14" xfId="3938"/>
    <cellStyle name="C￥AØ_°³¹ßAIA¤  (2)_°³¹ßAIA¤ _2006투자예산(경주A)-20051019 2" xfId="3939"/>
    <cellStyle name="Ç¥ÁØ_°³¹ßÀÏÁ¤  (2)_°³¹ßÀÏÁ¤ _2006투자예산(경주A)-20051019 2" xfId="3940"/>
    <cellStyle name="C￥AØ_°³¹ßAIA¤  (2)_°³¹ßAIA¤ _2006투자예산(경주A)-20051019 3" xfId="3941"/>
    <cellStyle name="Ç¥ÁØ_°³¹ßÀÏÁ¤  (2)_°³¹ßÀÏÁ¤ _2006투자예산(경주A)-20051019 3" xfId="3942"/>
    <cellStyle name="C￥AØ_°³¹ßAIA¤  (2)_°³¹ßAIA¤ _2006투자예산(경주A)-20051019 4" xfId="3943"/>
    <cellStyle name="Ç¥ÁØ_°³¹ßÀÏÁ¤  (2)_°³¹ßÀÏÁ¤ _2006투자예산(경주A)-20051019 4" xfId="3944"/>
    <cellStyle name="C￥AØ_°³¹ßAIA¤  (2)_°³¹ßAIA¤ _2006투자예산(경주A)-20051019 5" xfId="3945"/>
    <cellStyle name="Ç¥ÁØ_°³¹ßÀÏÁ¤  (2)_°³¹ßÀÏÁ¤ _2006투자예산(경주A)-20051019 5" xfId="3946"/>
    <cellStyle name="C￥AØ_°³¹ßAIA¤  (2)_°³¹ßAIA¤ _2006투자예산(경주A)-20051019 6" xfId="3947"/>
    <cellStyle name="Ç¥ÁØ_°³¹ßÀÏÁ¤  (2)_°³¹ßÀÏÁ¤ _2006투자예산(경주A)-20051019 6" xfId="3948"/>
    <cellStyle name="C￥AØ_°³¹ßAIA¤  (2)_°³¹ßAIA¤ _2006투자예산(경주A)-20051019 7" xfId="3949"/>
    <cellStyle name="Ç¥ÁØ_°³¹ßÀÏÁ¤  (2)_°³¹ßÀÏÁ¤ _2006투자예산(경주A)-20051019 7" xfId="3950"/>
    <cellStyle name="C￥AØ_°³¹ßAIA¤  (2)_°³¹ßAIA¤ _2006투자예산(경주A)-20051019 8" xfId="3951"/>
    <cellStyle name="Ç¥ÁØ_°³¹ßÀÏÁ¤  (2)_°³¹ßÀÏÁ¤ _2006투자예산(경주A)-20051019 8" xfId="3952"/>
    <cellStyle name="C￥AØ_°³¹ßAIA¤  (2)_°³¹ßAIA¤ _2006투자예산(경주A)-20051019 9" xfId="3953"/>
    <cellStyle name="Ç¥ÁØ_°³¹ßÀÏÁ¤  (2)_°³¹ßÀÏÁ¤ _2006투자예산(경주A)-20051019 9" xfId="3954"/>
    <cellStyle name="C￥AØ_°³¹ßAIA¤  (2)_°³¹ßAIA¤ _HMMA LDC분석(030512)" xfId="3955"/>
    <cellStyle name="Ç¥ÁØ_°³¹ßÀÏÁ¤  (2)_°³¹ßÀÏÁ¤ _HMMA LDC분석(030512)" xfId="3956"/>
    <cellStyle name="C￥AØ_°³¹ßAIA¤  (2)_°³¹ßAIA¤ _LDC산출(NF2.4_GL_MT)Rev2(HMMA회신기준)" xfId="3957"/>
    <cellStyle name="Ç¥ÁØ_°³¹ßÀÏÁ¤  (2)_°³¹ßÀÏÁ¤ _LDC산출(NF2.4_GL_MT)Rev2(HMMA회신기준)" xfId="3958"/>
    <cellStyle name="C￥AØ_°³¹ßAIA¤  (2)_°³¹ßAIA¤ _LDC산출(NF3.3_GLS_AT)Rev2(HMMA회신기준)" xfId="3959"/>
    <cellStyle name="Ç¥ÁØ_°³¹ßÀÏÁ¤  (2)_°³¹ßÀÏÁ¤ _LDC산출(NF3.3_GLS_AT)Rev2(HMMA회신기준)" xfId="3960"/>
    <cellStyle name="C￥AØ_°³¹ßAIA¤  (2)_°³¹ßAIA¤ _NF MASTER(040202기준) 040217_YWG BJ송부 대외문첨부" xfId="3961"/>
    <cellStyle name="Ç¥ÁØ_°³¹ßÀÏÁ¤  (2)_°³¹ßÀÏÁ¤ _NF MASTER(040202기준) 040217_YWG BJ송부 대외문첨부" xfId="3962"/>
    <cellStyle name="C￥AØ_°³¹ßAIA¤  (2)_°³¹ßAIA¤ _NF MASTER(040202기준) 040217_YWG BJ송부 대외문첨부 10" xfId="3963"/>
    <cellStyle name="Ç¥ÁØ_°³¹ßÀÏÁ¤  (2)_°³¹ßÀÏÁ¤ _NF MASTER(040202기준) 040217_YWG BJ송부 대외문첨부 10" xfId="3964"/>
    <cellStyle name="C￥AØ_°³¹ßAIA¤  (2)_°³¹ßAIA¤ _NF MASTER(040202기준) 040217_YWG BJ송부 대외문첨부 11" xfId="3965"/>
    <cellStyle name="Ç¥ÁØ_°³¹ßÀÏÁ¤  (2)_°³¹ßÀÏÁ¤ _NF MASTER(040202기준) 040217_YWG BJ송부 대외문첨부 11" xfId="3966"/>
    <cellStyle name="C￥AØ_°³¹ßAIA¤  (2)_°³¹ßAIA¤ _NF MASTER(040202기준) 040217_YWG BJ송부 대외문첨부 12" xfId="3967"/>
    <cellStyle name="Ç¥ÁØ_°³¹ßÀÏÁ¤  (2)_°³¹ßÀÏÁ¤ _NF MASTER(040202기준) 040217_YWG BJ송부 대외문첨부 12" xfId="3968"/>
    <cellStyle name="C￥AØ_°³¹ßAIA¤  (2)_°³¹ßAIA¤ _NF MASTER(040202기준) 040217_YWG BJ송부 대외문첨부 13" xfId="3969"/>
    <cellStyle name="Ç¥ÁØ_°³¹ßÀÏÁ¤  (2)_°³¹ßÀÏÁ¤ _NF MASTER(040202기준) 040217_YWG BJ송부 대외문첨부 13" xfId="3970"/>
    <cellStyle name="C￥AØ_°³¹ßAIA¤  (2)_°³¹ßAIA¤ _NF MASTER(040202기준) 040217_YWG BJ송부 대외문첨부 14" xfId="3971"/>
    <cellStyle name="Ç¥ÁØ_°³¹ßÀÏÁ¤  (2)_°³¹ßÀÏÁ¤ _NF MASTER(040202기준) 040217_YWG BJ송부 대외문첨부 14" xfId="3972"/>
    <cellStyle name="C￥AØ_°³¹ßAIA¤  (2)_°³¹ßAIA¤ _NF MASTER(040202기준) 040217_YWG BJ송부 대외문첨부 2" xfId="3973"/>
    <cellStyle name="Ç¥ÁØ_°³¹ßÀÏÁ¤  (2)_°³¹ßÀÏÁ¤ _NF MASTER(040202기준) 040217_YWG BJ송부 대외문첨부 2" xfId="3974"/>
    <cellStyle name="C￥AØ_°³¹ßAIA¤  (2)_°³¹ßAIA¤ _NF MASTER(040202기준) 040217_YWG BJ송부 대외문첨부 3" xfId="3975"/>
    <cellStyle name="Ç¥ÁØ_°³¹ßÀÏÁ¤  (2)_°³¹ßÀÏÁ¤ _NF MASTER(040202기준) 040217_YWG BJ송부 대외문첨부 3" xfId="3976"/>
    <cellStyle name="C￥AØ_°³¹ßAIA¤  (2)_°³¹ßAIA¤ _NF MASTER(040202기준) 040217_YWG BJ송부 대외문첨부 4" xfId="3977"/>
    <cellStyle name="Ç¥ÁØ_°³¹ßÀÏÁ¤  (2)_°³¹ßÀÏÁ¤ _NF MASTER(040202기준) 040217_YWG BJ송부 대외문첨부 4" xfId="3978"/>
    <cellStyle name="C￥AØ_°³¹ßAIA¤  (2)_°³¹ßAIA¤ _NF MASTER(040202기준) 040217_YWG BJ송부 대외문첨부 5" xfId="3979"/>
    <cellStyle name="Ç¥ÁØ_°³¹ßÀÏÁ¤  (2)_°³¹ßÀÏÁ¤ _NF MASTER(040202기준) 040217_YWG BJ송부 대외문첨부 5" xfId="3980"/>
    <cellStyle name="C￥AØ_°³¹ßAIA¤  (2)_°³¹ßAIA¤ _NF MASTER(040202기준) 040217_YWG BJ송부 대외문첨부 6" xfId="3981"/>
    <cellStyle name="Ç¥ÁØ_°³¹ßÀÏÁ¤  (2)_°³¹ßÀÏÁ¤ _NF MASTER(040202기준) 040217_YWG BJ송부 대외문첨부 6" xfId="3982"/>
    <cellStyle name="C￥AØ_°³¹ßAIA¤  (2)_°³¹ßAIA¤ _NF MASTER(040202기준) 040217_YWG BJ송부 대외문첨부 7" xfId="3983"/>
    <cellStyle name="Ç¥ÁØ_°³¹ßÀÏÁ¤  (2)_°³¹ßÀÏÁ¤ _NF MASTER(040202기준) 040217_YWG BJ송부 대외문첨부 7" xfId="3984"/>
    <cellStyle name="C￥AØ_°³¹ßAIA¤  (2)_°³¹ßAIA¤ _NF MASTER(040202기준) 040217_YWG BJ송부 대외문첨부 8" xfId="3985"/>
    <cellStyle name="Ç¥ÁØ_°³¹ßÀÏÁ¤  (2)_°³¹ßÀÏÁ¤ _NF MASTER(040202기준) 040217_YWG BJ송부 대외문첨부 8" xfId="3986"/>
    <cellStyle name="C￥AØ_°³¹ßAIA¤  (2)_°³¹ßAIA¤ _NF MASTER(040202기준) 040217_YWG BJ송부 대외문첨부 9" xfId="3987"/>
    <cellStyle name="Ç¥ÁØ_°³¹ßÀÏÁ¤  (2)_°³¹ßÀÏÁ¤ _NF MASTER(040202기준) 040217_YWG BJ송부 대외문첨부 9" xfId="3988"/>
    <cellStyle name="C￥AØ_°ø≫c¿ø°¡" xfId="3989"/>
    <cellStyle name="Ç¥ÁØ_0N-HANDLING " xfId="3990"/>
    <cellStyle name="C￥AØ_¼oAI¼º " xfId="149"/>
    <cellStyle name="Ç¥ÁØ_½Ä´çÀÌÀü°èÈ¹" xfId="3991"/>
    <cellStyle name="C￥AØ_½A¿eμi±ÞC￥" xfId="3992"/>
    <cellStyle name="Ç¥ÁØ_¾÷¹«" xfId="3993"/>
    <cellStyle name="C￥AØ_¾÷¹≪FLOW" xfId="3994"/>
    <cellStyle name="Ç¥ÁØ_1.ÆÇ¸Å½ÇÀû " xfId="3995"/>
    <cellStyle name="C￥AØ_1.ÆC¸A½CAu _1999³a KDQR A¾CO" xfId="3996"/>
    <cellStyle name="Ç¥ÁØ_1.SUMMARY " xfId="3997"/>
    <cellStyle name="C￥AØ_1.SUMMARY _1999³a KDQR A¾CO" xfId="3998"/>
    <cellStyle name="Ç¥ÁØ_¹æ¾È" xfId="3999"/>
    <cellStyle name="C￥AØ_¹æ¾E2" xfId="4000"/>
    <cellStyle name="Ç¥ÁØ_¹æ¾È2" xfId="4001"/>
    <cellStyle name="C￥AØ_2000³a GRACE KDQR" xfId="4002"/>
    <cellStyle name="Ç¥ÁØ_3.MSCHEDULE¿µ¹® " xfId="4003"/>
    <cellStyle name="C￥AØ_3.MSCHEDULE¿μ¹R " xfId="4004"/>
    <cellStyle name="Ç¥ÁØ_³»ÀÚÀÔ°íFLOW_IPGOFLOW(LP)X)P)TS)2)be " xfId="4005"/>
    <cellStyle name="C￥AØ_3-1 ¹°·uºn" xfId="4006"/>
    <cellStyle name="Ç¥ÁØ_3PJTR°èÈ¹ " xfId="4007"/>
    <cellStyle name="C￥AØ_3PJTR°eE¹ _1999³a KDQR A¾CO" xfId="4008"/>
    <cellStyle name="Ç¥ÁØ_4 " xfId="4009"/>
    <cellStyle name="C￥AØ_4 _1999³a KDQR A¾CO" xfId="4010"/>
    <cellStyle name="Ç¥ÁØ_5-1±¤°í " xfId="4011"/>
    <cellStyle name="C￥AØ_5-1±¤°i _■ 2006년사업계획(자재운영)-051020" xfId="4012"/>
    <cellStyle name="Ç¥ÁØ_5-1±¤°í _■ 2006년사업계획(자재운영)-051020" xfId="4013"/>
    <cellStyle name="C￥AØ_5-1±¤°i _■ 2006년사업계획(자재운영)-051020 10" xfId="4014"/>
    <cellStyle name="Ç¥ÁØ_5-1±¤°í _■ 2006년사업계획(자재운영)-051020 10" xfId="4015"/>
    <cellStyle name="C￥AØ_5-1±¤°i _■ 2006년사업계획(자재운영)-051020 11" xfId="4016"/>
    <cellStyle name="Ç¥ÁØ_5-1±¤°í _■ 2006년사업계획(자재운영)-051020 11" xfId="4017"/>
    <cellStyle name="C￥AØ_5-1±¤°i _■ 2006년사업계획(자재운영)-051020 12" xfId="4018"/>
    <cellStyle name="Ç¥ÁØ_5-1±¤°í _■ 2006년사업계획(자재운영)-051020 12" xfId="4019"/>
    <cellStyle name="C￥AØ_5-1±¤°i _■ 2006년사업계획(자재운영)-051020 13" xfId="4020"/>
    <cellStyle name="Ç¥ÁØ_5-1±¤°í _■ 2006년사업계획(자재운영)-051020 13" xfId="4021"/>
    <cellStyle name="C￥AØ_5-1±¤°i _■ 2006년사업계획(자재운영)-051020 14" xfId="4022"/>
    <cellStyle name="Ç¥ÁØ_5-1±¤°í _■ 2006년사업계획(자재운영)-051020 14" xfId="4023"/>
    <cellStyle name="C￥AØ_5-1±¤°i _■ 2006년사업계획(자재운영)-051020 2" xfId="4024"/>
    <cellStyle name="Ç¥ÁØ_5-1±¤°í _■ 2006년사업계획(자재운영)-051020 2" xfId="4025"/>
    <cellStyle name="C￥AØ_5-1±¤°i _■ 2006년사업계획(자재운영)-051020 3" xfId="4026"/>
    <cellStyle name="Ç¥ÁØ_5-1±¤°í _■ 2006년사업계획(자재운영)-051020 3" xfId="4027"/>
    <cellStyle name="C￥AØ_5-1±¤°i _■ 2006년사업계획(자재운영)-051020 4" xfId="4028"/>
    <cellStyle name="Ç¥ÁØ_5-1±¤°í _■ 2006년사업계획(자재운영)-051020 4" xfId="4029"/>
    <cellStyle name="C￥AØ_5-1±¤°i _■ 2006년사업계획(자재운영)-051020 5" xfId="4030"/>
    <cellStyle name="Ç¥ÁØ_5-1±¤°í _■ 2006년사업계획(자재운영)-051020 5" xfId="4031"/>
    <cellStyle name="C￥AØ_5-1±¤°i _■ 2006년사업계획(자재운영)-051020 6" xfId="4032"/>
    <cellStyle name="Ç¥ÁØ_5-1±¤°í _■ 2006년사업계획(자재운영)-051020 6" xfId="4033"/>
    <cellStyle name="C￥AØ_5-1±¤°i _■ 2006년사업계획(자재운영)-051020 7" xfId="4034"/>
    <cellStyle name="Ç¥ÁØ_5-1±¤°í _■ 2006년사업계획(자재운영)-051020 7" xfId="4035"/>
    <cellStyle name="C￥AØ_5-1±¤°i _■ 2006년사업계획(자재운영)-051020 8" xfId="4036"/>
    <cellStyle name="Ç¥ÁØ_5-1±¤°í _■ 2006년사업계획(자재운영)-051020 8" xfId="4037"/>
    <cellStyle name="C￥AØ_5-1±¤°i _■ 2006년사업계획(자재운영)-051020 9" xfId="4038"/>
    <cellStyle name="Ç¥ÁØ_5-1±¤°í _■ 2006년사업계획(자재운영)-051020 9" xfId="4039"/>
    <cellStyle name="C￥AØ_5-1±¤°i _030930 사업계획예산안(2004)" xfId="4040"/>
    <cellStyle name="Ç¥ÁØ_5-1±¤°í _05투자계획작성-04.12.30" xfId="4041"/>
    <cellStyle name="C￥AØ_5-1±¤°i _2006년 사업계획(투자)_20051114-20051114" xfId="4042"/>
    <cellStyle name="Ç¥ÁØ_5-1±¤°í _2006년 사업계획(투자)_20051114-20051114" xfId="4043"/>
    <cellStyle name="C￥AØ_5-1±¤°i _2006년 포장자재비볼륨(사업계획)_최종_20051020" xfId="4044"/>
    <cellStyle name="Ç¥ÁØ_5-1±¤°í _2006년 포장자재비볼륨(사업계획)_최종_20051020" xfId="4045"/>
    <cellStyle name="C￥AØ_5-1±¤°i _2006년도 CKD운영팀 투자계획" xfId="4046"/>
    <cellStyle name="Ç¥ÁØ_5-1±¤°í _2006년도 CKD운영팀 투자계획" xfId="4047"/>
    <cellStyle name="C￥AØ_5-1±¤°i _2006예산(조직변경후-수익성절감) (version 1)" xfId="4048"/>
    <cellStyle name="Ç¥ÁØ_5-1±¤°í _2006투자예산(경주A)" xfId="4049"/>
    <cellStyle name="C￥AØ_5-1±¤°i _2006투자예산(경주A)-20051019" xfId="4050"/>
    <cellStyle name="Ç¥ÁØ_5-1±¤°í _2006투자예산(경주A)-20051019" xfId="4051"/>
    <cellStyle name="C￥AØ_5-1±¤°i _2006투자예산(경주A)-20051019 10" xfId="4052"/>
    <cellStyle name="Ç¥ÁØ_5-1±¤°í _2006투자예산(경주A)-20051019 10" xfId="4053"/>
    <cellStyle name="C￥AØ_5-1±¤°i _2006투자예산(경주A)-20051019 11" xfId="4054"/>
    <cellStyle name="Ç¥ÁØ_5-1±¤°í _2006투자예산(경주A)-20051019 11" xfId="4055"/>
    <cellStyle name="C￥AØ_5-1±¤°i _2006투자예산(경주A)-20051019 12" xfId="4056"/>
    <cellStyle name="Ç¥ÁØ_5-1±¤°í _2006투자예산(경주A)-20051019 12" xfId="4057"/>
    <cellStyle name="C￥AØ_5-1±¤°i _2006투자예산(경주A)-20051019 13" xfId="4058"/>
    <cellStyle name="Ç¥ÁØ_5-1±¤°í _2006투자예산(경주A)-20051019 13" xfId="4059"/>
    <cellStyle name="C￥AØ_5-1±¤°i _2006투자예산(경주A)-20051019 14" xfId="4060"/>
    <cellStyle name="Ç¥ÁØ_5-1±¤°í _2006투자예산(경주A)-20051019 14" xfId="4061"/>
    <cellStyle name="C￥AØ_5-1±¤°i _2006투자예산(경주A)-20051019 2" xfId="4062"/>
    <cellStyle name="Ç¥ÁØ_5-1±¤°í _2006투자예산(경주A)-20051019 2" xfId="4063"/>
    <cellStyle name="C￥AØ_5-1±¤°i _2006투자예산(경주A)-20051019 3" xfId="4064"/>
    <cellStyle name="Ç¥ÁØ_5-1±¤°í _2006투자예산(경주A)-20051019 3" xfId="4065"/>
    <cellStyle name="C￥AØ_5-1±¤°i _2006투자예산(경주A)-20051019 4" xfId="4066"/>
    <cellStyle name="Ç¥ÁØ_5-1±¤°í _2006투자예산(경주A)-20051019 4" xfId="4067"/>
    <cellStyle name="C￥AØ_5-1±¤°i _2006투자예산(경주A)-20051019 5" xfId="4068"/>
    <cellStyle name="Ç¥ÁØ_5-1±¤°í _2006투자예산(경주A)-20051019 5" xfId="4069"/>
    <cellStyle name="C￥AØ_5-1±¤°i _2006투자예산(경주A)-20051019 6" xfId="4070"/>
    <cellStyle name="Ç¥ÁØ_5-1±¤°í _2006투자예산(경주A)-20051019 6" xfId="4071"/>
    <cellStyle name="C￥AØ_5-1±¤°i _2006투자예산(경주A)-20051019 7" xfId="4072"/>
    <cellStyle name="Ç¥ÁØ_5-1±¤°í _2006투자예산(경주A)-20051019 7" xfId="4073"/>
    <cellStyle name="C￥AØ_5-1±¤°i _2006투자예산(경주A)-20051019 8" xfId="4074"/>
    <cellStyle name="Ç¥ÁØ_5-1±¤°í _2006투자예산(경주A)-20051019 8" xfId="4075"/>
    <cellStyle name="C￥AØ_5-1±¤°i _2006투자예산(경주A)-20051019 9" xfId="4076"/>
    <cellStyle name="Ç¥ÁØ_5-1±¤°í _2006투자예산(경주A)-20051019 9" xfId="4077"/>
    <cellStyle name="C￥AØ_5-1±¤°i _물류운영2팀-1차-20051028" xfId="4078"/>
    <cellStyle name="Ç¥ÁØ_5-1±¤°í _물류운영2팀-1차-20051028" xfId="4079"/>
    <cellStyle name="C￥AØ_5-3-3-1-1.≫y≫e±¸A¶ºÐ¼R-MAT'L¡­ " xfId="4080"/>
    <cellStyle name="Ç¥ÁØ_6-3°æÀï·Â " xfId="4081"/>
    <cellStyle name="C￥AØ_7.MASTER SCHEDULE " xfId="4082"/>
    <cellStyle name="Ç¥ÁØ_7.MASTER SCHEDULE " xfId="4083"/>
    <cellStyle name="C￥AØ_7.MASTER SCHEDULE _1999³a KDQR A¾CO" xfId="4084"/>
    <cellStyle name="Ç¥ÁØ_96ÀÎ¿ø°è2 " xfId="4085"/>
    <cellStyle name="C￥AØ_96AI¿ø°O 3 " xfId="4086"/>
    <cellStyle name="Ç¥ÁØ_96ÀÎ¿ø°Ô 3 " xfId="4087"/>
    <cellStyle name="C￥AØ_97³a" xfId="4088"/>
    <cellStyle name="Ç¥ÁØ_Ã¤±Ç¼­·ù" xfId="4089"/>
    <cellStyle name="C￥AØ_A÷¿ø½A≫o" xfId="4090"/>
    <cellStyle name="Ç¥ÁØ_Á¶Á÷µµ(12.31) " xfId="4091"/>
    <cellStyle name="C￥AØ_A¶A÷μμ" xfId="4092"/>
    <cellStyle name="Ç¥ÁØ_Ã·ºÎ2 " xfId="4093"/>
    <cellStyle name="C￥AØ_A¾CO_8HR " xfId="4094"/>
    <cellStyle name="Ç¥ÁØ_Á¾ÇÕ½Å¼³ " xfId="5104"/>
    <cellStyle name="C￥AØ_A¾COA¶°AºÐ " xfId="5105"/>
    <cellStyle name="Ç¥ÁØ_Á¾ÇÕÃ¶°ÅºÐ " xfId="5106"/>
    <cellStyle name="C￥AØ_AI¿øCoE² " xfId="4095"/>
    <cellStyle name="Ç¥ÁØ_ÁÖ°£º¸°í" xfId="4096"/>
    <cellStyle name="C￥AØ_AoAUºn(ºI¼­º°,°eA¤º°) " xfId="4097"/>
    <cellStyle name="Ç¥ÁØ_ÅõÀÚºñ(ºÎ¼­º°,°èÁ¤º°) " xfId="4098"/>
    <cellStyle name="C￥AØ_ArbiteC°AC" xfId="4099"/>
    <cellStyle name="Ç¥ÁØ_ÀÚÀçº»ºÎ " xfId="4100"/>
    <cellStyle name="C￥AØ_AUAcº≫ºI " xfId="4101"/>
    <cellStyle name="Ç¥ÁØ_Áý°èÇ¥(2¿ù) " xfId="4102"/>
    <cellStyle name="C￥AØ_Ay°eC￥(2¿u) _030930 사업계획예산안(2004)" xfId="4103"/>
    <cellStyle name="Ç¥ÁØ_Áý°èÇ¥(2¿ù) _05투자계획작성-04.12.30" xfId="4104"/>
    <cellStyle name="C￥AØ_C￥Ao _1999³a KDQR A¾CO" xfId="4105"/>
    <cellStyle name="Ç¥ÁØ_Ç° " xfId="4106"/>
    <cellStyle name="C￥AØ_CN°eAIAI" xfId="4107"/>
    <cellStyle name="Ç¥ÁØ_ÇùÁ¶Àü_ÅõÀÔ°èÈ¹ " xfId="4108"/>
    <cellStyle name="C￥AØ_DELIVERY PIPE¼³°e" xfId="4109"/>
    <cellStyle name="Ç¥ÁØ_EF PAD " xfId="4110"/>
    <cellStyle name="C￥AØ_eoCoE²" xfId="4111"/>
    <cellStyle name="Ç¥ÁØ_laroux" xfId="4112"/>
    <cellStyle name="C￥AØ_laroux_°³¹ßAIA¤  (2)_°³¹ßAIA¤ " xfId="4113"/>
    <cellStyle name="Ç¥ÁØ_laroux_°³¹ßÀÏÁ¤  (2)_°³¹ßÀÏÁ¤ " xfId="4114"/>
    <cellStyle name="C￥AØ_laroux_°³¹ßAIA¤  (2)_°³¹ßAIA¤  10" xfId="4115"/>
    <cellStyle name="Ç¥ÁØ_laroux_°³¹ßÀÏÁ¤  (2)_°³¹ßÀÏÁ¤  10" xfId="4116"/>
    <cellStyle name="C￥AØ_laroux_°³¹ßAIA¤  (2)_°³¹ßAIA¤  11" xfId="4117"/>
    <cellStyle name="Ç¥ÁØ_laroux_°³¹ßÀÏÁ¤  (2)_°³¹ßÀÏÁ¤  11" xfId="4118"/>
    <cellStyle name="C￥AØ_laroux_°³¹ßAIA¤  (2)_°³¹ßAIA¤  12" xfId="4119"/>
    <cellStyle name="Ç¥ÁØ_laroux_°³¹ßÀÏÁ¤  (2)_°³¹ßÀÏÁ¤  12" xfId="4120"/>
    <cellStyle name="C￥AØ_laroux_°³¹ßAIA¤  (2)_°³¹ßAIA¤  13" xfId="4121"/>
    <cellStyle name="Ç¥ÁØ_laroux_°³¹ßÀÏÁ¤  (2)_°³¹ßÀÏÁ¤  13" xfId="4122"/>
    <cellStyle name="C￥AØ_laroux_°³¹ßAIA¤  (2)_°³¹ßAIA¤  14" xfId="4123"/>
    <cellStyle name="Ç¥ÁØ_laroux_°³¹ßÀÏÁ¤  (2)_°³¹ßÀÏÁ¤  14" xfId="4124"/>
    <cellStyle name="C￥AØ_laroux_°³¹ßAIA¤  (2)_°³¹ßAIA¤  2" xfId="4125"/>
    <cellStyle name="Ç¥ÁØ_laroux_°³¹ßÀÏÁ¤  (2)_°³¹ßÀÏÁ¤  2" xfId="4126"/>
    <cellStyle name="C￥AØ_laroux_°³¹ßAIA¤  (2)_°³¹ßAIA¤  3" xfId="4127"/>
    <cellStyle name="Ç¥ÁØ_laroux_°³¹ßÀÏÁ¤  (2)_°³¹ßÀÏÁ¤  3" xfId="4128"/>
    <cellStyle name="C￥AØ_laroux_°³¹ßAIA¤  (2)_°³¹ßAIA¤  4" xfId="4129"/>
    <cellStyle name="Ç¥ÁØ_laroux_°³¹ßÀÏÁ¤  (2)_°³¹ßÀÏÁ¤  4" xfId="4130"/>
    <cellStyle name="C￥AØ_laroux_°³¹ßAIA¤  (2)_°³¹ßAIA¤  5" xfId="4131"/>
    <cellStyle name="Ç¥ÁØ_laroux_°³¹ßÀÏÁ¤  (2)_°³¹ßÀÏÁ¤  5" xfId="4132"/>
    <cellStyle name="C￥AØ_laroux_°³¹ßAIA¤  (2)_°³¹ßAIA¤  6" xfId="4133"/>
    <cellStyle name="Ç¥ÁØ_laroux_°³¹ßÀÏÁ¤  (2)_°³¹ßÀÏÁ¤  6" xfId="4134"/>
    <cellStyle name="C￥AØ_laroux_°³¹ßAIA¤  (2)_°³¹ßAIA¤  7" xfId="4135"/>
    <cellStyle name="Ç¥ÁØ_laroux_°³¹ßÀÏÁ¤  (2)_°³¹ßÀÏÁ¤  7" xfId="4136"/>
    <cellStyle name="C￥AØ_laroux_°³¹ßAIA¤  (2)_°³¹ßAIA¤  8" xfId="4137"/>
    <cellStyle name="Ç¥ÁØ_laroux_°³¹ßÀÏÁ¤  (2)_°³¹ßÀÏÁ¤  8" xfId="4138"/>
    <cellStyle name="C￥AØ_laroux_°³¹ßAIA¤  (2)_°³¹ßAIA¤  9" xfId="4139"/>
    <cellStyle name="Ç¥ÁØ_laroux_°³¹ßÀÏÁ¤  (2)_°³¹ßÀÏÁ¤  9" xfId="4140"/>
    <cellStyle name="C￥AØ_laroux_°³¹ßAIA¤  (2)_°³¹ßAIA¤ _11월 예실적보고" xfId="4141"/>
    <cellStyle name="Ç¥ÁØ_laroux_°³¹ßÀÏÁ¤  (2)_°³¹ßÀÏÁ¤ _11월 예실적보고" xfId="4142"/>
    <cellStyle name="C￥AØ_laroux_°³¹ßAIA¤  (2)_°³¹ßAIA¤ _2005년 3월매출정리 (수정)" xfId="4143"/>
    <cellStyle name="Ç¥ÁØ_laroux_°³¹ßÀÏÁ¤  (2)_°³¹ßÀÏÁ¤ _2005년 3월매출정리 (수정)" xfId="4144"/>
    <cellStyle name="C￥AØ_laroux_°³¹ßAIA¤  (2)_°³¹ßAIA¤ _2006년 사업계획_Ver.2" xfId="4145"/>
    <cellStyle name="Ç¥ÁØ_laroux_°³¹ßÀÏÁ¤  (2)_°³¹ßÀÏÁ¤ _2006년 사업계획_Ver.2" xfId="4146"/>
    <cellStyle name="C￥AØ_laroux_°³¹ßAIA¤  (2)_°³¹ßAIA¤ _2006년 사업계획_Ver.2 10" xfId="4147"/>
    <cellStyle name="Ç¥ÁØ_laroux_°³¹ßÀÏÁ¤  (2)_°³¹ßÀÏÁ¤ _2006년 사업계획_Ver.2 10" xfId="4148"/>
    <cellStyle name="C￥AØ_laroux_°³¹ßAIA¤  (2)_°³¹ßAIA¤ _2006년 사업계획_Ver.2 11" xfId="4149"/>
    <cellStyle name="Ç¥ÁØ_laroux_°³¹ßÀÏÁ¤  (2)_°³¹ßÀÏÁ¤ _2006년 사업계획_Ver.2 11" xfId="4150"/>
    <cellStyle name="C￥AØ_laroux_°³¹ßAIA¤  (2)_°³¹ßAIA¤ _2006년 사업계획_Ver.2 12" xfId="4151"/>
    <cellStyle name="Ç¥ÁØ_laroux_°³¹ßÀÏÁ¤  (2)_°³¹ßÀÏÁ¤ _2006년 사업계획_Ver.2 12" xfId="4152"/>
    <cellStyle name="C￥AØ_laroux_°³¹ßAIA¤  (2)_°³¹ßAIA¤ _2006년 사업계획_Ver.2 13" xfId="4153"/>
    <cellStyle name="Ç¥ÁØ_laroux_°³¹ßÀÏÁ¤  (2)_°³¹ßÀÏÁ¤ _2006년 사업계획_Ver.2 13" xfId="4154"/>
    <cellStyle name="C￥AØ_laroux_°³¹ßAIA¤  (2)_°³¹ßAIA¤ _2006년 사업계획_Ver.2 14" xfId="4155"/>
    <cellStyle name="Ç¥ÁØ_laroux_°³¹ßÀÏÁ¤  (2)_°³¹ßÀÏÁ¤ _2006년 사업계획_Ver.2 14" xfId="4156"/>
    <cellStyle name="C￥AØ_laroux_°³¹ßAIA¤  (2)_°³¹ßAIA¤ _2006년 사업계획_Ver.2 2" xfId="4157"/>
    <cellStyle name="Ç¥ÁØ_laroux_°³¹ßÀÏÁ¤  (2)_°³¹ßÀÏÁ¤ _2006년 사업계획_Ver.2 2" xfId="4158"/>
    <cellStyle name="C￥AØ_laroux_°³¹ßAIA¤  (2)_°³¹ßAIA¤ _2006년 사업계획_Ver.2 3" xfId="4159"/>
    <cellStyle name="Ç¥ÁØ_laroux_°³¹ßÀÏÁ¤  (2)_°³¹ßÀÏÁ¤ _2006년 사업계획_Ver.2 3" xfId="4160"/>
    <cellStyle name="C￥AØ_laroux_°³¹ßAIA¤  (2)_°³¹ßAIA¤ _2006년 사업계획_Ver.2 4" xfId="4161"/>
    <cellStyle name="Ç¥ÁØ_laroux_°³¹ßÀÏÁ¤  (2)_°³¹ßÀÏÁ¤ _2006년 사업계획_Ver.2 4" xfId="4162"/>
    <cellStyle name="C￥AØ_laroux_°³¹ßAIA¤  (2)_°³¹ßAIA¤ _2006년 사업계획_Ver.2 5" xfId="4163"/>
    <cellStyle name="Ç¥ÁØ_laroux_°³¹ßÀÏÁ¤  (2)_°³¹ßÀÏÁ¤ _2006년 사업계획_Ver.2 5" xfId="4164"/>
    <cellStyle name="C￥AØ_laroux_°³¹ßAIA¤  (2)_°³¹ßAIA¤ _2006년 사업계획_Ver.2 6" xfId="4165"/>
    <cellStyle name="Ç¥ÁØ_laroux_°³¹ßÀÏÁ¤  (2)_°³¹ßÀÏÁ¤ _2006년 사업계획_Ver.2 6" xfId="4166"/>
    <cellStyle name="C￥AØ_laroux_°³¹ßAIA¤  (2)_°³¹ßAIA¤ _2006년 사업계획_Ver.2 7" xfId="4167"/>
    <cellStyle name="Ç¥ÁØ_laroux_°³¹ßÀÏÁ¤  (2)_°³¹ßÀÏÁ¤ _2006년 사업계획_Ver.2 7" xfId="4168"/>
    <cellStyle name="C￥AØ_laroux_°³¹ßAIA¤  (2)_°³¹ßAIA¤ _2006년 사업계획_Ver.2 8" xfId="4169"/>
    <cellStyle name="Ç¥ÁØ_laroux_°³¹ßÀÏÁ¤  (2)_°³¹ßÀÏÁ¤ _2006년 사업계획_Ver.2 8" xfId="4170"/>
    <cellStyle name="C￥AØ_laroux_°³¹ßAIA¤  (2)_°³¹ßAIA¤ _2006년 사업계획_Ver.2 9" xfId="4171"/>
    <cellStyle name="Ç¥ÁØ_laroux_°³¹ßÀÏÁ¤  (2)_°³¹ßÀÏÁ¤ _2006년 사업계획_Ver.2 9" xfId="4172"/>
    <cellStyle name="C￥AØ_laroux_°³¹ßAIA¤  (2)_°³¹ßAIA¤ _2006예산(조직변경후-수익성절감) (version 1)" xfId="4173"/>
    <cellStyle name="Ç¥ÁØ_laroux_°³¹ßÀÏÁ¤  (2)_°³¹ßÀÏÁ¤ _2006예산(조직변경후-수익성절감) (version 1)" xfId="4174"/>
    <cellStyle name="C￥AØ_laroux_°³¹ßAIA¤  (2)_°³¹ßAIA¤ _2006예산(조직변경후-수익성절감) (version 1) 10" xfId="4175"/>
    <cellStyle name="Ç¥ÁØ_laroux_°³¹ßÀÏÁ¤  (2)_°³¹ßÀÏÁ¤ _2006예산(조직변경후-수익성절감) (version 1) 10" xfId="4176"/>
    <cellStyle name="C￥AØ_laroux_°³¹ßAIA¤  (2)_°³¹ßAIA¤ _2006예산(조직변경후-수익성절감) (version 1) 11" xfId="4177"/>
    <cellStyle name="Ç¥ÁØ_laroux_°³¹ßÀÏÁ¤  (2)_°³¹ßÀÏÁ¤ _2006예산(조직변경후-수익성절감) (version 1) 11" xfId="4178"/>
    <cellStyle name="C￥AØ_laroux_°³¹ßAIA¤  (2)_°³¹ßAIA¤ _2006예산(조직변경후-수익성절감) (version 1) 12" xfId="4179"/>
    <cellStyle name="Ç¥ÁØ_laroux_°³¹ßÀÏÁ¤  (2)_°³¹ßÀÏÁ¤ _2006예산(조직변경후-수익성절감) (version 1) 12" xfId="4180"/>
    <cellStyle name="C￥AØ_laroux_°³¹ßAIA¤  (2)_°³¹ßAIA¤ _2006예산(조직변경후-수익성절감) (version 1) 13" xfId="4181"/>
    <cellStyle name="Ç¥ÁØ_laroux_°³¹ßÀÏÁ¤  (2)_°³¹ßÀÏÁ¤ _2006예산(조직변경후-수익성절감) (version 1) 13" xfId="4182"/>
    <cellStyle name="C￥AØ_laroux_°³¹ßAIA¤  (2)_°³¹ßAIA¤ _2006예산(조직변경후-수익성절감) (version 1) 14" xfId="4183"/>
    <cellStyle name="Ç¥ÁØ_laroux_°³¹ßÀÏÁ¤  (2)_°³¹ßÀÏÁ¤ _2006예산(조직변경후-수익성절감) (version 1) 14" xfId="4184"/>
    <cellStyle name="C￥AØ_laroux_°³¹ßAIA¤  (2)_°³¹ßAIA¤ _2006예산(조직변경후-수익성절감) (version 1) 2" xfId="4185"/>
    <cellStyle name="Ç¥ÁØ_laroux_°³¹ßÀÏÁ¤  (2)_°³¹ßÀÏÁ¤ _2006예산(조직변경후-수익성절감) (version 1) 2" xfId="4186"/>
    <cellStyle name="C￥AØ_laroux_°³¹ßAIA¤  (2)_°³¹ßAIA¤ _2006예산(조직변경후-수익성절감) (version 1) 3" xfId="4187"/>
    <cellStyle name="Ç¥ÁØ_laroux_°³¹ßÀÏÁ¤  (2)_°³¹ßÀÏÁ¤ _2006예산(조직변경후-수익성절감) (version 1) 3" xfId="4188"/>
    <cellStyle name="C￥AØ_laroux_°³¹ßAIA¤  (2)_°³¹ßAIA¤ _2006예산(조직변경후-수익성절감) (version 1) 4" xfId="4189"/>
    <cellStyle name="Ç¥ÁØ_laroux_°³¹ßÀÏÁ¤  (2)_°³¹ßÀÏÁ¤ _2006예산(조직변경후-수익성절감) (version 1) 4" xfId="4190"/>
    <cellStyle name="C￥AØ_laroux_°³¹ßAIA¤  (2)_°³¹ßAIA¤ _2006예산(조직변경후-수익성절감) (version 1) 5" xfId="4191"/>
    <cellStyle name="Ç¥ÁØ_laroux_°³¹ßÀÏÁ¤  (2)_°³¹ßÀÏÁ¤ _2006예산(조직변경후-수익성절감) (version 1) 5" xfId="4192"/>
    <cellStyle name="C￥AØ_laroux_°³¹ßAIA¤  (2)_°³¹ßAIA¤ _2006예산(조직변경후-수익성절감) (version 1) 6" xfId="4193"/>
    <cellStyle name="Ç¥ÁØ_laroux_°³¹ßÀÏÁ¤  (2)_°³¹ßÀÏÁ¤ _2006예산(조직변경후-수익성절감) (version 1) 6" xfId="4194"/>
    <cellStyle name="C￥AØ_laroux_°³¹ßAIA¤  (2)_°³¹ßAIA¤ _2006예산(조직변경후-수익성절감) (version 1) 7" xfId="4195"/>
    <cellStyle name="Ç¥ÁØ_laroux_°³¹ßÀÏÁ¤  (2)_°³¹ßÀÏÁ¤ _2006예산(조직변경후-수익성절감) (version 1) 7" xfId="4196"/>
    <cellStyle name="C￥AØ_laroux_°³¹ßAIA¤  (2)_°³¹ßAIA¤ _2006예산(조직변경후-수익성절감) (version 1) 8" xfId="4197"/>
    <cellStyle name="Ç¥ÁØ_laroux_°³¹ßÀÏÁ¤  (2)_°³¹ßÀÏÁ¤ _2006예산(조직변경후-수익성절감) (version 1) 8" xfId="4198"/>
    <cellStyle name="C￥AØ_laroux_°³¹ßAIA¤  (2)_°³¹ßAIA¤ _2006예산(조직변경후-수익성절감) (version 1) 9" xfId="4199"/>
    <cellStyle name="Ç¥ÁØ_laroux_°³¹ßÀÏÁ¤  (2)_°³¹ßÀÏÁ¤ _2006예산(조직변경후-수익성절감) (version 1) 9" xfId="4200"/>
    <cellStyle name="C￥AØ_laroux_°³¹ßAIA¤  (2)_°³¹ßAIA¤ _PNF검토(050406)" xfId="4201"/>
    <cellStyle name="Ç¥ÁØ_laroux_°³¹ßÀÏÁ¤  (2)_°³¹ßÀÏÁ¤ _PNF검토(050406)" xfId="4202"/>
    <cellStyle name="C￥AØ_laroux_°³¹ßAIA¤  (2)_°³¹ßAIA¤ _PNF검토(050406) 10" xfId="4203"/>
    <cellStyle name="Ç¥ÁØ_laroux_°³¹ßÀÏÁ¤  (2)_°³¹ßÀÏÁ¤ _PNF검토(050406) 10" xfId="4204"/>
    <cellStyle name="C￥AØ_laroux_°³¹ßAIA¤  (2)_°³¹ßAIA¤ _PNF검토(050406) 11" xfId="4205"/>
    <cellStyle name="Ç¥ÁØ_laroux_°³¹ßÀÏÁ¤  (2)_°³¹ßÀÏÁ¤ _PNF검토(050406) 11" xfId="4206"/>
    <cellStyle name="C￥AØ_laroux_°³¹ßAIA¤  (2)_°³¹ßAIA¤ _PNF검토(050406) 12" xfId="4207"/>
    <cellStyle name="Ç¥ÁØ_laroux_°³¹ßÀÏÁ¤  (2)_°³¹ßÀÏÁ¤ _PNF검토(050406) 12" xfId="4208"/>
    <cellStyle name="C￥AØ_laroux_°³¹ßAIA¤  (2)_°³¹ßAIA¤ _PNF검토(050406) 13" xfId="4209"/>
    <cellStyle name="Ç¥ÁØ_laroux_°³¹ßÀÏÁ¤  (2)_°³¹ßÀÏÁ¤ _PNF검토(050406) 13" xfId="4210"/>
    <cellStyle name="C￥AØ_laroux_°³¹ßAIA¤  (2)_°³¹ßAIA¤ _PNF검토(050406) 14" xfId="4211"/>
    <cellStyle name="Ç¥ÁØ_laroux_°³¹ßÀÏÁ¤  (2)_°³¹ßÀÏÁ¤ _PNF검토(050406) 14" xfId="4212"/>
    <cellStyle name="C￥AØ_laroux_°³¹ßAIA¤  (2)_°³¹ßAIA¤ _PNF검토(050406) 2" xfId="4213"/>
    <cellStyle name="Ç¥ÁØ_laroux_°³¹ßÀÏÁ¤  (2)_°³¹ßÀÏÁ¤ _PNF검토(050406) 2" xfId="4214"/>
    <cellStyle name="C￥AØ_laroux_°³¹ßAIA¤  (2)_°³¹ßAIA¤ _PNF검토(050406) 3" xfId="4215"/>
    <cellStyle name="Ç¥ÁØ_laroux_°³¹ßÀÏÁ¤  (2)_°³¹ßÀÏÁ¤ _PNF검토(050406) 3" xfId="4216"/>
    <cellStyle name="C￥AØ_laroux_°³¹ßAIA¤  (2)_°³¹ßAIA¤ _PNF검토(050406) 4" xfId="4217"/>
    <cellStyle name="Ç¥ÁØ_laroux_°³¹ßÀÏÁ¤  (2)_°³¹ßÀÏÁ¤ _PNF검토(050406) 4" xfId="4218"/>
    <cellStyle name="C￥AØ_laroux_°³¹ßAIA¤  (2)_°³¹ßAIA¤ _PNF검토(050406) 5" xfId="4219"/>
    <cellStyle name="Ç¥ÁØ_laroux_°³¹ßÀÏÁ¤  (2)_°³¹ßÀÏÁ¤ _PNF검토(050406) 5" xfId="4220"/>
    <cellStyle name="C￥AØ_laroux_°³¹ßAIA¤  (2)_°³¹ßAIA¤ _PNF검토(050406) 6" xfId="4221"/>
    <cellStyle name="Ç¥ÁØ_laroux_°³¹ßÀÏÁ¤  (2)_°³¹ßÀÏÁ¤ _PNF검토(050406) 6" xfId="4222"/>
    <cellStyle name="C￥AØ_laroux_°³¹ßAIA¤  (2)_°³¹ßAIA¤ _PNF검토(050406) 7" xfId="4223"/>
    <cellStyle name="Ç¥ÁØ_laroux_°³¹ßÀÏÁ¤  (2)_°³¹ßÀÏÁ¤ _PNF검토(050406) 7" xfId="4224"/>
    <cellStyle name="C￥AØ_laroux_°³¹ßAIA¤  (2)_°³¹ßAIA¤ _PNF검토(050406) 8" xfId="4225"/>
    <cellStyle name="Ç¥ÁØ_laroux_°³¹ßÀÏÁ¤  (2)_°³¹ßÀÏÁ¤ _PNF검토(050406) 8" xfId="4226"/>
    <cellStyle name="C￥AØ_laroux_°³¹ßAIA¤  (2)_°³¹ßAIA¤ _PNF검토(050406) 9" xfId="4227"/>
    <cellStyle name="Ç¥ÁØ_laroux_°³¹ßÀÏÁ¤  (2)_°³¹ßÀÏÁ¤ _PNF검토(050406) 9" xfId="4228"/>
    <cellStyle name="C￥AØ_laroux_°³¹ßAIA¤  (2)_°³¹ßAIA¤ _preliminary 2006_Ver.1-20051125" xfId="4229"/>
    <cellStyle name="Ç¥ÁØ_laroux_°³¹ßÀÏÁ¤  (2)_°³¹ßÀÏÁ¤ _preliminary 2006_Ver.1-20051125" xfId="4230"/>
    <cellStyle name="C￥AØ_laroux_°³¹ßAIA¤  (2)_°³¹ßAIA¤ _경영보고" xfId="4231"/>
    <cellStyle name="Ç¥ÁØ_laroux_°³¹ßÀÏÁ¤  (2)_°³¹ßÀÏÁ¤ _경영보고" xfId="4232"/>
    <cellStyle name="C￥AØ_laroux_°³¹ßAIA¤  (2)_°³¹ßAIA¤ _투자계획_Ver.2" xfId="4233"/>
    <cellStyle name="Ç¥ÁØ_laroux_°³¹ßÀÏÁ¤  (2)_°³¹ßÀÏÁ¤ _투자계획_Ver.2" xfId="4234"/>
    <cellStyle name="C￥AØ_laroux_°³¹ßAIA¤  (2)_°³¹ßAIA¤ _투자계획_Ver.2 10" xfId="4235"/>
    <cellStyle name="Ç¥ÁØ_laroux_°³¹ßÀÏÁ¤  (2)_°³¹ßÀÏÁ¤ _투자계획_Ver.2 10" xfId="4236"/>
    <cellStyle name="C￥AØ_laroux_°³¹ßAIA¤  (2)_°³¹ßAIA¤ _투자계획_Ver.2 11" xfId="4237"/>
    <cellStyle name="Ç¥ÁØ_laroux_°³¹ßÀÏÁ¤  (2)_°³¹ßÀÏÁ¤ _투자계획_Ver.2 11" xfId="4238"/>
    <cellStyle name="C￥AØ_laroux_°³¹ßAIA¤  (2)_°³¹ßAIA¤ _투자계획_Ver.2 12" xfId="4239"/>
    <cellStyle name="Ç¥ÁØ_laroux_°³¹ßÀÏÁ¤  (2)_°³¹ßÀÏÁ¤ _투자계획_Ver.2 12" xfId="4240"/>
    <cellStyle name="C￥AØ_laroux_°³¹ßAIA¤  (2)_°³¹ßAIA¤ _투자계획_Ver.2 13" xfId="4241"/>
    <cellStyle name="Ç¥ÁØ_laroux_°³¹ßÀÏÁ¤  (2)_°³¹ßÀÏÁ¤ _투자계획_Ver.2 13" xfId="4242"/>
    <cellStyle name="C￥AØ_laroux_°³¹ßAIA¤  (2)_°³¹ßAIA¤ _투자계획_Ver.2 14" xfId="4243"/>
    <cellStyle name="Ç¥ÁØ_laroux_°³¹ßÀÏÁ¤  (2)_°³¹ßÀÏÁ¤ _투자계획_Ver.2 14" xfId="4244"/>
    <cellStyle name="C￥AØ_laroux_°³¹ßAIA¤  (2)_°³¹ßAIA¤ _투자계획_Ver.2 2" xfId="4245"/>
    <cellStyle name="Ç¥ÁØ_laroux_°³¹ßÀÏÁ¤  (2)_°³¹ßÀÏÁ¤ _투자계획_Ver.2 2" xfId="4246"/>
    <cellStyle name="C￥AØ_laroux_°³¹ßAIA¤  (2)_°³¹ßAIA¤ _투자계획_Ver.2 3" xfId="4247"/>
    <cellStyle name="Ç¥ÁØ_laroux_°³¹ßÀÏÁ¤  (2)_°³¹ßÀÏÁ¤ _투자계획_Ver.2 3" xfId="4248"/>
    <cellStyle name="C￥AØ_laroux_°³¹ßAIA¤  (2)_°³¹ßAIA¤ _투자계획_Ver.2 4" xfId="4249"/>
    <cellStyle name="Ç¥ÁØ_laroux_°³¹ßÀÏÁ¤  (2)_°³¹ßÀÏÁ¤ _투자계획_Ver.2 4" xfId="4250"/>
    <cellStyle name="C￥AØ_laroux_°³¹ßAIA¤  (2)_°³¹ßAIA¤ _투자계획_Ver.2 5" xfId="4251"/>
    <cellStyle name="Ç¥ÁØ_laroux_°³¹ßÀÏÁ¤  (2)_°³¹ßÀÏÁ¤ _투자계획_Ver.2 5" xfId="4252"/>
    <cellStyle name="C￥AØ_laroux_°³¹ßAIA¤  (2)_°³¹ßAIA¤ _투자계획_Ver.2 6" xfId="4253"/>
    <cellStyle name="Ç¥ÁØ_laroux_°³¹ßÀÏÁ¤  (2)_°³¹ßÀÏÁ¤ _투자계획_Ver.2 6" xfId="4254"/>
    <cellStyle name="C￥AØ_laroux_°³¹ßAIA¤  (2)_°³¹ßAIA¤ _투자계획_Ver.2 7" xfId="4255"/>
    <cellStyle name="Ç¥ÁØ_laroux_°³¹ßÀÏÁ¤  (2)_°³¹ßÀÏÁ¤ _투자계획_Ver.2 7" xfId="4256"/>
    <cellStyle name="C￥AØ_laroux_°³¹ßAIA¤  (2)_°³¹ßAIA¤ _투자계획_Ver.2 8" xfId="4257"/>
    <cellStyle name="Ç¥ÁØ_laroux_°³¹ßÀÏÁ¤  (2)_°³¹ßÀÏÁ¤ _투자계획_Ver.2 8" xfId="4258"/>
    <cellStyle name="C￥AØ_laroux_°³¹ßAIA¤  (2)_°³¹ßAIA¤ _투자계획_Ver.2 9" xfId="4259"/>
    <cellStyle name="Ç¥ÁØ_laroux_°³¹ßÀÏÁ¤  (2)_°³¹ßÀÏÁ¤ _투자계획_Ver.2 9" xfId="4260"/>
    <cellStyle name="C￥AØ_laroux_1" xfId="4261"/>
    <cellStyle name="Ç¥ÁØ_laroux_1" xfId="4262"/>
    <cellStyle name="C￥AØ_laroux_1_°³¹ßAIA¤ " xfId="4263"/>
    <cellStyle name="Ç¥ÁØ_laroux_1_°³¹ßÀÏÁ¤ " xfId="4264"/>
    <cellStyle name="C￥AØ_laroux_2_°³¹ßAIA¤ " xfId="4265"/>
    <cellStyle name="Ç¥ÁØ_laroux_2_°³¹ßÀÏÁ¤ " xfId="4266"/>
    <cellStyle name="C￥AØ_LX A÷AIºn±³_AuEA A÷AIºn±³ " xfId="4267"/>
    <cellStyle name="Ç¥ÁØ_lx-taxi " xfId="4268"/>
    <cellStyle name="C￥AØ_lx-taxi _1999³a KDQR A¾CO" xfId="4269"/>
    <cellStyle name="Ç¥ÁØ_MKN-M1.1 " xfId="4270"/>
    <cellStyle name="C￥AØ_MST " xfId="4271"/>
    <cellStyle name="Ç¥ÁØ_º¸°í¾ç½Ä" xfId="4272"/>
    <cellStyle name="C￥AØ_º¸°i¾c½A_1" xfId="4273"/>
    <cellStyle name="Ç¥ÁØ_º¸°í¾ç½Ä_1" xfId="4274"/>
    <cellStyle name="C￥AØ_º¸°i¾c½A_2" xfId="4275"/>
    <cellStyle name="Ç¥ÁØ_º¸°í¾ç½Ä_2" xfId="4276"/>
    <cellStyle name="C￥AØ_º¸°i¾c½A_º¸°i¾c½A" xfId="4277"/>
    <cellStyle name="Ç¥ÁØ_º¸°í¾ç½Ä_º¸°í¾ç½Ä" xfId="4278"/>
    <cellStyle name="C￥AØ_º≫≫c½AAøAI¹Y" xfId="4279"/>
    <cellStyle name="Ç¥ÁØ_page 2 " xfId="4280"/>
    <cellStyle name="C￥AØ_PERSONAL" xfId="5107"/>
    <cellStyle name="Ç¥ÁØ_RDTR99ML " xfId="4281"/>
    <cellStyle name="C￥AØ_RR1¾E " xfId="4282"/>
    <cellStyle name="Ç¥ÁØ_Sheet1" xfId="4283"/>
    <cellStyle name="C￥AØ_Sheet1 (2)" xfId="4284"/>
    <cellStyle name="Ç¥ÁØ_Sheet1 (2)_1.SUMMARY " xfId="4285"/>
    <cellStyle name="C￥AØ_Sheet1 (2)_3.MSCHEDULE¿μ¹R " xfId="4286"/>
    <cellStyle name="Ç¥ÁØ_Sheet1_¿µ¾÷ÇöÈ² " xfId="4287"/>
    <cellStyle name="C￥AØ_Sheet1_¿μ¾÷CoE² " xfId="4288"/>
    <cellStyle name="Ç¥ÁØ_Sheet1_0N-HANDLING " xfId="4289"/>
    <cellStyle name="C￥AØ_Sheet1_1_1.SUMMARY " xfId="4290"/>
    <cellStyle name="Ç¥ÁØ_Sheet1_1_1.SUMMARY " xfId="4291"/>
    <cellStyle name="C￥AØ_Sheet1_1_3.MSCHEDULE¿μ¹R " xfId="4292"/>
    <cellStyle name="Ç¥ÁØ_Sheet1_1_XD ÃÖÁ¾ÀÏÁ¤ " xfId="4293"/>
    <cellStyle name="C￥AØ_Sheet1_3.MSCHEDULE¿μ¹R " xfId="4294"/>
    <cellStyle name="Ç¥ÁØ_Sheet1_Áý°èÇ¥(2¿ù) " xfId="4295"/>
    <cellStyle name="C￥AØ_Sheet1_Ay°eC￥(2¿u) _■ 2006년사업계획(자재운영)-051020" xfId="4296"/>
    <cellStyle name="Ç¥ÁØ_Sheet1_Áý°èÇ¥(2¿ù) _■ 2006년사업계획(자재운영)-051020" xfId="4297"/>
    <cellStyle name="C￥AØ_Sheet1_Ay°eC￥(2¿u) _■ 2006년사업계획(자재운영)-051020 10" xfId="4298"/>
    <cellStyle name="Ç¥ÁØ_Sheet1_Áý°èÇ¥(2¿ù) _■ 2006년사업계획(자재운영)-051020 10" xfId="4299"/>
    <cellStyle name="C￥AØ_Sheet1_Ay°eC￥(2¿u) _■ 2006년사업계획(자재운영)-051020 11" xfId="4300"/>
    <cellStyle name="Ç¥ÁØ_Sheet1_Áý°èÇ¥(2¿ù) _■ 2006년사업계획(자재운영)-051020 11" xfId="4301"/>
    <cellStyle name="C￥AØ_Sheet1_Ay°eC￥(2¿u) _■ 2006년사업계획(자재운영)-051020 12" xfId="4302"/>
    <cellStyle name="Ç¥ÁØ_Sheet1_Áý°èÇ¥(2¿ù) _■ 2006년사업계획(자재운영)-051020 12" xfId="4303"/>
    <cellStyle name="C￥AØ_Sheet1_Ay°eC￥(2¿u) _■ 2006년사업계획(자재운영)-051020 13" xfId="4304"/>
    <cellStyle name="Ç¥ÁØ_Sheet1_Áý°èÇ¥(2¿ù) _■ 2006년사업계획(자재운영)-051020 13" xfId="4305"/>
    <cellStyle name="C￥AØ_Sheet1_Ay°eC￥(2¿u) _■ 2006년사업계획(자재운영)-051020 14" xfId="4306"/>
    <cellStyle name="Ç¥ÁØ_Sheet1_Áý°èÇ¥(2¿ù) _■ 2006년사업계획(자재운영)-051020 14" xfId="4307"/>
    <cellStyle name="C￥AØ_Sheet1_Ay°eC￥(2¿u) _■ 2006년사업계획(자재운영)-051020 2" xfId="4308"/>
    <cellStyle name="Ç¥ÁØ_Sheet1_Áý°èÇ¥(2¿ù) _■ 2006년사업계획(자재운영)-051020 2" xfId="4309"/>
    <cellStyle name="C￥AØ_Sheet1_Ay°eC￥(2¿u) _■ 2006년사업계획(자재운영)-051020 3" xfId="4310"/>
    <cellStyle name="Ç¥ÁØ_Sheet1_Áý°èÇ¥(2¿ù) _■ 2006년사업계획(자재운영)-051020 3" xfId="4311"/>
    <cellStyle name="C￥AØ_Sheet1_Ay°eC￥(2¿u) _■ 2006년사업계획(자재운영)-051020 4" xfId="4312"/>
    <cellStyle name="Ç¥ÁØ_Sheet1_Áý°èÇ¥(2¿ù) _■ 2006년사업계획(자재운영)-051020 4" xfId="4313"/>
    <cellStyle name="C￥AØ_Sheet1_Ay°eC￥(2¿u) _■ 2006년사업계획(자재운영)-051020 5" xfId="4314"/>
    <cellStyle name="Ç¥ÁØ_Sheet1_Áý°èÇ¥(2¿ù) _■ 2006년사업계획(자재운영)-051020 5" xfId="4315"/>
    <cellStyle name="C￥AØ_Sheet1_Ay°eC￥(2¿u) _■ 2006년사업계획(자재운영)-051020 6" xfId="4316"/>
    <cellStyle name="Ç¥ÁØ_Sheet1_Áý°èÇ¥(2¿ù) _■ 2006년사업계획(자재운영)-051020 6" xfId="4317"/>
    <cellStyle name="C￥AØ_Sheet1_Ay°eC￥(2¿u) _■ 2006년사업계획(자재운영)-051020 7" xfId="4318"/>
    <cellStyle name="Ç¥ÁØ_Sheet1_Áý°èÇ¥(2¿ù) _■ 2006년사업계획(자재운영)-051020 7" xfId="4319"/>
    <cellStyle name="C￥AØ_Sheet1_Ay°eC￥(2¿u) _■ 2006년사업계획(자재운영)-051020 8" xfId="4320"/>
    <cellStyle name="Ç¥ÁØ_Sheet1_Áý°èÇ¥(2¿ù) _■ 2006년사업계획(자재운영)-051020 8" xfId="4321"/>
    <cellStyle name="C￥AØ_Sheet1_Ay°eC￥(2¿u) _■ 2006년사업계획(자재운영)-051020 9" xfId="4322"/>
    <cellStyle name="Ç¥ÁØ_Sheet1_Áý°èÇ¥(2¿ù) _■ 2006년사업계획(자재운영)-051020 9" xfId="4323"/>
    <cellStyle name="C￥AØ_Sheet1_Ay°eC￥(2¿u) _05투자계획작성-04.12.30" xfId="4324"/>
    <cellStyle name="Ç¥ÁØ_Sheet1_Áý°èÇ¥(2¿ù) _05투자계획작성-04.12.30" xfId="4325"/>
    <cellStyle name="C￥AØ_Sheet1_Ay°eC￥(2¿u) _06사업계획(전산운영)rev1 " xfId="4326"/>
    <cellStyle name="Ç¥ÁØ_Sheet1_Áý°èÇ¥(2¿ù) _06사업계획(전산운영)rev1 " xfId="4327"/>
    <cellStyle name="C￥AØ_Sheet1_Ay°eC￥(2¿u) _06사업계획(전산운영)rev1  10" xfId="4328"/>
    <cellStyle name="Ç¥ÁØ_Sheet1_Áý°èÇ¥(2¿ù) _06사업계획(전산운영)rev1  10" xfId="4329"/>
    <cellStyle name="C￥AØ_Sheet1_Ay°eC￥(2¿u) _06사업계획(전산운영)rev1  11" xfId="4330"/>
    <cellStyle name="Ç¥ÁØ_Sheet1_Áý°èÇ¥(2¿ù) _06사업계획(전산운영)rev1  11" xfId="4331"/>
    <cellStyle name="C￥AØ_Sheet1_Ay°eC￥(2¿u) _06사업계획(전산운영)rev1  12" xfId="4332"/>
    <cellStyle name="Ç¥ÁØ_Sheet1_Áý°èÇ¥(2¿ù) _06사업계획(전산운영)rev1  12" xfId="4333"/>
    <cellStyle name="C￥AØ_Sheet1_Ay°eC￥(2¿u) _06사업계획(전산운영)rev1  13" xfId="4334"/>
    <cellStyle name="Ç¥ÁØ_Sheet1_Áý°èÇ¥(2¿ù) _06사업계획(전산운영)rev1  13" xfId="4335"/>
    <cellStyle name="C￥AØ_Sheet1_Ay°eC￥(2¿u) _06사업계획(전산운영)rev1  14" xfId="4336"/>
    <cellStyle name="Ç¥ÁØ_Sheet1_Áý°èÇ¥(2¿ù) _06사업계획(전산운영)rev1  14" xfId="4337"/>
    <cellStyle name="C￥AØ_Sheet1_Ay°eC￥(2¿u) _06사업계획(전산운영)rev1  2" xfId="4338"/>
    <cellStyle name="Ç¥ÁØ_Sheet1_Áý°èÇ¥(2¿ù) _06사업계획(전산운영)rev1  2" xfId="4339"/>
    <cellStyle name="C￥AØ_Sheet1_Ay°eC￥(2¿u) _06사업계획(전산운영)rev1  3" xfId="4340"/>
    <cellStyle name="Ç¥ÁØ_Sheet1_Áý°èÇ¥(2¿ù) _06사업계획(전산운영)rev1  3" xfId="4341"/>
    <cellStyle name="C￥AØ_Sheet1_Ay°eC￥(2¿u) _06사업계획(전산운영)rev1  4" xfId="4342"/>
    <cellStyle name="Ç¥ÁØ_Sheet1_Áý°èÇ¥(2¿ù) _06사업계획(전산운영)rev1  4" xfId="4343"/>
    <cellStyle name="C￥AØ_Sheet1_Ay°eC￥(2¿u) _06사업계획(전산운영)rev1  5" xfId="4344"/>
    <cellStyle name="Ç¥ÁØ_Sheet1_Áý°èÇ¥(2¿ù) _06사업계획(전산운영)rev1  5" xfId="4345"/>
    <cellStyle name="C￥AØ_Sheet1_Ay°eC￥(2¿u) _06사업계획(전산운영)rev1  6" xfId="4346"/>
    <cellStyle name="Ç¥ÁØ_Sheet1_Áý°èÇ¥(2¿ù) _06사업계획(전산운영)rev1  6" xfId="4347"/>
    <cellStyle name="C￥AØ_Sheet1_Ay°eC￥(2¿u) _06사업계획(전산운영)rev1  7" xfId="4348"/>
    <cellStyle name="Ç¥ÁØ_Sheet1_Áý°èÇ¥(2¿ù) _06사업계획(전산운영)rev1  7" xfId="4349"/>
    <cellStyle name="C￥AØ_Sheet1_Ay°eC￥(2¿u) _06사업계획(전산운영)rev1  8" xfId="4350"/>
    <cellStyle name="Ç¥ÁØ_Sheet1_Áý°èÇ¥(2¿ù) _06사업계획(전산운영)rev1  8" xfId="4351"/>
    <cellStyle name="C￥AØ_Sheet1_Ay°eC￥(2¿u) _06사업계획(전산운영)rev1  9" xfId="4352"/>
    <cellStyle name="Ç¥ÁØ_Sheet1_Áý°èÇ¥(2¿ù) _06사업계획(전산운영)rev1  9" xfId="4353"/>
    <cellStyle name="C￥AØ_Sheet1_Ay°eC￥(2¿u) _2006년 사업계획(투자)_20051114-20051114" xfId="4354"/>
    <cellStyle name="Ç¥ÁØ_Sheet1_Áý°èÇ¥(2¿ù) _2006년 사업계획(투자)_20051114-20051114" xfId="4355"/>
    <cellStyle name="C￥AØ_Sheet1_Ay°eC￥(2¿u) _2006년 사업계획_Ver.2" xfId="4356"/>
    <cellStyle name="Ç¥ÁØ_Sheet1_Áý°èÇ¥(2¿ù) _2006년 포장자재비볼륨(사업계획)_최종_20051020" xfId="4357"/>
    <cellStyle name="C￥AØ_Sheet1_Ay°eC￥(2¿u) _2006년도 CKD운영팀 투자계획" xfId="4358"/>
    <cellStyle name="Ç¥ÁØ_Sheet1_Áý°èÇ¥(2¿ù) _2006년도 CKD운영팀 투자계획" xfId="4359"/>
    <cellStyle name="C￥AØ_Sheet1_Ay°eC￥(2¿u) _2006투자예산(경주A)" xfId="4360"/>
    <cellStyle name="Ç¥ÁØ_Sheet1_Áý°èÇ¥(2¿ù) _2006투자예산(경주A)" xfId="4361"/>
    <cellStyle name="C￥AØ_Sheet1_Ay°eC￥(2¿u) _2006투자예산(경주A) 10" xfId="4362"/>
    <cellStyle name="Ç¥ÁØ_Sheet1_Áý°èÇ¥(2¿ù) _2006투자예산(경주A) 10" xfId="4363"/>
    <cellStyle name="C￥AØ_Sheet1_Ay°eC￥(2¿u) _2006투자예산(경주A) 11" xfId="4364"/>
    <cellStyle name="Ç¥ÁØ_Sheet1_Áý°èÇ¥(2¿ù) _2006투자예산(경주A) 11" xfId="4365"/>
    <cellStyle name="C￥AØ_Sheet1_Ay°eC￥(2¿u) _2006투자예산(경주A) 12" xfId="4366"/>
    <cellStyle name="Ç¥ÁØ_Sheet1_Áý°èÇ¥(2¿ù) _2006투자예산(경주A) 12" xfId="4367"/>
    <cellStyle name="C￥AØ_Sheet1_Ay°eC￥(2¿u) _2006투자예산(경주A) 13" xfId="4368"/>
    <cellStyle name="Ç¥ÁØ_Sheet1_Áý°èÇ¥(2¿ù) _2006투자예산(경주A) 13" xfId="4369"/>
    <cellStyle name="C￥AØ_Sheet1_Ay°eC￥(2¿u) _2006투자예산(경주A) 14" xfId="4370"/>
    <cellStyle name="Ç¥ÁØ_Sheet1_Áý°èÇ¥(2¿ù) _2006투자예산(경주A) 14" xfId="4371"/>
    <cellStyle name="C￥AØ_Sheet1_Ay°eC￥(2¿u) _2006투자예산(경주A) 2" xfId="4372"/>
    <cellStyle name="Ç¥ÁØ_Sheet1_Áý°èÇ¥(2¿ù) _2006투자예산(경주A) 2" xfId="4373"/>
    <cellStyle name="C￥AØ_Sheet1_Ay°eC￥(2¿u) _2006투자예산(경주A) 3" xfId="4374"/>
    <cellStyle name="Ç¥ÁØ_Sheet1_Áý°èÇ¥(2¿ù) _2006투자예산(경주A) 3" xfId="4375"/>
    <cellStyle name="C￥AØ_Sheet1_Ay°eC￥(2¿u) _2006투자예산(경주A) 4" xfId="4376"/>
    <cellStyle name="Ç¥ÁØ_Sheet1_Áý°èÇ¥(2¿ù) _2006투자예산(경주A) 4" xfId="4377"/>
    <cellStyle name="C￥AØ_Sheet1_Ay°eC￥(2¿u) _2006투자예산(경주A) 5" xfId="4378"/>
    <cellStyle name="Ç¥ÁØ_Sheet1_Áý°èÇ¥(2¿ù) _2006투자예산(경주A) 5" xfId="4379"/>
    <cellStyle name="C￥AØ_Sheet1_Ay°eC￥(2¿u) _2006투자예산(경주A) 6" xfId="4380"/>
    <cellStyle name="Ç¥ÁØ_Sheet1_Áý°èÇ¥(2¿ù) _2006투자예산(경주A) 6" xfId="4381"/>
    <cellStyle name="C￥AØ_Sheet1_Ay°eC￥(2¿u) _2006투자예산(경주A) 7" xfId="4382"/>
    <cellStyle name="Ç¥ÁØ_Sheet1_Áý°èÇ¥(2¿ù) _2006투자예산(경주A) 7" xfId="4383"/>
    <cellStyle name="C￥AØ_Sheet1_Ay°eC￥(2¿u) _2006투자예산(경주A) 8" xfId="4384"/>
    <cellStyle name="Ç¥ÁØ_Sheet1_Áý°èÇ¥(2¿ù) _2006투자예산(경주A) 8" xfId="4385"/>
    <cellStyle name="C￥AØ_Sheet1_Ay°eC￥(2¿u) _2006투자예산(경주A) 9" xfId="4386"/>
    <cellStyle name="Ç¥ÁØ_Sheet1_Áý°èÇ¥(2¿ù) _2006투자예산(경주A) 9" xfId="4387"/>
    <cellStyle name="C￥AØ_Sheet1_Ay°eC￥(2¿u) _2006투자예산(경주A)-20051019" xfId="4388"/>
    <cellStyle name="Ç¥ÁØ_Sheet1_Áý°èÇ¥(2¿ù) _2006투자예산(경주A)-20051019" xfId="4389"/>
    <cellStyle name="C￥AØ_Sheet1_Ay°eC￥(2¿u) _2006투자예산(경주A)-20051019 10" xfId="4390"/>
    <cellStyle name="Ç¥ÁØ_Sheet1_Áý°èÇ¥(2¿ù) _2006투자예산(경주A)-20051019 10" xfId="4391"/>
    <cellStyle name="C￥AØ_Sheet1_Ay°eC￥(2¿u) _2006투자예산(경주A)-20051019 11" xfId="4392"/>
    <cellStyle name="Ç¥ÁØ_Sheet1_Áý°èÇ¥(2¿ù) _2006투자예산(경주A)-20051019 11" xfId="4393"/>
    <cellStyle name="C￥AØ_Sheet1_Ay°eC￥(2¿u) _2006투자예산(경주A)-20051019 12" xfId="4394"/>
    <cellStyle name="Ç¥ÁØ_Sheet1_Áý°èÇ¥(2¿ù) _2006투자예산(경주A)-20051019 12" xfId="4395"/>
    <cellStyle name="C￥AØ_Sheet1_Ay°eC￥(2¿u) _2006투자예산(경주A)-20051019 13" xfId="4396"/>
    <cellStyle name="Ç¥ÁØ_Sheet1_Áý°èÇ¥(2¿ù) _2006투자예산(경주A)-20051019 13" xfId="4397"/>
    <cellStyle name="C￥AØ_Sheet1_Ay°eC￥(2¿u) _2006투자예산(경주A)-20051019 14" xfId="4398"/>
    <cellStyle name="Ç¥ÁØ_Sheet1_Áý°èÇ¥(2¿ù) _2006투자예산(경주A)-20051019 14" xfId="4399"/>
    <cellStyle name="C￥AØ_Sheet1_Ay°eC￥(2¿u) _2006투자예산(경주A)-20051019 2" xfId="4400"/>
    <cellStyle name="Ç¥ÁØ_Sheet1_Áý°èÇ¥(2¿ù) _2006투자예산(경주A)-20051019 2" xfId="4401"/>
    <cellStyle name="C￥AØ_Sheet1_Ay°eC￥(2¿u) _2006투자예산(경주A)-20051019 3" xfId="4402"/>
    <cellStyle name="Ç¥ÁØ_Sheet1_Áý°èÇ¥(2¿ù) _2006투자예산(경주A)-20051019 3" xfId="4403"/>
    <cellStyle name="C￥AØ_Sheet1_Ay°eC￥(2¿u) _2006투자예산(경주A)-20051019 4" xfId="4404"/>
    <cellStyle name="Ç¥ÁØ_Sheet1_Áý°èÇ¥(2¿ù) _2006투자예산(경주A)-20051019 4" xfId="4405"/>
    <cellStyle name="C￥AØ_Sheet1_Ay°eC￥(2¿u) _2006투자예산(경주A)-20051019 5" xfId="4406"/>
    <cellStyle name="Ç¥ÁØ_Sheet1_Áý°èÇ¥(2¿ù) _2006투자예산(경주A)-20051019 5" xfId="4407"/>
    <cellStyle name="C￥AØ_Sheet1_Ay°eC￥(2¿u) _2006투자예산(경주A)-20051019 6" xfId="4408"/>
    <cellStyle name="Ç¥ÁØ_Sheet1_Áý°èÇ¥(2¿ù) _2006투자예산(경주A)-20051019 6" xfId="4409"/>
    <cellStyle name="C￥AØ_Sheet1_Ay°eC￥(2¿u) _2006투자예산(경주A)-20051019 7" xfId="4410"/>
    <cellStyle name="Ç¥ÁØ_Sheet1_Áý°èÇ¥(2¿ù) _2006투자예산(경주A)-20051019 7" xfId="4411"/>
    <cellStyle name="C￥AØ_Sheet1_Ay°eC￥(2¿u) _2006투자예산(경주A)-20051019 8" xfId="4412"/>
    <cellStyle name="Ç¥ÁØ_Sheet1_Áý°èÇ¥(2¿ù) _2006투자예산(경주A)-20051019 8" xfId="4413"/>
    <cellStyle name="C￥AØ_Sheet1_Ay°eC￥(2¿u) _2006투자예산(경주A)-20051019 9" xfId="4414"/>
    <cellStyle name="Ç¥ÁØ_Sheet1_Áý°èÇ¥(2¿ù) _2006투자예산(경주A)-20051019 9" xfId="4415"/>
    <cellStyle name="C￥AØ_Sheet1_Ay°eC￥(2¿u) _M1 1대분 포장비 산출내역-20041008" xfId="4416"/>
    <cellStyle name="Ç¥ÁØ_Sheet1_Áý°èÇ¥(2¿ù) _M1 1대분 포장비 산출내역-20041008" xfId="4417"/>
    <cellStyle name="C￥AØ_Sheet1_Ay°eC￥(2¿u) _물류운영2팀-1차-20051028" xfId="4418"/>
    <cellStyle name="Ç¥ÁØ_Sheet1_Áý°èÇ¥(2¿ù) _물류운영2팀-1차-20051028" xfId="4419"/>
    <cellStyle name="C￥AØ_Sheet1_Ay°eC￥(2¿u) _출장비 산출내역(기획)1-20041011" xfId="4420"/>
    <cellStyle name="Ç¥ÁØ_Sheet1_Áý°èÇ¥(2¿ù) _출장비 산출내역(기획)1-20041011" xfId="4421"/>
    <cellStyle name="C￥AØ_Sheet1_Ay°eC￥(2¿u) _투자계획_Ver.1-1" xfId="4422"/>
    <cellStyle name="Ç¥ÁØ_Sheet1_Áý°èÇ¥(2¿ù) _투자계획_Ver.1-1" xfId="4423"/>
    <cellStyle name="C￥AØ_Sheet1_Ay°eC￥(2¿u) _투자계획_Ver.1-1 10" xfId="4424"/>
    <cellStyle name="Ç¥ÁØ_Sheet1_Áý°èÇ¥(2¿ù) _투자계획_Ver.1-1 10" xfId="4425"/>
    <cellStyle name="C￥AØ_Sheet1_Ay°eC￥(2¿u) _투자계획_Ver.1-1 11" xfId="4426"/>
    <cellStyle name="Ç¥ÁØ_Sheet1_Áý°èÇ¥(2¿ù) _투자계획_Ver.1-1 11" xfId="4427"/>
    <cellStyle name="C￥AØ_Sheet1_Ay°eC￥(2¿u) _투자계획_Ver.1-1 12" xfId="4428"/>
    <cellStyle name="Ç¥ÁØ_Sheet1_Áý°èÇ¥(2¿ù) _투자계획_Ver.1-1 12" xfId="4429"/>
    <cellStyle name="C￥AØ_Sheet1_Ay°eC￥(2¿u) _투자계획_Ver.1-1 13" xfId="4430"/>
    <cellStyle name="Ç¥ÁØ_Sheet1_Áý°èÇ¥(2¿ù) _투자계획_Ver.1-1 13" xfId="4431"/>
    <cellStyle name="C￥AØ_Sheet1_Ay°eC￥(2¿u) _투자계획_Ver.1-1 14" xfId="4432"/>
    <cellStyle name="Ç¥ÁØ_Sheet1_Áý°èÇ¥(2¿ù) _투자계획_Ver.1-1 14" xfId="4433"/>
    <cellStyle name="C￥AØ_Sheet1_Ay°eC￥(2¿u) _투자계획_Ver.1-1 2" xfId="4434"/>
    <cellStyle name="Ç¥ÁØ_Sheet1_Áý°èÇ¥(2¿ù) _투자계획_Ver.1-1 2" xfId="4435"/>
    <cellStyle name="C￥AØ_Sheet1_Ay°eC￥(2¿u) _투자계획_Ver.1-1 3" xfId="4436"/>
    <cellStyle name="Ç¥ÁØ_Sheet1_Áý°èÇ¥(2¿ù) _투자계획_Ver.1-1 3" xfId="4437"/>
    <cellStyle name="C￥AØ_Sheet1_Ay°eC￥(2¿u) _투자계획_Ver.1-1 4" xfId="4438"/>
    <cellStyle name="Ç¥ÁØ_Sheet1_Áý°èÇ¥(2¿ù) _투자계획_Ver.1-1 4" xfId="4439"/>
    <cellStyle name="C￥AØ_Sheet1_Ay°eC￥(2¿u) _투자계획_Ver.1-1 5" xfId="4440"/>
    <cellStyle name="Ç¥ÁØ_Sheet1_Áý°èÇ¥(2¿ù) _투자계획_Ver.1-1 5" xfId="4441"/>
    <cellStyle name="C￥AØ_Sheet1_Ay°eC￥(2¿u) _투자계획_Ver.1-1 6" xfId="4442"/>
    <cellStyle name="Ç¥ÁØ_Sheet1_Áý°èÇ¥(2¿ù) _투자계획_Ver.1-1 6" xfId="4443"/>
    <cellStyle name="C￥AØ_Sheet1_Ay°eC￥(2¿u) _투자계획_Ver.1-1 7" xfId="4444"/>
    <cellStyle name="Ç¥ÁØ_Sheet1_Áý°èÇ¥(2¿ù) _투자계획_Ver.1-1 7" xfId="4445"/>
    <cellStyle name="C￥AØ_Sheet1_Ay°eC￥(2¿u) _투자계획_Ver.1-1 8" xfId="4446"/>
    <cellStyle name="Ç¥ÁØ_Sheet1_Áý°èÇ¥(2¿ù) _투자계획_Ver.1-1 8" xfId="4447"/>
    <cellStyle name="C￥AØ_Sheet1_Ay°eC￥(2¿u) _투자계획_Ver.1-1 9" xfId="4448"/>
    <cellStyle name="Ç¥ÁØ_Sheet1_Áý°èÇ¥(2¿ù) _투자계획_Ver.1-1 9" xfId="4449"/>
    <cellStyle name="C￥AØ_Sheet1_Ay°eC￥(2¿u) _투자계획_Ver.2" xfId="4450"/>
    <cellStyle name="Ç¥ÁØ_Sheet1_Áý°èÇ¥(2¿ù) _투자계획_Ver.2" xfId="4451"/>
    <cellStyle name="C￥AØ_Sheet1_Ay°eC￥(2¿u) _투자계획_Ver.2 10" xfId="4452"/>
    <cellStyle name="Ç¥ÁØ_Sheet1_Áý°èÇ¥(2¿ù) _투자계획_Ver.2 10" xfId="4453"/>
    <cellStyle name="C￥AØ_Sheet1_Ay°eC￥(2¿u) _투자계획_Ver.2 11" xfId="4454"/>
    <cellStyle name="Ç¥ÁØ_Sheet1_Áý°èÇ¥(2¿ù) _투자계획_Ver.2 11" xfId="4455"/>
    <cellStyle name="C￥AØ_Sheet1_Ay°eC￥(2¿u) _투자계획_Ver.2 12" xfId="4456"/>
    <cellStyle name="Ç¥ÁØ_Sheet1_Áý°èÇ¥(2¿ù) _투자계획_Ver.2 12" xfId="4457"/>
    <cellStyle name="C￥AØ_Sheet1_Ay°eC￥(2¿u) _투자계획_Ver.2 13" xfId="4458"/>
    <cellStyle name="Ç¥ÁØ_Sheet1_Áý°èÇ¥(2¿ù) _투자계획_Ver.2 13" xfId="4459"/>
    <cellStyle name="C￥AØ_Sheet1_Ay°eC￥(2¿u) _투자계획_Ver.2 14" xfId="4460"/>
    <cellStyle name="Ç¥ÁØ_Sheet1_Áý°èÇ¥(2¿ù) _투자계획_Ver.2 14" xfId="4461"/>
    <cellStyle name="C￥AØ_Sheet1_Ay°eC￥(2¿u) _투자계획_Ver.2 2" xfId="4462"/>
    <cellStyle name="Ç¥ÁØ_Sheet1_Áý°èÇ¥(2¿ù) _투자계획_Ver.2 2" xfId="4463"/>
    <cellStyle name="C￥AØ_Sheet1_Ay°eC￥(2¿u) _투자계획_Ver.2 3" xfId="4464"/>
    <cellStyle name="Ç¥ÁØ_Sheet1_Áý°èÇ¥(2¿ù) _투자계획_Ver.2 3" xfId="4465"/>
    <cellStyle name="C￥AØ_Sheet1_Ay°eC￥(2¿u) _투자계획_Ver.2 4" xfId="4466"/>
    <cellStyle name="Ç¥ÁØ_Sheet1_Áý°èÇ¥(2¿ù) _투자계획_Ver.2 4" xfId="4467"/>
    <cellStyle name="C￥AØ_Sheet1_Ay°eC￥(2¿u) _투자계획_Ver.2 5" xfId="4468"/>
    <cellStyle name="Ç¥ÁØ_Sheet1_Áý°èÇ¥(2¿ù) _투자계획_Ver.2 5" xfId="4469"/>
    <cellStyle name="C￥AØ_Sheet1_Ay°eC￥(2¿u) _투자계획_Ver.2 6" xfId="4470"/>
    <cellStyle name="Ç¥ÁØ_Sheet1_Áý°èÇ¥(2¿ù) _투자계획_Ver.2 6" xfId="4471"/>
    <cellStyle name="C￥AØ_Sheet1_Ay°eC￥(2¿u) _투자계획_Ver.2 7" xfId="4472"/>
    <cellStyle name="Ç¥ÁØ_Sheet1_Áý°èÇ¥(2¿ù) _투자계획_Ver.2 7" xfId="4473"/>
    <cellStyle name="C￥AØ_Sheet1_Ay°eC￥(2¿u) _투자계획_Ver.2 8" xfId="4474"/>
    <cellStyle name="Ç¥ÁØ_Sheet1_Áý°èÇ¥(2¿ù) _투자계획_Ver.2 8" xfId="4475"/>
    <cellStyle name="C￥AØ_Sheet1_Ay°eC￥(2¿u) _투자계획_Ver.2 9" xfId="4476"/>
    <cellStyle name="Ç¥ÁØ_Sheet1_Áý°èÇ¥(2¿ù) _투자계획_Ver.2 9" xfId="4477"/>
    <cellStyle name="C￥AØ_Sheet1_Ay°eC￥(2¿u) _투자계획_Ver.2-20051206" xfId="4478"/>
    <cellStyle name="Ç¥ÁØ_Sheet1_Áý°èÇ¥(2¿ù) _투자계획_Ver.2-20051206" xfId="4479"/>
    <cellStyle name="C￥AØ_Sheet1_Ay°eC￥(2¿u) _투자계획_Ver.2-20051206 10" xfId="4480"/>
    <cellStyle name="Ç¥ÁØ_Sheet1_Áý°èÇ¥(2¿ù) _투자계획_Ver.2-20051206 10" xfId="4481"/>
    <cellStyle name="C￥AØ_Sheet1_Ay°eC￥(2¿u) _투자계획_Ver.2-20051206 11" xfId="4482"/>
    <cellStyle name="Ç¥ÁØ_Sheet1_Áý°èÇ¥(2¿ù) _투자계획_Ver.2-20051206 11" xfId="4483"/>
    <cellStyle name="C￥AØ_Sheet1_Ay°eC￥(2¿u) _투자계획_Ver.2-20051206 12" xfId="4484"/>
    <cellStyle name="Ç¥ÁØ_Sheet1_Áý°èÇ¥(2¿ù) _투자계획_Ver.2-20051206 12" xfId="4485"/>
    <cellStyle name="C￥AØ_Sheet1_Ay°eC￥(2¿u) _투자계획_Ver.2-20051206 13" xfId="4486"/>
    <cellStyle name="Ç¥ÁØ_Sheet1_Áý°èÇ¥(2¿ù) _투자계획_Ver.2-20051206 13" xfId="4487"/>
    <cellStyle name="C￥AØ_Sheet1_Ay°eC￥(2¿u) _투자계획_Ver.2-20051206 14" xfId="4488"/>
    <cellStyle name="Ç¥ÁØ_Sheet1_Áý°èÇ¥(2¿ù) _투자계획_Ver.2-20051206 14" xfId="4489"/>
    <cellStyle name="C￥AØ_Sheet1_Ay°eC￥(2¿u) _투자계획_Ver.2-20051206 2" xfId="4490"/>
    <cellStyle name="Ç¥ÁØ_Sheet1_Áý°èÇ¥(2¿ù) _투자계획_Ver.2-20051206 2" xfId="4491"/>
    <cellStyle name="C￥AØ_Sheet1_Ay°eC￥(2¿u) _투자계획_Ver.2-20051206 3" xfId="4492"/>
    <cellStyle name="Ç¥ÁØ_Sheet1_Áý°èÇ¥(2¿ù) _투자계획_Ver.2-20051206 3" xfId="4493"/>
    <cellStyle name="C￥AØ_Sheet1_Ay°eC￥(2¿u) _투자계획_Ver.2-20051206 4" xfId="4494"/>
    <cellStyle name="Ç¥ÁØ_Sheet1_Áý°èÇ¥(2¿ù) _투자계획_Ver.2-20051206 4" xfId="4495"/>
    <cellStyle name="C￥AØ_Sheet1_Ay°eC￥(2¿u) _투자계획_Ver.2-20051206 5" xfId="4496"/>
    <cellStyle name="Ç¥ÁØ_Sheet1_Áý°èÇ¥(2¿ù) _투자계획_Ver.2-20051206 5" xfId="4497"/>
    <cellStyle name="C￥AØ_Sheet1_Ay°eC￥(2¿u) _투자계획_Ver.2-20051206 6" xfId="4498"/>
    <cellStyle name="Ç¥ÁØ_Sheet1_Áý°èÇ¥(2¿ù) _투자계획_Ver.2-20051206 6" xfId="4499"/>
    <cellStyle name="C￥AØ_Sheet1_Ay°eC￥(2¿u) _투자계획_Ver.2-20051206 7" xfId="4500"/>
    <cellStyle name="Ç¥ÁØ_Sheet1_Áý°èÇ¥(2¿ù) _투자계획_Ver.2-20051206 7" xfId="4501"/>
    <cellStyle name="C￥AØ_Sheet1_Ay°eC￥(2¿u) _투자계획_Ver.2-20051206 8" xfId="4502"/>
    <cellStyle name="Ç¥ÁØ_Sheet1_Áý°èÇ¥(2¿ù) _투자계획_Ver.2-20051206 8" xfId="4503"/>
    <cellStyle name="C￥AØ_Sheet1_Ay°eC￥(2¿u) _투자계획_Ver.2-20051206 9" xfId="4504"/>
    <cellStyle name="Ç¥ÁØ_Sheet1_Áý°èÇ¥(2¿ù) _투자계획_Ver.2-20051206 9" xfId="4505"/>
    <cellStyle name="C￥AØ_SMG-CKD-d1.1 " xfId="4506"/>
    <cellStyle name="Ç¥ÁØ_SMG-CKD-d1.1 " xfId="4507"/>
    <cellStyle name="C￥AØ_USAGL_¿ø´UA§ " xfId="4508"/>
    <cellStyle name="Ç¥ÁØ_W-AÇ¥ÁöTY(2-2) " xfId="4509"/>
    <cellStyle name="C￥AØ_WIPER " xfId="4510"/>
    <cellStyle name="Ç¥ÁØ_WIPER " xfId="4511"/>
    <cellStyle name="C￥AØ_WIRING " xfId="4512"/>
    <cellStyle name="Ç¥ÁØ_XD ÃÖÁ¾ÀÏÁ¤ " xfId="4513"/>
    <cellStyle name="C￥AØ_XD±aAØ " xfId="4514"/>
    <cellStyle name="Calc Currency (0)" xfId="4515"/>
    <cellStyle name="Calc Currency (2)" xfId="4516"/>
    <cellStyle name="Calc Currency (2) 2" xfId="5108"/>
    <cellStyle name="Calc Percent (0)" xfId="4517"/>
    <cellStyle name="Calc Percent (0) 2" xfId="5109"/>
    <cellStyle name="Calc Percent (1)" xfId="4518"/>
    <cellStyle name="Calc Percent (1) 2" xfId="5110"/>
    <cellStyle name="Calc Percent (2)" xfId="4519"/>
    <cellStyle name="Calc Percent (2) 2" xfId="5111"/>
    <cellStyle name="Calc Units (0)" xfId="4520"/>
    <cellStyle name="Calc Units (0) 2" xfId="5112"/>
    <cellStyle name="Calc Units (1)" xfId="4521"/>
    <cellStyle name="Calc Units (1) 2" xfId="5113"/>
    <cellStyle name="Calc Units (2)" xfId="4522"/>
    <cellStyle name="Calc Units (2) 2" xfId="5114"/>
    <cellStyle name="Calculation" xfId="4844"/>
    <cellStyle name="Calculation 2" xfId="5115"/>
    <cellStyle name="CanturySchoolbook" xfId="4523"/>
    <cellStyle name="category" xfId="4524"/>
    <cellStyle name="CenturtSchoolbook" xfId="4525"/>
    <cellStyle name="CenturySchoolbook" xfId="4526"/>
    <cellStyle name="CenturySchoolbook12" xfId="4527"/>
    <cellStyle name="ch_title" xfId="5116"/>
    <cellStyle name="Check Cell" xfId="4845"/>
    <cellStyle name="CIAIÆU¸μAⓒ" xfId="5117"/>
    <cellStyle name="ColLevel_1" xfId="1" builtinId="2" iLevel="0"/>
    <cellStyle name="Column Heading" xfId="4528"/>
    <cellStyle name="CombinedVol_Data" xfId="4529"/>
    <cellStyle name="Comma" xfId="4530"/>
    <cellStyle name="Comma  - Style1" xfId="4531"/>
    <cellStyle name="Comma [0]" xfId="4532"/>
    <cellStyle name="Comma [0] 2" xfId="5118"/>
    <cellStyle name="Comma [00]" xfId="4533"/>
    <cellStyle name="Comma [00] 2" xfId="5119"/>
    <cellStyle name="comma zerodec" xfId="4534"/>
    <cellStyle name="comma zerodec 2" xfId="5120"/>
    <cellStyle name="Comma_ SG&amp;A Bridge " xfId="150"/>
    <cellStyle name="Comma0" xfId="4535"/>
    <cellStyle name="Copied" xfId="4536"/>
    <cellStyle name="Curren - Style2" xfId="4537"/>
    <cellStyle name="Curren?_x0012_퐀_x0017_?" xfId="4538"/>
    <cellStyle name="Currency" xfId="4539"/>
    <cellStyle name="Currency [0]" xfId="4540"/>
    <cellStyle name="Currency [0] 2" xfId="5122"/>
    <cellStyle name="Currency [00]" xfId="4541"/>
    <cellStyle name="Currency [00] 2" xfId="5123"/>
    <cellStyle name="Currency 2" xfId="5121"/>
    <cellStyle name="Currency 3" xfId="5224"/>
    <cellStyle name="currency-$" xfId="5124"/>
    <cellStyle name="currency-$ 2" xfId="5225"/>
    <cellStyle name="Currency_   " xfId="4542"/>
    <cellStyle name="Currency0" xfId="4543"/>
    <cellStyle name="Currency1" xfId="4544"/>
    <cellStyle name="Currency1 2" xfId="5125"/>
    <cellStyle name="Currenѣ䀃 䴀礀䰀愀猀攀爀 " xfId="4545"/>
    <cellStyle name="custom" xfId="5126"/>
    <cellStyle name="Cu䁲rency [0]_QTR94_95_97회비" xfId="4546"/>
    <cellStyle name="D$_x0004_P?_x0010__x000b_픲_x0015_딡$_x0004_뗈_x000f_?" xfId="5127"/>
    <cellStyle name="Date" xfId="4547"/>
    <cellStyle name="Date 2" xfId="5128"/>
    <cellStyle name="Date Short" xfId="4548"/>
    <cellStyle name="Date_(9월~12월) 하반기 접대비 예산배포_프로젝트팀" xfId="4549"/>
    <cellStyle name="Datum" xfId="4550"/>
    <cellStyle name="Dezimal [0]" xfId="5129"/>
    <cellStyle name="Dezimal_CFGPLAN" xfId="4551"/>
    <cellStyle name="Dollar (zero dec)" xfId="4552"/>
    <cellStyle name="Dollar (zero dec) 2" xfId="5130"/>
    <cellStyle name="Edited_Data" xfId="4553"/>
    <cellStyle name="Enter Currency (0)" xfId="4554"/>
    <cellStyle name="Enter Currency (0) 2" xfId="5131"/>
    <cellStyle name="Enter Currency (2)" xfId="4555"/>
    <cellStyle name="Enter Currency (2) 2" xfId="5132"/>
    <cellStyle name="Enter Units (0)" xfId="4556"/>
    <cellStyle name="Enter Units (0) 2" xfId="5133"/>
    <cellStyle name="Enter Units (1)" xfId="4557"/>
    <cellStyle name="Enter Units (1) 2" xfId="5134"/>
    <cellStyle name="Enter Units (2)" xfId="4558"/>
    <cellStyle name="Enter Units (2) 2" xfId="5135"/>
    <cellStyle name="Entered" xfId="4559"/>
    <cellStyle name="Estimated_Data" xfId="4560"/>
    <cellStyle name="explanation" xfId="5136"/>
    <cellStyle name="Explanatory Text" xfId="4829"/>
    <cellStyle name="F2" xfId="4561"/>
    <cellStyle name="F3" xfId="4562"/>
    <cellStyle name="F4" xfId="4563"/>
    <cellStyle name="F4 2" xfId="5137"/>
    <cellStyle name="F5" xfId="4564"/>
    <cellStyle name="F6" xfId="4565"/>
    <cellStyle name="F7" xfId="4566"/>
    <cellStyle name="F8" xfId="4567"/>
    <cellStyle name="F8 2" xfId="5138"/>
    <cellStyle name="Fest" xfId="4568"/>
    <cellStyle name="Fixed" xfId="4569"/>
    <cellStyle name="Followed Hyperlink" xfId="4570"/>
    <cellStyle name="Followed Hyperlink 2" xfId="4571"/>
    <cellStyle name="Followed Hyperlink 3" xfId="4572"/>
    <cellStyle name="Forecast_Data" xfId="4573"/>
    <cellStyle name="Good" xfId="4846"/>
    <cellStyle name="Grey" xfId="4574"/>
    <cellStyle name="Grey 2" xfId="5139"/>
    <cellStyle name="HEADER" xfId="4575"/>
    <cellStyle name="Header1" xfId="4576"/>
    <cellStyle name="Header2" xfId="4577"/>
    <cellStyle name="Heading 1" xfId="4578"/>
    <cellStyle name="Heading 1 2" xfId="4847"/>
    <cellStyle name="Heading 2" xfId="4579"/>
    <cellStyle name="Heading 2 2" xfId="4848"/>
    <cellStyle name="Heading 3" xfId="4849"/>
    <cellStyle name="Heading 4" xfId="4850"/>
    <cellStyle name="heading, 1,A MAJOR/BOLD" xfId="4580"/>
    <cellStyle name="Heading1" xfId="4581"/>
    <cellStyle name="Heading1 2" xfId="5140"/>
    <cellStyle name="Heading2" xfId="4582"/>
    <cellStyle name="Heading2 2" xfId="5141"/>
    <cellStyle name="HIGHLIGHT" xfId="4583"/>
    <cellStyle name="HyperLink" xfId="151"/>
    <cellStyle name="Hyperlink 2" xfId="4585"/>
    <cellStyle name="Hyperlink 3" xfId="4586"/>
    <cellStyle name="Hyperlink 4" xfId="4584"/>
    <cellStyle name="Hyperlink_RESULTS" xfId="5142"/>
    <cellStyle name="iles|_x0005_h" xfId="4587"/>
    <cellStyle name="imp-pr-item" xfId="5143"/>
    <cellStyle name="Input" xfId="4851"/>
    <cellStyle name="Input [yellow]" xfId="4588"/>
    <cellStyle name="Input [yellow] 2" xfId="5145"/>
    <cellStyle name="Input [yellow] 3" xfId="5226"/>
    <cellStyle name="Input 2" xfId="5144"/>
    <cellStyle name="Input 3" xfId="5237"/>
    <cellStyle name="Input 4" xfId="5238"/>
    <cellStyle name="Item_Current" xfId="4589"/>
    <cellStyle name="Komma" xfId="4590"/>
    <cellStyle name="Kopfzeile1" xfId="4591"/>
    <cellStyle name="Kopfzeile2" xfId="4592"/>
    <cellStyle name="les" xfId="4593"/>
    <cellStyle name="Link Currency (0)" xfId="4594"/>
    <cellStyle name="Link Currency (0) 2" xfId="5146"/>
    <cellStyle name="Link Currency (2)" xfId="4595"/>
    <cellStyle name="Link Currency (2) 2" xfId="5147"/>
    <cellStyle name="Link Units (0)" xfId="4596"/>
    <cellStyle name="Link Units (0) 2" xfId="5148"/>
    <cellStyle name="Link Units (1)" xfId="4597"/>
    <cellStyle name="Link Units (1) 2" xfId="5149"/>
    <cellStyle name="Link Units (2)" xfId="4598"/>
    <cellStyle name="Link Units (2) 2" xfId="5150"/>
    <cellStyle name="Linked Cell" xfId="4852"/>
    <cellStyle name="Millares_AC-0-CTS" xfId="4599"/>
    <cellStyle name="Milliers [0]_!!!GO" xfId="5151"/>
    <cellStyle name="Milliers_!!!GO" xfId="5152"/>
    <cellStyle name="Model" xfId="4600"/>
    <cellStyle name="Mon?aire [0]_AR1194" xfId="4601"/>
    <cellStyle name="Mon?aire_AR1194" xfId="4602"/>
    <cellStyle name="Monétaire [0]_!!!GO" xfId="5153"/>
    <cellStyle name="Monetaire [0]_Feuil1" xfId="4603"/>
    <cellStyle name="Monétaire_!!!GO" xfId="5154"/>
    <cellStyle name="Monetaire_Feuil1" xfId="4604"/>
    <cellStyle name="multiple" xfId="5155"/>
    <cellStyle name="Neutral" xfId="4853"/>
    <cellStyle name="New" xfId="5156"/>
    <cellStyle name="New 2" xfId="5227"/>
    <cellStyle name="New Times Roman" xfId="4605"/>
    <cellStyle name="no dec" xfId="4606"/>
    <cellStyle name="nohs" xfId="5157"/>
    <cellStyle name="Normal - Style1" xfId="4607"/>
    <cellStyle name="Normal - Style1 2" xfId="5158"/>
    <cellStyle name="Normal - Style2" xfId="4608"/>
    <cellStyle name="Normal - Style3" xfId="4609"/>
    <cellStyle name="Normal - Style4" xfId="4610"/>
    <cellStyle name="Normal - Style5" xfId="4611"/>
    <cellStyle name="Normal - Style6" xfId="4612"/>
    <cellStyle name="Normal - Style7" xfId="4613"/>
    <cellStyle name="Normal - Style8" xfId="4614"/>
    <cellStyle name="Normal_   " xfId="4615"/>
    <cellStyle name="Normal1" xfId="4616"/>
    <cellStyle name="Normal忈OTD thru NOR " xfId="4617"/>
    <cellStyle name="Note" xfId="4854"/>
    <cellStyle name="Note 2" xfId="5159"/>
    <cellStyle name="Note 3" xfId="5239"/>
    <cellStyle name="number-red" xfId="5160"/>
    <cellStyle name="o??귟 [0.00]_PRODUCT DETAIL Q1" xfId="4618"/>
    <cellStyle name="Œ…?æ맖?e [0.00]_laroux" xfId="4619"/>
    <cellStyle name="Œ…?æ맖?e_laroux" xfId="4620"/>
    <cellStyle name="Œ…‹æØ‚è [0.00]_laroux" xfId="5161"/>
    <cellStyle name="Œ…‹æØ‚è_laroux" xfId="5162"/>
    <cellStyle name="Opened HyperLink" xfId="152"/>
    <cellStyle name="Option_Added_Cont_Desc" xfId="4621"/>
    <cellStyle name="Output" xfId="4855"/>
    <cellStyle name="Percent" xfId="4622"/>
    <cellStyle name="Percent [0]" xfId="4623"/>
    <cellStyle name="Percent [0] 2" xfId="5164"/>
    <cellStyle name="Percent [00]" xfId="4624"/>
    <cellStyle name="Percent [00] 2" xfId="5165"/>
    <cellStyle name="Percent [2]" xfId="4625"/>
    <cellStyle name="Percent 2" xfId="5163"/>
    <cellStyle name="Percent 3" xfId="5228"/>
    <cellStyle name="Percent_#6 Temps &amp; Contractors" xfId="4626"/>
    <cellStyle name="PERCENTAGE" xfId="4627"/>
    <cellStyle name="Preisliste" xfId="5166"/>
    <cellStyle name="Preliminary_Data" xfId="4628"/>
    <cellStyle name="PrePop Currency (0)" xfId="4629"/>
    <cellStyle name="PrePop Currency (0) 2" xfId="5167"/>
    <cellStyle name="PrePop Currency (2)" xfId="4630"/>
    <cellStyle name="PrePop Currency (2) 2" xfId="5168"/>
    <cellStyle name="PrePop Units (0)" xfId="4631"/>
    <cellStyle name="PrePop Units (0) 2" xfId="5169"/>
    <cellStyle name="PrePop Units (1)" xfId="4632"/>
    <cellStyle name="PrePop Units (1) 2" xfId="5170"/>
    <cellStyle name="PrePop Units (2)" xfId="4633"/>
    <cellStyle name="PrePop Units (2) 2" xfId="5171"/>
    <cellStyle name="price_item" xfId="5172"/>
    <cellStyle name="Prices_Data" xfId="4634"/>
    <cellStyle name="R?" xfId="4635"/>
    <cellStyle name="RevList" xfId="4636"/>
    <cellStyle name="sche|_x0005_" xfId="4637"/>
    <cellStyle name="ser WIN" xfId="5173"/>
    <cellStyle name="STANDARD" xfId="5174"/>
    <cellStyle name="STFRM" xfId="4638"/>
    <cellStyle name="subhead" xfId="4639"/>
    <cellStyle name="Subtotal" xfId="4640"/>
    <cellStyle name="Summe" xfId="4641"/>
    <cellStyle name="Table Head" xfId="5175"/>
    <cellStyle name="Table Head Aligned" xfId="5176"/>
    <cellStyle name="Table Title" xfId="5177"/>
    <cellStyle name="Text Indent A" xfId="4642"/>
    <cellStyle name="Text Indent B" xfId="4643"/>
    <cellStyle name="Text Indent B 2" xfId="5178"/>
    <cellStyle name="Text Indent C" xfId="4644"/>
    <cellStyle name="Text Indent C 2" xfId="5179"/>
    <cellStyle name="þ_x001d_ð'&amp;Oy?Hy9_x0008__x000f__x0007_æ_x0007__x0007__x0001__x0001_" xfId="4645"/>
    <cellStyle name="þ_x001d_ð'&amp;Oy?Hy9_x0008_E_x000c_￠_x000d__x0007__x0001__x0001_" xfId="5180"/>
    <cellStyle name="Title" xfId="4646"/>
    <cellStyle name="Title 2" xfId="4856"/>
    <cellStyle name="Total" xfId="4647"/>
    <cellStyle name="Total 2" xfId="4857"/>
    <cellStyle name="ű_x000c_Ŵ_x000c_Ŵ뚌Ŵच" xfId="5181"/>
    <cellStyle name="Unprot" xfId="4648"/>
    <cellStyle name="Unprot$" xfId="4649"/>
    <cellStyle name="Unprot_인사월간 보고 (090210)-이니텍" xfId="4650"/>
    <cellStyle name="Unprotect" xfId="4651"/>
    <cellStyle name="Vehicle_Benchmark" xfId="4652"/>
    <cellStyle name="Version_Header" xfId="4653"/>
    <cellStyle name="Volumes_Data" xfId="4654"/>
    <cellStyle name="W?rung [0]" xfId="5182"/>
    <cellStyle name="Währung [0]" xfId="5183"/>
    <cellStyle name="Währung_CFGPLAN" xfId="4655"/>
    <cellStyle name="Warning Text" xfId="4858"/>
    <cellStyle name="ww" xfId="5184"/>
    <cellStyle name="WŽhrung" xfId="4656"/>
    <cellStyle name="x" xfId="5185"/>
    <cellStyle name="x_2003 기지국 전기료 ERP분석자료(10.13)1" xfId="5186"/>
    <cellStyle name="XLS'|_x0005_t" xfId="4657"/>
    <cellStyle name="ܪb♈Ƃܺb♬Ƃ݊b⚜Ƃݚb⛘Ƃݪb⧨Ƃݺb⨤Ƃފb⩔Ƃޚb⩸Ƃުb⪤Ƃ޺b ƂߊbÀƂߚbàƂߪbĄƂߺbĠƂࠊbļƂࠚbŘƂࠪbƄƂ࠺bƤƂࡊbǈƂ࡚b׌ƂࡪbװƂࡺb؜ƂࢊbشƂ࢚bٔƂࢪbǸƂࢺbȰƂ࣊bɤƂࣚbʠƂ࣪bːƂࣺbڄƂऊbڬƂचbۘƂपb۬Ƃऺb܄ƂॊbܜƂग़bܴƂ४b݌ƂॺbݤƂঊbݼƂচbఈƂপbఠƂ঺bసƂ৊b౐Ƃ৚b౴Ƃ৪bޔƂ৺bߌƂਊbߠƂਚb߰ƂਪbࠄƂ਺bಠƂ੊bರƂਗ਼bೀƂ੪b೜Ƃ੺b೴Ƃઊb唔Ƃચb唬Ƃપb啀Ƃ઺b啐Ƃ૊b啨Ƃ૚bഄƂ૪bരƂૺbൔƂଊb൰Ƃଚb඘" xfId="4658"/>
    <cellStyle name="࢝ओޯࣹ܏ࢸउࢦ࣋ݛऎ_x000f_耪" xfId="5187"/>
    <cellStyle name="घखࢰःࢁް۴ࡔऄࠖंआइࡊࣣ۷࣮ࣦ݋܎कࣩࣧࣼ۶ࣱ࣍ࣝऊऒࣕ۳ࣲݿݲअޡ࣓ࢍई࢝ओޯࣹ܏ࢸउࢦ࣋ݛऎ_x000f_耪" xfId="5188"/>
    <cellStyle name="강조색1 2" xfId="153"/>
    <cellStyle name="강조색1 2 2" xfId="154"/>
    <cellStyle name="강조색1 2 3" xfId="4659"/>
    <cellStyle name="강조색1 3" xfId="155"/>
    <cellStyle name="강조색1 4" xfId="156"/>
    <cellStyle name="강조색1 5" xfId="157"/>
    <cellStyle name="강조색1 6" xfId="158"/>
    <cellStyle name="강조색2 2" xfId="159"/>
    <cellStyle name="강조색2 2 2" xfId="160"/>
    <cellStyle name="강조색2 2 3" xfId="4660"/>
    <cellStyle name="강조색2 3" xfId="161"/>
    <cellStyle name="강조색2 4" xfId="162"/>
    <cellStyle name="강조색2 5" xfId="163"/>
    <cellStyle name="강조색2 6" xfId="164"/>
    <cellStyle name="강조색3 2" xfId="165"/>
    <cellStyle name="강조색3 2 2" xfId="166"/>
    <cellStyle name="강조색3 2 3" xfId="4661"/>
    <cellStyle name="강조색3 3" xfId="167"/>
    <cellStyle name="강조색3 4" xfId="168"/>
    <cellStyle name="강조색3 5" xfId="169"/>
    <cellStyle name="강조색3 6" xfId="170"/>
    <cellStyle name="강조색4 2" xfId="171"/>
    <cellStyle name="강조색4 2 2" xfId="172"/>
    <cellStyle name="강조색4 2 3" xfId="4662"/>
    <cellStyle name="강조색4 3" xfId="173"/>
    <cellStyle name="강조색4 4" xfId="174"/>
    <cellStyle name="강조색4 5" xfId="175"/>
    <cellStyle name="강조색4 6" xfId="176"/>
    <cellStyle name="강조색5 2" xfId="177"/>
    <cellStyle name="강조색5 2 2" xfId="178"/>
    <cellStyle name="강조색5 2 3" xfId="4663"/>
    <cellStyle name="강조색5 3" xfId="179"/>
    <cellStyle name="강조색5 4" xfId="180"/>
    <cellStyle name="강조색5 5" xfId="181"/>
    <cellStyle name="강조색5 6" xfId="182"/>
    <cellStyle name="강조색6 2" xfId="183"/>
    <cellStyle name="강조색6 2 2" xfId="184"/>
    <cellStyle name="강조색6 2 3" xfId="4664"/>
    <cellStyle name="강조색6 3" xfId="185"/>
    <cellStyle name="강조색6 4" xfId="186"/>
    <cellStyle name="강조색6 5" xfId="187"/>
    <cellStyle name="강조색6 6" xfId="188"/>
    <cellStyle name="경고문 2" xfId="189"/>
    <cellStyle name="경고문 2 2" xfId="190"/>
    <cellStyle name="경고문 2 3" xfId="4665"/>
    <cellStyle name="경고문 3" xfId="191"/>
    <cellStyle name="경고문 4" xfId="192"/>
    <cellStyle name="경고문 5" xfId="193"/>
    <cellStyle name="경고문 6" xfId="194"/>
    <cellStyle name="계산 2" xfId="195"/>
    <cellStyle name="계산 2 10" xfId="196"/>
    <cellStyle name="계산 2 10 2" xfId="197"/>
    <cellStyle name="계산 2 11" xfId="198"/>
    <cellStyle name="계산 2 11 2" xfId="199"/>
    <cellStyle name="계산 2 12" xfId="200"/>
    <cellStyle name="계산 2 12 2" xfId="201"/>
    <cellStyle name="계산 2 13" xfId="202"/>
    <cellStyle name="계산 2 13 2" xfId="203"/>
    <cellStyle name="계산 2 14" xfId="204"/>
    <cellStyle name="계산 2 14 2" xfId="205"/>
    <cellStyle name="계산 2 15" xfId="206"/>
    <cellStyle name="계산 2 15 2" xfId="207"/>
    <cellStyle name="계산 2 16" xfId="208"/>
    <cellStyle name="계산 2 16 2" xfId="209"/>
    <cellStyle name="계산 2 17" xfId="210"/>
    <cellStyle name="계산 2 17 2" xfId="211"/>
    <cellStyle name="계산 2 18" xfId="212"/>
    <cellStyle name="계산 2 18 2" xfId="213"/>
    <cellStyle name="계산 2 19" xfId="214"/>
    <cellStyle name="계산 2 19 2" xfId="215"/>
    <cellStyle name="계산 2 2" xfId="216"/>
    <cellStyle name="계산 2 20" xfId="217"/>
    <cellStyle name="계산 2 20 2" xfId="218"/>
    <cellStyle name="계산 2 21" xfId="219"/>
    <cellStyle name="계산 2 21 2" xfId="220"/>
    <cellStyle name="계산 2 22" xfId="221"/>
    <cellStyle name="계산 2 22 2" xfId="222"/>
    <cellStyle name="계산 2 23" xfId="223"/>
    <cellStyle name="계산 2 23 2" xfId="224"/>
    <cellStyle name="계산 2 24" xfId="225"/>
    <cellStyle name="계산 2 24 2" xfId="226"/>
    <cellStyle name="계산 2 25" xfId="227"/>
    <cellStyle name="계산 2 25 2" xfId="228"/>
    <cellStyle name="계산 2 26" xfId="229"/>
    <cellStyle name="계산 2 26 2" xfId="230"/>
    <cellStyle name="계산 2 27" xfId="231"/>
    <cellStyle name="계산 2 27 2" xfId="232"/>
    <cellStyle name="계산 2 28" xfId="233"/>
    <cellStyle name="계산 2 28 2" xfId="234"/>
    <cellStyle name="계산 2 29" xfId="235"/>
    <cellStyle name="계산 2 29 2" xfId="236"/>
    <cellStyle name="계산 2 3" xfId="237"/>
    <cellStyle name="계산 2 3 2" xfId="238"/>
    <cellStyle name="계산 2 30" xfId="239"/>
    <cellStyle name="계산 2 30 2" xfId="240"/>
    <cellStyle name="계산 2 31" xfId="241"/>
    <cellStyle name="계산 2 31 2" xfId="242"/>
    <cellStyle name="계산 2 32" xfId="243"/>
    <cellStyle name="계산 2 32 2" xfId="244"/>
    <cellStyle name="계산 2 33" xfId="245"/>
    <cellStyle name="계산 2 33 2" xfId="246"/>
    <cellStyle name="계산 2 34" xfId="247"/>
    <cellStyle name="계산 2 34 2" xfId="248"/>
    <cellStyle name="계산 2 35" xfId="249"/>
    <cellStyle name="계산 2 35 2" xfId="250"/>
    <cellStyle name="계산 2 36" xfId="251"/>
    <cellStyle name="계산 2 36 2" xfId="252"/>
    <cellStyle name="계산 2 37" xfId="253"/>
    <cellStyle name="계산 2 37 2" xfId="254"/>
    <cellStyle name="계산 2 38" xfId="255"/>
    <cellStyle name="계산 2 38 2" xfId="256"/>
    <cellStyle name="계산 2 39" xfId="257"/>
    <cellStyle name="계산 2 39 2" xfId="258"/>
    <cellStyle name="계산 2 4" xfId="259"/>
    <cellStyle name="계산 2 4 2" xfId="260"/>
    <cellStyle name="계산 2 40" xfId="261"/>
    <cellStyle name="계산 2 40 2" xfId="262"/>
    <cellStyle name="계산 2 41" xfId="263"/>
    <cellStyle name="계산 2 41 2" xfId="264"/>
    <cellStyle name="계산 2 42" xfId="265"/>
    <cellStyle name="계산 2 42 2" xfId="266"/>
    <cellStyle name="계산 2 43" xfId="267"/>
    <cellStyle name="계산 2 43 2" xfId="268"/>
    <cellStyle name="계산 2 44" xfId="269"/>
    <cellStyle name="계산 2 44 2" xfId="270"/>
    <cellStyle name="계산 2 45" xfId="271"/>
    <cellStyle name="계산 2 45 2" xfId="272"/>
    <cellStyle name="계산 2 46" xfId="273"/>
    <cellStyle name="계산 2 46 2" xfId="274"/>
    <cellStyle name="계산 2 47" xfId="275"/>
    <cellStyle name="계산 2 48" xfId="276"/>
    <cellStyle name="계산 2 49" xfId="277"/>
    <cellStyle name="계산 2 5" xfId="278"/>
    <cellStyle name="계산 2 5 2" xfId="279"/>
    <cellStyle name="계산 2 50" xfId="280"/>
    <cellStyle name="계산 2 51" xfId="281"/>
    <cellStyle name="계산 2 52" xfId="282"/>
    <cellStyle name="계산 2 53" xfId="283"/>
    <cellStyle name="계산 2 54" xfId="284"/>
    <cellStyle name="계산 2 55" xfId="285"/>
    <cellStyle name="계산 2 56" xfId="286"/>
    <cellStyle name="계산 2 57" xfId="287"/>
    <cellStyle name="계산 2 58" xfId="288"/>
    <cellStyle name="계산 2 59" xfId="289"/>
    <cellStyle name="계산 2 6" xfId="290"/>
    <cellStyle name="계산 2 6 2" xfId="291"/>
    <cellStyle name="계산 2 60" xfId="292"/>
    <cellStyle name="계산 2 61" xfId="293"/>
    <cellStyle name="계산 2 62" xfId="294"/>
    <cellStyle name="계산 2 63" xfId="295"/>
    <cellStyle name="계산 2 64" xfId="296"/>
    <cellStyle name="계산 2 65" xfId="297"/>
    <cellStyle name="계산 2 66" xfId="298"/>
    <cellStyle name="계산 2 67" xfId="299"/>
    <cellStyle name="계산 2 68" xfId="300"/>
    <cellStyle name="계산 2 69" xfId="301"/>
    <cellStyle name="계산 2 7" xfId="302"/>
    <cellStyle name="계산 2 7 2" xfId="303"/>
    <cellStyle name="계산 2 70" xfId="304"/>
    <cellStyle name="계산 2 71" xfId="305"/>
    <cellStyle name="계산 2 72" xfId="306"/>
    <cellStyle name="계산 2 73" xfId="307"/>
    <cellStyle name="계산 2 74" xfId="308"/>
    <cellStyle name="계산 2 75" xfId="309"/>
    <cellStyle name="계산 2 76" xfId="310"/>
    <cellStyle name="계산 2 77" xfId="311"/>
    <cellStyle name="계산 2 78" xfId="312"/>
    <cellStyle name="계산 2 79" xfId="313"/>
    <cellStyle name="계산 2 8" xfId="314"/>
    <cellStyle name="계산 2 8 2" xfId="315"/>
    <cellStyle name="계산 2 80" xfId="316"/>
    <cellStyle name="계산 2 81" xfId="317"/>
    <cellStyle name="계산 2 82" xfId="318"/>
    <cellStyle name="계산 2 83" xfId="319"/>
    <cellStyle name="계산 2 84" xfId="320"/>
    <cellStyle name="계산 2 85" xfId="321"/>
    <cellStyle name="계산 2 86" xfId="322"/>
    <cellStyle name="계산 2 87" xfId="323"/>
    <cellStyle name="계산 2 88" xfId="324"/>
    <cellStyle name="계산 2 89" xfId="325"/>
    <cellStyle name="계산 2 9" xfId="326"/>
    <cellStyle name="계산 2 9 2" xfId="327"/>
    <cellStyle name="계산 2 90" xfId="4666"/>
    <cellStyle name="계산 3" xfId="328"/>
    <cellStyle name="계산 3 10" xfId="329"/>
    <cellStyle name="계산 3 10 2" xfId="330"/>
    <cellStyle name="계산 3 11" xfId="331"/>
    <cellStyle name="계산 3 11 2" xfId="332"/>
    <cellStyle name="계산 3 12" xfId="333"/>
    <cellStyle name="계산 3 12 2" xfId="334"/>
    <cellStyle name="계산 3 13" xfId="335"/>
    <cellStyle name="계산 3 13 2" xfId="336"/>
    <cellStyle name="계산 3 14" xfId="337"/>
    <cellStyle name="계산 3 14 2" xfId="338"/>
    <cellStyle name="계산 3 15" xfId="339"/>
    <cellStyle name="계산 3 15 2" xfId="340"/>
    <cellStyle name="계산 3 16" xfId="341"/>
    <cellStyle name="계산 3 16 2" xfId="342"/>
    <cellStyle name="계산 3 17" xfId="343"/>
    <cellStyle name="계산 3 17 2" xfId="344"/>
    <cellStyle name="계산 3 18" xfId="345"/>
    <cellStyle name="계산 3 18 2" xfId="346"/>
    <cellStyle name="계산 3 19" xfId="347"/>
    <cellStyle name="계산 3 19 2" xfId="348"/>
    <cellStyle name="계산 3 2" xfId="349"/>
    <cellStyle name="계산 3 2 2" xfId="350"/>
    <cellStyle name="계산 3 20" xfId="351"/>
    <cellStyle name="계산 3 20 2" xfId="352"/>
    <cellStyle name="계산 3 21" xfId="353"/>
    <cellStyle name="계산 3 21 2" xfId="354"/>
    <cellStyle name="계산 3 22" xfId="355"/>
    <cellStyle name="계산 3 22 2" xfId="356"/>
    <cellStyle name="계산 3 23" xfId="357"/>
    <cellStyle name="계산 3 23 2" xfId="358"/>
    <cellStyle name="계산 3 24" xfId="359"/>
    <cellStyle name="계산 3 24 2" xfId="360"/>
    <cellStyle name="계산 3 25" xfId="361"/>
    <cellStyle name="계산 3 25 2" xfId="362"/>
    <cellStyle name="계산 3 26" xfId="363"/>
    <cellStyle name="계산 3 26 2" xfId="364"/>
    <cellStyle name="계산 3 27" xfId="365"/>
    <cellStyle name="계산 3 27 2" xfId="366"/>
    <cellStyle name="계산 3 28" xfId="367"/>
    <cellStyle name="계산 3 28 2" xfId="368"/>
    <cellStyle name="계산 3 29" xfId="369"/>
    <cellStyle name="계산 3 29 2" xfId="370"/>
    <cellStyle name="계산 3 3" xfId="371"/>
    <cellStyle name="계산 3 3 2" xfId="372"/>
    <cellStyle name="계산 3 30" xfId="373"/>
    <cellStyle name="계산 3 30 2" xfId="374"/>
    <cellStyle name="계산 3 31" xfId="375"/>
    <cellStyle name="계산 3 31 2" xfId="376"/>
    <cellStyle name="계산 3 32" xfId="377"/>
    <cellStyle name="계산 3 32 2" xfId="378"/>
    <cellStyle name="계산 3 33" xfId="379"/>
    <cellStyle name="계산 3 33 2" xfId="380"/>
    <cellStyle name="계산 3 34" xfId="381"/>
    <cellStyle name="계산 3 34 2" xfId="382"/>
    <cellStyle name="계산 3 35" xfId="383"/>
    <cellStyle name="계산 3 35 2" xfId="384"/>
    <cellStyle name="계산 3 36" xfId="385"/>
    <cellStyle name="계산 3 36 2" xfId="386"/>
    <cellStyle name="계산 3 37" xfId="387"/>
    <cellStyle name="계산 3 37 2" xfId="388"/>
    <cellStyle name="계산 3 38" xfId="389"/>
    <cellStyle name="계산 3 38 2" xfId="390"/>
    <cellStyle name="계산 3 39" xfId="391"/>
    <cellStyle name="계산 3 39 2" xfId="392"/>
    <cellStyle name="계산 3 4" xfId="393"/>
    <cellStyle name="계산 3 4 2" xfId="394"/>
    <cellStyle name="계산 3 40" xfId="395"/>
    <cellStyle name="계산 3 40 2" xfId="396"/>
    <cellStyle name="계산 3 41" xfId="397"/>
    <cellStyle name="계산 3 41 2" xfId="398"/>
    <cellStyle name="계산 3 42" xfId="399"/>
    <cellStyle name="계산 3 42 2" xfId="400"/>
    <cellStyle name="계산 3 43" xfId="401"/>
    <cellStyle name="계산 3 43 2" xfId="402"/>
    <cellStyle name="계산 3 44" xfId="403"/>
    <cellStyle name="계산 3 44 2" xfId="404"/>
    <cellStyle name="계산 3 45" xfId="405"/>
    <cellStyle name="계산 3 45 2" xfId="406"/>
    <cellStyle name="계산 3 46" xfId="407"/>
    <cellStyle name="계산 3 47" xfId="408"/>
    <cellStyle name="계산 3 48" xfId="409"/>
    <cellStyle name="계산 3 49" xfId="410"/>
    <cellStyle name="계산 3 5" xfId="411"/>
    <cellStyle name="계산 3 5 2" xfId="412"/>
    <cellStyle name="계산 3 50" xfId="413"/>
    <cellStyle name="계산 3 51" xfId="414"/>
    <cellStyle name="계산 3 52" xfId="415"/>
    <cellStyle name="계산 3 53" xfId="416"/>
    <cellStyle name="계산 3 54" xfId="417"/>
    <cellStyle name="계산 3 55" xfId="418"/>
    <cellStyle name="계산 3 56" xfId="419"/>
    <cellStyle name="계산 3 57" xfId="420"/>
    <cellStyle name="계산 3 58" xfId="421"/>
    <cellStyle name="계산 3 59" xfId="422"/>
    <cellStyle name="계산 3 6" xfId="423"/>
    <cellStyle name="계산 3 6 2" xfId="424"/>
    <cellStyle name="계산 3 60" xfId="425"/>
    <cellStyle name="계산 3 61" xfId="426"/>
    <cellStyle name="계산 3 62" xfId="427"/>
    <cellStyle name="계산 3 63" xfId="428"/>
    <cellStyle name="계산 3 64" xfId="429"/>
    <cellStyle name="계산 3 65" xfId="430"/>
    <cellStyle name="계산 3 66" xfId="431"/>
    <cellStyle name="계산 3 67" xfId="432"/>
    <cellStyle name="계산 3 68" xfId="433"/>
    <cellStyle name="계산 3 69" xfId="434"/>
    <cellStyle name="계산 3 7" xfId="435"/>
    <cellStyle name="계산 3 7 2" xfId="436"/>
    <cellStyle name="계산 3 70" xfId="437"/>
    <cellStyle name="계산 3 71" xfId="438"/>
    <cellStyle name="계산 3 72" xfId="439"/>
    <cellStyle name="계산 3 73" xfId="440"/>
    <cellStyle name="계산 3 74" xfId="441"/>
    <cellStyle name="계산 3 75" xfId="442"/>
    <cellStyle name="계산 3 76" xfId="443"/>
    <cellStyle name="계산 3 77" xfId="444"/>
    <cellStyle name="계산 3 78" xfId="445"/>
    <cellStyle name="계산 3 79" xfId="446"/>
    <cellStyle name="계산 3 8" xfId="447"/>
    <cellStyle name="계산 3 8 2" xfId="448"/>
    <cellStyle name="계산 3 80" xfId="449"/>
    <cellStyle name="계산 3 81" xfId="450"/>
    <cellStyle name="계산 3 82" xfId="451"/>
    <cellStyle name="계산 3 83" xfId="452"/>
    <cellStyle name="계산 3 84" xfId="453"/>
    <cellStyle name="계산 3 85" xfId="454"/>
    <cellStyle name="계산 3 86" xfId="455"/>
    <cellStyle name="계산 3 87" xfId="456"/>
    <cellStyle name="계산 3 88" xfId="457"/>
    <cellStyle name="계산 3 9" xfId="458"/>
    <cellStyle name="계산 3 9 2" xfId="459"/>
    <cellStyle name="계산 4" xfId="460"/>
    <cellStyle name="계산 4 10" xfId="461"/>
    <cellStyle name="계산 4 10 2" xfId="462"/>
    <cellStyle name="계산 4 11" xfId="463"/>
    <cellStyle name="계산 4 11 2" xfId="464"/>
    <cellStyle name="계산 4 12" xfId="465"/>
    <cellStyle name="계산 4 12 2" xfId="466"/>
    <cellStyle name="계산 4 13" xfId="467"/>
    <cellStyle name="계산 4 13 2" xfId="468"/>
    <cellStyle name="계산 4 14" xfId="469"/>
    <cellStyle name="계산 4 14 2" xfId="470"/>
    <cellStyle name="계산 4 15" xfId="471"/>
    <cellStyle name="계산 4 15 2" xfId="472"/>
    <cellStyle name="계산 4 16" xfId="473"/>
    <cellStyle name="계산 4 16 2" xfId="474"/>
    <cellStyle name="계산 4 17" xfId="475"/>
    <cellStyle name="계산 4 17 2" xfId="476"/>
    <cellStyle name="계산 4 18" xfId="477"/>
    <cellStyle name="계산 4 18 2" xfId="478"/>
    <cellStyle name="계산 4 19" xfId="479"/>
    <cellStyle name="계산 4 19 2" xfId="480"/>
    <cellStyle name="계산 4 2" xfId="481"/>
    <cellStyle name="계산 4 2 2" xfId="482"/>
    <cellStyle name="계산 4 20" xfId="483"/>
    <cellStyle name="계산 4 20 2" xfId="484"/>
    <cellStyle name="계산 4 21" xfId="485"/>
    <cellStyle name="계산 4 21 2" xfId="486"/>
    <cellStyle name="계산 4 22" xfId="487"/>
    <cellStyle name="계산 4 22 2" xfId="488"/>
    <cellStyle name="계산 4 23" xfId="489"/>
    <cellStyle name="계산 4 23 2" xfId="490"/>
    <cellStyle name="계산 4 24" xfId="491"/>
    <cellStyle name="계산 4 24 2" xfId="492"/>
    <cellStyle name="계산 4 25" xfId="493"/>
    <cellStyle name="계산 4 25 2" xfId="494"/>
    <cellStyle name="계산 4 26" xfId="495"/>
    <cellStyle name="계산 4 26 2" xfId="496"/>
    <cellStyle name="계산 4 27" xfId="497"/>
    <cellStyle name="계산 4 27 2" xfId="498"/>
    <cellStyle name="계산 4 28" xfId="499"/>
    <cellStyle name="계산 4 28 2" xfId="500"/>
    <cellStyle name="계산 4 29" xfId="501"/>
    <cellStyle name="계산 4 29 2" xfId="502"/>
    <cellStyle name="계산 4 3" xfId="503"/>
    <cellStyle name="계산 4 3 2" xfId="504"/>
    <cellStyle name="계산 4 30" xfId="505"/>
    <cellStyle name="계산 4 30 2" xfId="506"/>
    <cellStyle name="계산 4 31" xfId="507"/>
    <cellStyle name="계산 4 31 2" xfId="508"/>
    <cellStyle name="계산 4 32" xfId="509"/>
    <cellStyle name="계산 4 32 2" xfId="510"/>
    <cellStyle name="계산 4 33" xfId="511"/>
    <cellStyle name="계산 4 33 2" xfId="512"/>
    <cellStyle name="계산 4 34" xfId="513"/>
    <cellStyle name="계산 4 34 2" xfId="514"/>
    <cellStyle name="계산 4 35" xfId="515"/>
    <cellStyle name="계산 4 35 2" xfId="516"/>
    <cellStyle name="계산 4 36" xfId="517"/>
    <cellStyle name="계산 4 36 2" xfId="518"/>
    <cellStyle name="계산 4 37" xfId="519"/>
    <cellStyle name="계산 4 37 2" xfId="520"/>
    <cellStyle name="계산 4 38" xfId="521"/>
    <cellStyle name="계산 4 38 2" xfId="522"/>
    <cellStyle name="계산 4 39" xfId="523"/>
    <cellStyle name="계산 4 39 2" xfId="524"/>
    <cellStyle name="계산 4 4" xfId="525"/>
    <cellStyle name="계산 4 4 2" xfId="526"/>
    <cellStyle name="계산 4 40" xfId="527"/>
    <cellStyle name="계산 4 40 2" xfId="528"/>
    <cellStyle name="계산 4 41" xfId="529"/>
    <cellStyle name="계산 4 41 2" xfId="530"/>
    <cellStyle name="계산 4 42" xfId="531"/>
    <cellStyle name="계산 4 42 2" xfId="532"/>
    <cellStyle name="계산 4 43" xfId="533"/>
    <cellStyle name="계산 4 43 2" xfId="534"/>
    <cellStyle name="계산 4 44" xfId="535"/>
    <cellStyle name="계산 4 44 2" xfId="536"/>
    <cellStyle name="계산 4 45" xfId="537"/>
    <cellStyle name="계산 4 45 2" xfId="538"/>
    <cellStyle name="계산 4 46" xfId="539"/>
    <cellStyle name="계산 4 47" xfId="540"/>
    <cellStyle name="계산 4 48" xfId="541"/>
    <cellStyle name="계산 4 49" xfId="542"/>
    <cellStyle name="계산 4 5" xfId="543"/>
    <cellStyle name="계산 4 5 2" xfId="544"/>
    <cellStyle name="계산 4 50" xfId="545"/>
    <cellStyle name="계산 4 51" xfId="546"/>
    <cellStyle name="계산 4 52" xfId="547"/>
    <cellStyle name="계산 4 53" xfId="548"/>
    <cellStyle name="계산 4 54" xfId="549"/>
    <cellStyle name="계산 4 55" xfId="550"/>
    <cellStyle name="계산 4 56" xfId="551"/>
    <cellStyle name="계산 4 57" xfId="552"/>
    <cellStyle name="계산 4 58" xfId="553"/>
    <cellStyle name="계산 4 59" xfId="554"/>
    <cellStyle name="계산 4 6" xfId="555"/>
    <cellStyle name="계산 4 6 2" xfId="556"/>
    <cellStyle name="계산 4 60" xfId="557"/>
    <cellStyle name="계산 4 61" xfId="558"/>
    <cellStyle name="계산 4 62" xfId="559"/>
    <cellStyle name="계산 4 63" xfId="560"/>
    <cellStyle name="계산 4 64" xfId="561"/>
    <cellStyle name="계산 4 65" xfId="562"/>
    <cellStyle name="계산 4 66" xfId="563"/>
    <cellStyle name="계산 4 67" xfId="564"/>
    <cellStyle name="계산 4 68" xfId="565"/>
    <cellStyle name="계산 4 69" xfId="566"/>
    <cellStyle name="계산 4 7" xfId="567"/>
    <cellStyle name="계산 4 7 2" xfId="568"/>
    <cellStyle name="계산 4 70" xfId="569"/>
    <cellStyle name="계산 4 71" xfId="570"/>
    <cellStyle name="계산 4 72" xfId="571"/>
    <cellStyle name="계산 4 73" xfId="572"/>
    <cellStyle name="계산 4 74" xfId="573"/>
    <cellStyle name="계산 4 75" xfId="574"/>
    <cellStyle name="계산 4 76" xfId="575"/>
    <cellStyle name="계산 4 77" xfId="576"/>
    <cellStyle name="계산 4 78" xfId="577"/>
    <cellStyle name="계산 4 79" xfId="578"/>
    <cellStyle name="계산 4 8" xfId="579"/>
    <cellStyle name="계산 4 8 2" xfId="580"/>
    <cellStyle name="계산 4 80" xfId="581"/>
    <cellStyle name="계산 4 81" xfId="582"/>
    <cellStyle name="계산 4 82" xfId="583"/>
    <cellStyle name="계산 4 83" xfId="584"/>
    <cellStyle name="계산 4 84" xfId="585"/>
    <cellStyle name="계산 4 85" xfId="586"/>
    <cellStyle name="계산 4 86" xfId="587"/>
    <cellStyle name="계산 4 87" xfId="588"/>
    <cellStyle name="계산 4 88" xfId="589"/>
    <cellStyle name="계산 4 9" xfId="590"/>
    <cellStyle name="계산 4 9 2" xfId="591"/>
    <cellStyle name="계산 5" xfId="592"/>
    <cellStyle name="계산 6" xfId="593"/>
    <cellStyle name="고정소숫점" xfId="4667"/>
    <cellStyle name="고정출력1" xfId="4668"/>
    <cellStyle name="고정출력1 2" xfId="5189"/>
    <cellStyle name="고정출력2" xfId="4669"/>
    <cellStyle name="고정출력2 2" xfId="5190"/>
    <cellStyle name="咬訌裝?INCOM1" xfId="4670"/>
    <cellStyle name="咬訌裝?INCOM10" xfId="4671"/>
    <cellStyle name="咬訌裝?INCOM2" xfId="4672"/>
    <cellStyle name="咬訌裝?INCOM3" xfId="4673"/>
    <cellStyle name="咬訌裝?INCOM4" xfId="4674"/>
    <cellStyle name="咬訌裝?INCOM5" xfId="4675"/>
    <cellStyle name="咬訌裝?INCOM6" xfId="4676"/>
    <cellStyle name="咬訌裝?INCOM7" xfId="4677"/>
    <cellStyle name="咬訌裝?INCOM8" xfId="4678"/>
    <cellStyle name="咬訌裝?INCOM9" xfId="4679"/>
    <cellStyle name="咬訌裝?PRIB11" xfId="4680"/>
    <cellStyle name="咬訌裝?report-2 " xfId="4681"/>
    <cellStyle name="归盒啦_95" xfId="4682"/>
    <cellStyle name="금액" xfId="4683"/>
    <cellStyle name="나쁨 2" xfId="594"/>
    <cellStyle name="나쁨 2 2" xfId="595"/>
    <cellStyle name="나쁨 2 3" xfId="4684"/>
    <cellStyle name="나쁨 3" xfId="596"/>
    <cellStyle name="나쁨 4" xfId="597"/>
    <cellStyle name="나쁨 5" xfId="598"/>
    <cellStyle name="나쁨 6" xfId="599"/>
    <cellStyle name="날짜" xfId="4685"/>
    <cellStyle name="단위(원)" xfId="5191"/>
    <cellStyle name="달러" xfId="4686"/>
    <cellStyle name="달러 2" xfId="5192"/>
    <cellStyle name="동수" xfId="4687"/>
    <cellStyle name="뒤에 오는 하이퍼링크" xfId="4688"/>
    <cellStyle name="똿떓죶Ø괻 [0.00]_PRODUCT DETAIL Q1" xfId="4689"/>
    <cellStyle name="똿떓죶Ø괻_PRODUCT DETAIL Q1" xfId="4690"/>
    <cellStyle name="똿뗦먛귟 [0.00]_laroux" xfId="4691"/>
    <cellStyle name="똿뗦먛귟_laroux" xfId="4692"/>
    <cellStyle name="메모 2" xfId="600"/>
    <cellStyle name="메모 2 10" xfId="601"/>
    <cellStyle name="메모 2 10 2" xfId="602"/>
    <cellStyle name="메모 2 11" xfId="603"/>
    <cellStyle name="메모 2 11 2" xfId="604"/>
    <cellStyle name="메모 2 12" xfId="605"/>
    <cellStyle name="메모 2 12 2" xfId="606"/>
    <cellStyle name="메모 2 13" xfId="607"/>
    <cellStyle name="메모 2 13 2" xfId="608"/>
    <cellStyle name="메모 2 14" xfId="609"/>
    <cellStyle name="메모 2 14 2" xfId="610"/>
    <cellStyle name="메모 2 15" xfId="611"/>
    <cellStyle name="메모 2 15 2" xfId="612"/>
    <cellStyle name="메모 2 16" xfId="613"/>
    <cellStyle name="메모 2 16 2" xfId="614"/>
    <cellStyle name="메모 2 17" xfId="615"/>
    <cellStyle name="메모 2 17 2" xfId="616"/>
    <cellStyle name="메모 2 18" xfId="617"/>
    <cellStyle name="메모 2 18 2" xfId="618"/>
    <cellStyle name="메모 2 19" xfId="619"/>
    <cellStyle name="메모 2 19 2" xfId="620"/>
    <cellStyle name="메모 2 2" xfId="621"/>
    <cellStyle name="메모 2 2 2" xfId="4694"/>
    <cellStyle name="메모 2 20" xfId="622"/>
    <cellStyle name="메모 2 20 2" xfId="623"/>
    <cellStyle name="메모 2 21" xfId="624"/>
    <cellStyle name="메모 2 21 2" xfId="625"/>
    <cellStyle name="메모 2 22" xfId="626"/>
    <cellStyle name="메모 2 22 2" xfId="627"/>
    <cellStyle name="메모 2 23" xfId="628"/>
    <cellStyle name="메모 2 23 2" xfId="629"/>
    <cellStyle name="메모 2 24" xfId="630"/>
    <cellStyle name="메모 2 24 2" xfId="631"/>
    <cellStyle name="메모 2 25" xfId="632"/>
    <cellStyle name="메모 2 25 2" xfId="633"/>
    <cellStyle name="메모 2 26" xfId="634"/>
    <cellStyle name="메모 2 26 2" xfId="635"/>
    <cellStyle name="메모 2 27" xfId="636"/>
    <cellStyle name="메모 2 27 2" xfId="637"/>
    <cellStyle name="메모 2 28" xfId="638"/>
    <cellStyle name="메모 2 28 2" xfId="639"/>
    <cellStyle name="메모 2 29" xfId="640"/>
    <cellStyle name="메모 2 29 2" xfId="641"/>
    <cellStyle name="메모 2 3" xfId="642"/>
    <cellStyle name="메모 2 3 2" xfId="643"/>
    <cellStyle name="메모 2 3 3" xfId="4695"/>
    <cellStyle name="메모 2 30" xfId="644"/>
    <cellStyle name="메모 2 30 2" xfId="645"/>
    <cellStyle name="메모 2 31" xfId="646"/>
    <cellStyle name="메모 2 31 2" xfId="647"/>
    <cellStyle name="메모 2 32" xfId="648"/>
    <cellStyle name="메모 2 32 2" xfId="649"/>
    <cellStyle name="메모 2 33" xfId="650"/>
    <cellStyle name="메모 2 33 2" xfId="651"/>
    <cellStyle name="메모 2 34" xfId="652"/>
    <cellStyle name="메모 2 34 2" xfId="653"/>
    <cellStyle name="메모 2 35" xfId="654"/>
    <cellStyle name="메모 2 35 2" xfId="655"/>
    <cellStyle name="메모 2 36" xfId="656"/>
    <cellStyle name="메모 2 36 2" xfId="657"/>
    <cellStyle name="메모 2 37" xfId="658"/>
    <cellStyle name="메모 2 37 2" xfId="659"/>
    <cellStyle name="메모 2 38" xfId="660"/>
    <cellStyle name="메모 2 38 2" xfId="661"/>
    <cellStyle name="메모 2 39" xfId="662"/>
    <cellStyle name="메모 2 39 2" xfId="663"/>
    <cellStyle name="메모 2 4" xfId="664"/>
    <cellStyle name="메모 2 4 2" xfId="665"/>
    <cellStyle name="메모 2 4 3" xfId="4696"/>
    <cellStyle name="메모 2 40" xfId="666"/>
    <cellStyle name="메모 2 40 2" xfId="667"/>
    <cellStyle name="메모 2 41" xfId="668"/>
    <cellStyle name="메모 2 41 2" xfId="669"/>
    <cellStyle name="메모 2 42" xfId="670"/>
    <cellStyle name="메모 2 42 2" xfId="671"/>
    <cellStyle name="메모 2 43" xfId="672"/>
    <cellStyle name="메모 2 43 2" xfId="673"/>
    <cellStyle name="메모 2 44" xfId="674"/>
    <cellStyle name="메모 2 44 2" xfId="675"/>
    <cellStyle name="메모 2 45" xfId="676"/>
    <cellStyle name="메모 2 45 2" xfId="677"/>
    <cellStyle name="메모 2 46" xfId="678"/>
    <cellStyle name="메모 2 46 2" xfId="679"/>
    <cellStyle name="메모 2 47" xfId="680"/>
    <cellStyle name="메모 2 48" xfId="681"/>
    <cellStyle name="메모 2 49" xfId="682"/>
    <cellStyle name="메모 2 5" xfId="683"/>
    <cellStyle name="메모 2 5 2" xfId="684"/>
    <cellStyle name="메모 2 5 3" xfId="4697"/>
    <cellStyle name="메모 2 50" xfId="685"/>
    <cellStyle name="메모 2 51" xfId="686"/>
    <cellStyle name="메모 2 52" xfId="687"/>
    <cellStyle name="메모 2 53" xfId="688"/>
    <cellStyle name="메모 2 54" xfId="689"/>
    <cellStyle name="메모 2 55" xfId="690"/>
    <cellStyle name="메모 2 56" xfId="691"/>
    <cellStyle name="메모 2 57" xfId="692"/>
    <cellStyle name="메모 2 58" xfId="693"/>
    <cellStyle name="메모 2 59" xfId="694"/>
    <cellStyle name="메모 2 6" xfId="695"/>
    <cellStyle name="메모 2 6 2" xfId="696"/>
    <cellStyle name="메모 2 60" xfId="697"/>
    <cellStyle name="메모 2 61" xfId="698"/>
    <cellStyle name="메모 2 62" xfId="699"/>
    <cellStyle name="메모 2 63" xfId="700"/>
    <cellStyle name="메모 2 64" xfId="701"/>
    <cellStyle name="메모 2 65" xfId="702"/>
    <cellStyle name="메모 2 66" xfId="703"/>
    <cellStyle name="메모 2 67" xfId="704"/>
    <cellStyle name="메모 2 68" xfId="705"/>
    <cellStyle name="메모 2 69" xfId="706"/>
    <cellStyle name="메모 2 7" xfId="707"/>
    <cellStyle name="메모 2 7 2" xfId="708"/>
    <cellStyle name="메모 2 70" xfId="709"/>
    <cellStyle name="메모 2 71" xfId="710"/>
    <cellStyle name="메모 2 72" xfId="711"/>
    <cellStyle name="메모 2 73" xfId="712"/>
    <cellStyle name="메모 2 74" xfId="713"/>
    <cellStyle name="메모 2 75" xfId="714"/>
    <cellStyle name="메모 2 76" xfId="715"/>
    <cellStyle name="메모 2 77" xfId="716"/>
    <cellStyle name="메모 2 78" xfId="717"/>
    <cellStyle name="메모 2 79" xfId="718"/>
    <cellStyle name="메모 2 8" xfId="719"/>
    <cellStyle name="메모 2 8 2" xfId="720"/>
    <cellStyle name="메모 2 80" xfId="721"/>
    <cellStyle name="메모 2 81" xfId="722"/>
    <cellStyle name="메모 2 82" xfId="723"/>
    <cellStyle name="메모 2 83" xfId="724"/>
    <cellStyle name="메모 2 84" xfId="725"/>
    <cellStyle name="메모 2 85" xfId="726"/>
    <cellStyle name="메모 2 86" xfId="727"/>
    <cellStyle name="메모 2 87" xfId="728"/>
    <cellStyle name="메모 2 88" xfId="729"/>
    <cellStyle name="메모 2 89" xfId="730"/>
    <cellStyle name="메모 2 9" xfId="731"/>
    <cellStyle name="메모 2 9 2" xfId="732"/>
    <cellStyle name="메모 2 90" xfId="733"/>
    <cellStyle name="메모 2 90 2" xfId="734"/>
    <cellStyle name="메모 2 91" xfId="4693"/>
    <cellStyle name="메모 3" xfId="735"/>
    <cellStyle name="메모 3 10" xfId="736"/>
    <cellStyle name="메모 3 10 2" xfId="737"/>
    <cellStyle name="메모 3 11" xfId="738"/>
    <cellStyle name="메모 3 11 2" xfId="739"/>
    <cellStyle name="메모 3 12" xfId="740"/>
    <cellStyle name="메모 3 12 2" xfId="741"/>
    <cellStyle name="메모 3 13" xfId="742"/>
    <cellStyle name="메모 3 13 2" xfId="743"/>
    <cellStyle name="메모 3 14" xfId="744"/>
    <cellStyle name="메모 3 14 2" xfId="745"/>
    <cellStyle name="메모 3 15" xfId="746"/>
    <cellStyle name="메모 3 15 2" xfId="747"/>
    <cellStyle name="메모 3 16" xfId="748"/>
    <cellStyle name="메모 3 16 2" xfId="749"/>
    <cellStyle name="메모 3 17" xfId="750"/>
    <cellStyle name="메모 3 17 2" xfId="751"/>
    <cellStyle name="메모 3 18" xfId="752"/>
    <cellStyle name="메모 3 18 2" xfId="753"/>
    <cellStyle name="메모 3 19" xfId="754"/>
    <cellStyle name="메모 3 19 2" xfId="755"/>
    <cellStyle name="메모 3 2" xfId="756"/>
    <cellStyle name="메모 3 2 2" xfId="757"/>
    <cellStyle name="메모 3 20" xfId="758"/>
    <cellStyle name="메모 3 20 2" xfId="759"/>
    <cellStyle name="메모 3 21" xfId="760"/>
    <cellStyle name="메모 3 21 2" xfId="761"/>
    <cellStyle name="메모 3 22" xfId="762"/>
    <cellStyle name="메모 3 22 2" xfId="763"/>
    <cellStyle name="메모 3 23" xfId="764"/>
    <cellStyle name="메모 3 23 2" xfId="765"/>
    <cellStyle name="메모 3 24" xfId="766"/>
    <cellStyle name="메모 3 24 2" xfId="767"/>
    <cellStyle name="메모 3 25" xfId="768"/>
    <cellStyle name="메모 3 25 2" xfId="769"/>
    <cellStyle name="메모 3 26" xfId="770"/>
    <cellStyle name="메모 3 26 2" xfId="771"/>
    <cellStyle name="메모 3 27" xfId="772"/>
    <cellStyle name="메모 3 27 2" xfId="773"/>
    <cellStyle name="메모 3 28" xfId="774"/>
    <cellStyle name="메모 3 28 2" xfId="775"/>
    <cellStyle name="메모 3 29" xfId="776"/>
    <cellStyle name="메모 3 29 2" xfId="777"/>
    <cellStyle name="메모 3 3" xfId="778"/>
    <cellStyle name="메모 3 3 2" xfId="779"/>
    <cellStyle name="메모 3 30" xfId="780"/>
    <cellStyle name="메모 3 30 2" xfId="781"/>
    <cellStyle name="메모 3 31" xfId="782"/>
    <cellStyle name="메모 3 31 2" xfId="783"/>
    <cellStyle name="메모 3 32" xfId="784"/>
    <cellStyle name="메모 3 32 2" xfId="785"/>
    <cellStyle name="메모 3 33" xfId="786"/>
    <cellStyle name="메모 3 33 2" xfId="787"/>
    <cellStyle name="메모 3 34" xfId="788"/>
    <cellStyle name="메모 3 34 2" xfId="789"/>
    <cellStyle name="메모 3 35" xfId="790"/>
    <cellStyle name="메모 3 35 2" xfId="791"/>
    <cellStyle name="메모 3 36" xfId="792"/>
    <cellStyle name="메모 3 36 2" xfId="793"/>
    <cellStyle name="메모 3 37" xfId="794"/>
    <cellStyle name="메모 3 37 2" xfId="795"/>
    <cellStyle name="메모 3 38" xfId="796"/>
    <cellStyle name="메모 3 38 2" xfId="797"/>
    <cellStyle name="메모 3 39" xfId="798"/>
    <cellStyle name="메모 3 39 2" xfId="799"/>
    <cellStyle name="메모 3 4" xfId="800"/>
    <cellStyle name="메모 3 4 2" xfId="801"/>
    <cellStyle name="메모 3 40" xfId="802"/>
    <cellStyle name="메모 3 40 2" xfId="803"/>
    <cellStyle name="메모 3 41" xfId="804"/>
    <cellStyle name="메모 3 41 2" xfId="805"/>
    <cellStyle name="메모 3 42" xfId="806"/>
    <cellStyle name="메모 3 42 2" xfId="807"/>
    <cellStyle name="메모 3 43" xfId="808"/>
    <cellStyle name="메모 3 43 2" xfId="809"/>
    <cellStyle name="메모 3 44" xfId="810"/>
    <cellStyle name="메모 3 44 2" xfId="811"/>
    <cellStyle name="메모 3 45" xfId="812"/>
    <cellStyle name="메모 3 45 2" xfId="813"/>
    <cellStyle name="메모 3 46" xfId="814"/>
    <cellStyle name="메모 3 47" xfId="815"/>
    <cellStyle name="메모 3 48" xfId="816"/>
    <cellStyle name="메모 3 49" xfId="817"/>
    <cellStyle name="메모 3 5" xfId="818"/>
    <cellStyle name="메모 3 5 2" xfId="819"/>
    <cellStyle name="메모 3 50" xfId="820"/>
    <cellStyle name="메모 3 51" xfId="821"/>
    <cellStyle name="메모 3 52" xfId="822"/>
    <cellStyle name="메모 3 53" xfId="823"/>
    <cellStyle name="메모 3 54" xfId="824"/>
    <cellStyle name="메모 3 55" xfId="825"/>
    <cellStyle name="메모 3 56" xfId="826"/>
    <cellStyle name="메모 3 57" xfId="827"/>
    <cellStyle name="메모 3 58" xfId="828"/>
    <cellStyle name="메모 3 59" xfId="829"/>
    <cellStyle name="메모 3 6" xfId="830"/>
    <cellStyle name="메모 3 6 2" xfId="831"/>
    <cellStyle name="메모 3 60" xfId="832"/>
    <cellStyle name="메모 3 61" xfId="833"/>
    <cellStyle name="메모 3 62" xfId="834"/>
    <cellStyle name="메모 3 63" xfId="835"/>
    <cellStyle name="메모 3 64" xfId="836"/>
    <cellStyle name="메모 3 65" xfId="837"/>
    <cellStyle name="메모 3 66" xfId="838"/>
    <cellStyle name="메모 3 67" xfId="839"/>
    <cellStyle name="메모 3 68" xfId="840"/>
    <cellStyle name="메모 3 69" xfId="841"/>
    <cellStyle name="메모 3 7" xfId="842"/>
    <cellStyle name="메모 3 7 2" xfId="843"/>
    <cellStyle name="메모 3 70" xfId="844"/>
    <cellStyle name="메모 3 71" xfId="845"/>
    <cellStyle name="메모 3 72" xfId="846"/>
    <cellStyle name="메모 3 73" xfId="847"/>
    <cellStyle name="메모 3 74" xfId="848"/>
    <cellStyle name="메모 3 75" xfId="849"/>
    <cellStyle name="메모 3 76" xfId="850"/>
    <cellStyle name="메모 3 77" xfId="851"/>
    <cellStyle name="메모 3 78" xfId="852"/>
    <cellStyle name="메모 3 79" xfId="853"/>
    <cellStyle name="메모 3 8" xfId="854"/>
    <cellStyle name="메모 3 8 2" xfId="855"/>
    <cellStyle name="메모 3 80" xfId="856"/>
    <cellStyle name="메모 3 81" xfId="857"/>
    <cellStyle name="메모 3 82" xfId="858"/>
    <cellStyle name="메모 3 83" xfId="859"/>
    <cellStyle name="메모 3 84" xfId="860"/>
    <cellStyle name="메모 3 85" xfId="861"/>
    <cellStyle name="메모 3 86" xfId="862"/>
    <cellStyle name="메모 3 87" xfId="863"/>
    <cellStyle name="메모 3 88" xfId="864"/>
    <cellStyle name="메모 3 9" xfId="865"/>
    <cellStyle name="메모 3 9 2" xfId="866"/>
    <cellStyle name="메모 4" xfId="867"/>
    <cellStyle name="메모 4 10" xfId="868"/>
    <cellStyle name="메모 4 10 2" xfId="869"/>
    <cellStyle name="메모 4 11" xfId="870"/>
    <cellStyle name="메모 4 11 2" xfId="871"/>
    <cellStyle name="메모 4 12" xfId="872"/>
    <cellStyle name="메모 4 12 2" xfId="873"/>
    <cellStyle name="메모 4 13" xfId="874"/>
    <cellStyle name="메모 4 13 2" xfId="875"/>
    <cellStyle name="메모 4 14" xfId="876"/>
    <cellStyle name="메모 4 14 2" xfId="877"/>
    <cellStyle name="메모 4 15" xfId="878"/>
    <cellStyle name="메모 4 15 2" xfId="879"/>
    <cellStyle name="메모 4 16" xfId="880"/>
    <cellStyle name="메모 4 16 2" xfId="881"/>
    <cellStyle name="메모 4 17" xfId="882"/>
    <cellStyle name="메모 4 17 2" xfId="883"/>
    <cellStyle name="메모 4 18" xfId="884"/>
    <cellStyle name="메모 4 18 2" xfId="885"/>
    <cellStyle name="메모 4 19" xfId="886"/>
    <cellStyle name="메모 4 19 2" xfId="887"/>
    <cellStyle name="메모 4 2" xfId="888"/>
    <cellStyle name="메모 4 2 2" xfId="889"/>
    <cellStyle name="메모 4 20" xfId="890"/>
    <cellStyle name="메모 4 20 2" xfId="891"/>
    <cellStyle name="메모 4 21" xfId="892"/>
    <cellStyle name="메모 4 21 2" xfId="893"/>
    <cellStyle name="메모 4 22" xfId="894"/>
    <cellStyle name="메모 4 22 2" xfId="895"/>
    <cellStyle name="메모 4 23" xfId="896"/>
    <cellStyle name="메모 4 23 2" xfId="897"/>
    <cellStyle name="메모 4 24" xfId="898"/>
    <cellStyle name="메모 4 24 2" xfId="899"/>
    <cellStyle name="메모 4 25" xfId="900"/>
    <cellStyle name="메모 4 25 2" xfId="901"/>
    <cellStyle name="메모 4 26" xfId="902"/>
    <cellStyle name="메모 4 26 2" xfId="903"/>
    <cellStyle name="메모 4 27" xfId="904"/>
    <cellStyle name="메모 4 27 2" xfId="905"/>
    <cellStyle name="메모 4 28" xfId="906"/>
    <cellStyle name="메모 4 28 2" xfId="907"/>
    <cellStyle name="메모 4 29" xfId="908"/>
    <cellStyle name="메모 4 29 2" xfId="909"/>
    <cellStyle name="메모 4 3" xfId="910"/>
    <cellStyle name="메모 4 3 2" xfId="911"/>
    <cellStyle name="메모 4 30" xfId="912"/>
    <cellStyle name="메모 4 30 2" xfId="913"/>
    <cellStyle name="메모 4 31" xfId="914"/>
    <cellStyle name="메모 4 31 2" xfId="915"/>
    <cellStyle name="메모 4 32" xfId="916"/>
    <cellStyle name="메모 4 32 2" xfId="917"/>
    <cellStyle name="메모 4 33" xfId="918"/>
    <cellStyle name="메모 4 33 2" xfId="919"/>
    <cellStyle name="메모 4 34" xfId="920"/>
    <cellStyle name="메모 4 34 2" xfId="921"/>
    <cellStyle name="메모 4 35" xfId="922"/>
    <cellStyle name="메모 4 35 2" xfId="923"/>
    <cellStyle name="메모 4 36" xfId="924"/>
    <cellStyle name="메모 4 36 2" xfId="925"/>
    <cellStyle name="메모 4 37" xfId="926"/>
    <cellStyle name="메모 4 37 2" xfId="927"/>
    <cellStyle name="메모 4 38" xfId="928"/>
    <cellStyle name="메모 4 38 2" xfId="929"/>
    <cellStyle name="메모 4 39" xfId="930"/>
    <cellStyle name="메모 4 39 2" xfId="931"/>
    <cellStyle name="메모 4 4" xfId="932"/>
    <cellStyle name="메모 4 4 2" xfId="933"/>
    <cellStyle name="메모 4 40" xfId="934"/>
    <cellStyle name="메모 4 40 2" xfId="935"/>
    <cellStyle name="메모 4 41" xfId="936"/>
    <cellStyle name="메모 4 41 2" xfId="937"/>
    <cellStyle name="메모 4 42" xfId="938"/>
    <cellStyle name="메모 4 42 2" xfId="939"/>
    <cellStyle name="메모 4 43" xfId="940"/>
    <cellStyle name="메모 4 43 2" xfId="941"/>
    <cellStyle name="메모 4 44" xfId="942"/>
    <cellStyle name="메모 4 44 2" xfId="943"/>
    <cellStyle name="메모 4 45" xfId="944"/>
    <cellStyle name="메모 4 45 2" xfId="945"/>
    <cellStyle name="메모 4 46" xfId="946"/>
    <cellStyle name="메모 4 47" xfId="947"/>
    <cellStyle name="메모 4 48" xfId="948"/>
    <cellStyle name="메모 4 49" xfId="949"/>
    <cellStyle name="메모 4 5" xfId="950"/>
    <cellStyle name="메모 4 5 2" xfId="951"/>
    <cellStyle name="메모 4 50" xfId="952"/>
    <cellStyle name="메모 4 51" xfId="953"/>
    <cellStyle name="메모 4 52" xfId="954"/>
    <cellStyle name="메모 4 53" xfId="955"/>
    <cellStyle name="메모 4 54" xfId="956"/>
    <cellStyle name="메모 4 55" xfId="957"/>
    <cellStyle name="메모 4 56" xfId="958"/>
    <cellStyle name="메모 4 57" xfId="959"/>
    <cellStyle name="메모 4 58" xfId="960"/>
    <cellStyle name="메모 4 59" xfId="961"/>
    <cellStyle name="메모 4 6" xfId="962"/>
    <cellStyle name="메모 4 6 2" xfId="963"/>
    <cellStyle name="메모 4 60" xfId="964"/>
    <cellStyle name="메모 4 61" xfId="965"/>
    <cellStyle name="메모 4 62" xfId="966"/>
    <cellStyle name="메모 4 63" xfId="967"/>
    <cellStyle name="메모 4 64" xfId="968"/>
    <cellStyle name="메모 4 65" xfId="969"/>
    <cellStyle name="메모 4 66" xfId="970"/>
    <cellStyle name="메모 4 67" xfId="971"/>
    <cellStyle name="메모 4 68" xfId="972"/>
    <cellStyle name="메모 4 69" xfId="973"/>
    <cellStyle name="메모 4 7" xfId="974"/>
    <cellStyle name="메모 4 7 2" xfId="975"/>
    <cellStyle name="메모 4 70" xfId="976"/>
    <cellStyle name="메모 4 71" xfId="977"/>
    <cellStyle name="메모 4 72" xfId="978"/>
    <cellStyle name="메모 4 73" xfId="979"/>
    <cellStyle name="메모 4 74" xfId="980"/>
    <cellStyle name="메모 4 75" xfId="981"/>
    <cellStyle name="메모 4 76" xfId="982"/>
    <cellStyle name="메모 4 77" xfId="983"/>
    <cellStyle name="메모 4 78" xfId="984"/>
    <cellStyle name="메모 4 79" xfId="985"/>
    <cellStyle name="메모 4 8" xfId="986"/>
    <cellStyle name="메모 4 8 2" xfId="987"/>
    <cellStyle name="메모 4 80" xfId="988"/>
    <cellStyle name="메모 4 81" xfId="989"/>
    <cellStyle name="메모 4 82" xfId="990"/>
    <cellStyle name="메모 4 83" xfId="991"/>
    <cellStyle name="메모 4 84" xfId="992"/>
    <cellStyle name="메모 4 85" xfId="993"/>
    <cellStyle name="메모 4 86" xfId="994"/>
    <cellStyle name="메모 4 87" xfId="995"/>
    <cellStyle name="메모 4 88" xfId="996"/>
    <cellStyle name="메모 4 9" xfId="997"/>
    <cellStyle name="메모 4 9 2" xfId="998"/>
    <cellStyle name="메모 5" xfId="999"/>
    <cellStyle name="메모 6" xfId="1000"/>
    <cellStyle name="메모 7" xfId="1001"/>
    <cellStyle name="묮뎋 [0.00]_PRODUCT DETAIL Q1" xfId="4698"/>
    <cellStyle name="묮뎋_PRODUCT DETAIL Q1" xfId="4699"/>
    <cellStyle name="믅됞 [0.00]_laroux" xfId="4700"/>
    <cellStyle name="믅됞_laroux" xfId="4701"/>
    <cellStyle name="未定義" xfId="4702"/>
    <cellStyle name="백" xfId="4703"/>
    <cellStyle name="백_(최종) PKI부문EAM부문_재무양식(영업전달자료) 9월~12월 매출추정 자료_080911_(최종)" xfId="4704"/>
    <cellStyle name="백_(최종) PKI부문EAM부문_재무양식(영업전달자료) 9월~12월 매출추정 자료_080911_(최종) (version 1)" xfId="4705"/>
    <cellStyle name="백만" xfId="4706"/>
    <cellStyle name="백만원" xfId="4707"/>
    <cellStyle name="백분율" xfId="2" builtinId="5"/>
    <cellStyle name="백분율 10" xfId="5243"/>
    <cellStyle name="백분율 2" xfId="1002"/>
    <cellStyle name="백분율 2 2" xfId="4708"/>
    <cellStyle name="백분율 2 2 2" xfId="5193"/>
    <cellStyle name="백분율 2 3" xfId="4860"/>
    <cellStyle name="백분율 2 4" xfId="4898"/>
    <cellStyle name="백분율 3" xfId="1003"/>
    <cellStyle name="백분율 3 2" xfId="4709"/>
    <cellStyle name="백분율 3 2 2" xfId="4899"/>
    <cellStyle name="백분율 3 3" xfId="4861"/>
    <cellStyle name="백분율 4" xfId="2717"/>
    <cellStyle name="백분율 4 2" xfId="4711"/>
    <cellStyle name="백분율 4 3" xfId="4710"/>
    <cellStyle name="백분율 5" xfId="4712"/>
    <cellStyle name="백분율 6" xfId="4713"/>
    <cellStyle name="백분율 7" xfId="15"/>
    <cellStyle name="백분율 7 2" xfId="4884"/>
    <cellStyle name="백분율 8" xfId="4859"/>
    <cellStyle name="백분율 9" xfId="4881"/>
    <cellStyle name="보통 2" xfId="1004"/>
    <cellStyle name="보통 2 2" xfId="1005"/>
    <cellStyle name="보통 2 3" xfId="4714"/>
    <cellStyle name="보통 3" xfId="1006"/>
    <cellStyle name="보통 4" xfId="1007"/>
    <cellStyle name="보통 5" xfId="1008"/>
    <cellStyle name="보통 6" xfId="1009"/>
    <cellStyle name="普通_ 备 品 备 件" xfId="4715"/>
    <cellStyle name="뷭?" xfId="4716"/>
    <cellStyle name="뷭? 2" xfId="4717"/>
    <cellStyle name="뷭? 3" xfId="4718"/>
    <cellStyle name="常规_05.05" xfId="4719"/>
    <cellStyle name="새귑[0]_RESULTS" xfId="4720"/>
    <cellStyle name="새귑_RESULTS" xfId="4721"/>
    <cellStyle name="선택영역의 가운데로" xfId="4722"/>
    <cellStyle name="설계서-내용" xfId="5194"/>
    <cellStyle name="설계서-내용 2" xfId="5229"/>
    <cellStyle name="설계서-내용-소수점" xfId="5195"/>
    <cellStyle name="설계서-내용-소수점 2" xfId="5230"/>
    <cellStyle name="설계서-내용-우" xfId="5196"/>
    <cellStyle name="설계서-내용-좌" xfId="5197"/>
    <cellStyle name="설계서-소제목" xfId="5198"/>
    <cellStyle name="설계서-소제목 2" xfId="5231"/>
    <cellStyle name="설계서-타이틀" xfId="5199"/>
    <cellStyle name="설계서-항목" xfId="5200"/>
    <cellStyle name="설명 텍스트 2" xfId="1010"/>
    <cellStyle name="설명 텍스트 2 2" xfId="1011"/>
    <cellStyle name="설명 텍스트 2 3" xfId="4723"/>
    <cellStyle name="설명 텍스트 3" xfId="1012"/>
    <cellStyle name="설명 텍스트 4" xfId="1013"/>
    <cellStyle name="설명 텍스트 5" xfId="1014"/>
    <cellStyle name="설명 텍스트 6" xfId="1015"/>
    <cellStyle name="성명" xfId="5201"/>
    <cellStyle name="셀 확인 2" xfId="1016"/>
    <cellStyle name="셀 확인 2 2" xfId="1017"/>
    <cellStyle name="셀 확인 2 3" xfId="4724"/>
    <cellStyle name="셀 확인 3" xfId="1018"/>
    <cellStyle name="셀 확인 4" xfId="1019"/>
    <cellStyle name="셀 확인 5" xfId="1020"/>
    <cellStyle name="셀 확인 6" xfId="1021"/>
    <cellStyle name="셈迷?XLS!check_filesche|_x0005_" xfId="4725"/>
    <cellStyle name="숫자(R)" xfId="4726"/>
    <cellStyle name="숫자(R) 2" xfId="5202"/>
    <cellStyle name="쉼표 [0]" xfId="3" builtinId="6"/>
    <cellStyle name="쉼표 [0] 10" xfId="1022"/>
    <cellStyle name="쉼표 [0] 10 2" xfId="4727"/>
    <cellStyle name="쉼표 [0] 11" xfId="4728"/>
    <cellStyle name="쉼표 [0] 12" xfId="1023"/>
    <cellStyle name="쉼표 [0] 13" xfId="1024"/>
    <cellStyle name="쉼표 [0] 14" xfId="14"/>
    <cellStyle name="쉼표 [0] 14 2" xfId="4883"/>
    <cellStyle name="쉼표 [0] 15" xfId="4897"/>
    <cellStyle name="쉼표 [0] 16" xfId="5242"/>
    <cellStyle name="쉼표 [0] 2" xfId="4"/>
    <cellStyle name="쉼표 [0] 2 10" xfId="1025"/>
    <cellStyle name="쉼표 [0] 2 11" xfId="2719"/>
    <cellStyle name="쉼표 [0] 2 12" xfId="4729"/>
    <cellStyle name="쉼표 [0] 2 13" xfId="4869"/>
    <cellStyle name="쉼표 [0] 2 14" xfId="5204"/>
    <cellStyle name="쉼표 [0] 2 2" xfId="1026"/>
    <cellStyle name="쉼표 [0] 2 2 10" xfId="5244"/>
    <cellStyle name="쉼표 [0] 2 2 2" xfId="1027"/>
    <cellStyle name="쉼표 [0] 2 2 3" xfId="1028"/>
    <cellStyle name="쉼표 [0] 2 2 4" xfId="1029"/>
    <cellStyle name="쉼표 [0] 2 2 5" xfId="1030"/>
    <cellStyle name="쉼표 [0] 2 2 6" xfId="1031"/>
    <cellStyle name="쉼표 [0] 2 2 7" xfId="1032"/>
    <cellStyle name="쉼표 [0] 2 2 8" xfId="1033"/>
    <cellStyle name="쉼표 [0] 2 2 9" xfId="1034"/>
    <cellStyle name="쉼표 [0] 2 3" xfId="1035"/>
    <cellStyle name="쉼표 [0] 2 4" xfId="1036"/>
    <cellStyle name="쉼표 [0] 2 5" xfId="1037"/>
    <cellStyle name="쉼표 [0] 2 6" xfId="1038"/>
    <cellStyle name="쉼표 [0] 2 7" xfId="1039"/>
    <cellStyle name="쉼표 [0] 2 8" xfId="1040"/>
    <cellStyle name="쉼표 [0] 2 9" xfId="1041"/>
    <cellStyle name="쉼표 [0] 3" xfId="1042"/>
    <cellStyle name="쉼표 [0] 3 2" xfId="1043"/>
    <cellStyle name="쉼표 [0] 3 2 2" xfId="4863"/>
    <cellStyle name="쉼표 [0] 3 3" xfId="1044"/>
    <cellStyle name="쉼표 [0] 3 4" xfId="4730"/>
    <cellStyle name="쉼표 [0] 3 5" xfId="4862"/>
    <cellStyle name="쉼표 [0] 3 6" xfId="5205"/>
    <cellStyle name="쉼표 [0] 4" xfId="1045"/>
    <cellStyle name="쉼표 [0] 4 2" xfId="4731"/>
    <cellStyle name="쉼표 [0] 4 3" xfId="4864"/>
    <cellStyle name="쉼표 [0] 4 4" xfId="5203"/>
    <cellStyle name="쉼표 [0] 5" xfId="1046"/>
    <cellStyle name="쉼표 [0] 5 2" xfId="1047"/>
    <cellStyle name="쉼표 [0] 5 3" xfId="1048"/>
    <cellStyle name="쉼표 [0] 5 4" xfId="1049"/>
    <cellStyle name="쉼표 [0] 5 5" xfId="4732"/>
    <cellStyle name="쉼표 [0] 6" xfId="1050"/>
    <cellStyle name="쉼표 [0] 6 2" xfId="4733"/>
    <cellStyle name="쉼표 [0] 7" xfId="1051"/>
    <cellStyle name="쉼표 [0] 7 2" xfId="4734"/>
    <cellStyle name="쉼표 [0] 8" xfId="4735"/>
    <cellStyle name="쉼표 [0] 8 2" xfId="4736"/>
    <cellStyle name="쉼표 [0] 9" xfId="4737"/>
    <cellStyle name="쉼표 [0] 9 2" xfId="4738"/>
    <cellStyle name="쉼표[0]" xfId="1052"/>
    <cellStyle name="스타일 1" xfId="1053"/>
    <cellStyle name="스타일 1 2" xfId="4739"/>
    <cellStyle name="스타일 10" xfId="1054"/>
    <cellStyle name="스타일 11" xfId="1055"/>
    <cellStyle name="스타일 12" xfId="1056"/>
    <cellStyle name="스타일 13" xfId="1057"/>
    <cellStyle name="스타일 14" xfId="1058"/>
    <cellStyle name="스타일 15" xfId="1059"/>
    <cellStyle name="스타일 16" xfId="1060"/>
    <cellStyle name="스타일 17" xfId="1061"/>
    <cellStyle name="스타일 18" xfId="1062"/>
    <cellStyle name="스타일 19" xfId="1063"/>
    <cellStyle name="스타일 2" xfId="1064"/>
    <cellStyle name="스타일 2 2" xfId="4740"/>
    <cellStyle name="스타일 2 3" xfId="5206"/>
    <cellStyle name="스타일 20" xfId="1065"/>
    <cellStyle name="스타일 21" xfId="1066"/>
    <cellStyle name="스타일 22" xfId="1067"/>
    <cellStyle name="스타일 3" xfId="1068"/>
    <cellStyle name="스타일 3 2" xfId="4741"/>
    <cellStyle name="스타일 3 3" xfId="5207"/>
    <cellStyle name="스타일 4" xfId="1069"/>
    <cellStyle name="스타일 4 2" xfId="4742"/>
    <cellStyle name="스타일 4 3" xfId="5208"/>
    <cellStyle name="스타일 5" xfId="1070"/>
    <cellStyle name="스타일 5 2" xfId="4743"/>
    <cellStyle name="스타일 5 3" xfId="5209"/>
    <cellStyle name="스타일 6" xfId="1071"/>
    <cellStyle name="스타일 6 2" xfId="4744"/>
    <cellStyle name="스타일 7" xfId="1072"/>
    <cellStyle name="스타일 7 2" xfId="4745"/>
    <cellStyle name="스타일 8" xfId="1073"/>
    <cellStyle name="스타일 9" xfId="1074"/>
    <cellStyle name="안건회계법인" xfId="4746"/>
    <cellStyle name="연결된 셀 2" xfId="1075"/>
    <cellStyle name="연결된 셀 2 2" xfId="1076"/>
    <cellStyle name="연결된 셀 2 3" xfId="4747"/>
    <cellStyle name="연결된 셀 3" xfId="1077"/>
    <cellStyle name="연결된 셀 4" xfId="1078"/>
    <cellStyle name="연결된 셀 5" xfId="1079"/>
    <cellStyle name="연결된 셀 6" xfId="1080"/>
    <cellStyle name="霓付 [0]_95" xfId="4748"/>
    <cellStyle name="霓付_95" xfId="4749"/>
    <cellStyle name="요약 2" xfId="1081"/>
    <cellStyle name="요약 2 10" xfId="1082"/>
    <cellStyle name="요약 2 10 2" xfId="1083"/>
    <cellStyle name="요약 2 11" xfId="1084"/>
    <cellStyle name="요약 2 11 2" xfId="1085"/>
    <cellStyle name="요약 2 12" xfId="1086"/>
    <cellStyle name="요약 2 12 2" xfId="1087"/>
    <cellStyle name="요약 2 13" xfId="1088"/>
    <cellStyle name="요약 2 13 2" xfId="1089"/>
    <cellStyle name="요약 2 14" xfId="1090"/>
    <cellStyle name="요약 2 14 2" xfId="1091"/>
    <cellStyle name="요약 2 15" xfId="1092"/>
    <cellStyle name="요약 2 15 2" xfId="1093"/>
    <cellStyle name="요약 2 16" xfId="1094"/>
    <cellStyle name="요약 2 16 2" xfId="1095"/>
    <cellStyle name="요약 2 17" xfId="1096"/>
    <cellStyle name="요약 2 17 2" xfId="1097"/>
    <cellStyle name="요약 2 18" xfId="1098"/>
    <cellStyle name="요약 2 18 2" xfId="1099"/>
    <cellStyle name="요약 2 19" xfId="1100"/>
    <cellStyle name="요약 2 19 2" xfId="1101"/>
    <cellStyle name="요약 2 2" xfId="1102"/>
    <cellStyle name="요약 2 20" xfId="1103"/>
    <cellStyle name="요약 2 20 2" xfId="1104"/>
    <cellStyle name="요약 2 21" xfId="1105"/>
    <cellStyle name="요약 2 21 2" xfId="1106"/>
    <cellStyle name="요약 2 22" xfId="1107"/>
    <cellStyle name="요약 2 22 2" xfId="1108"/>
    <cellStyle name="요약 2 23" xfId="1109"/>
    <cellStyle name="요약 2 23 2" xfId="1110"/>
    <cellStyle name="요약 2 24" xfId="1111"/>
    <cellStyle name="요약 2 24 2" xfId="1112"/>
    <cellStyle name="요약 2 25" xfId="1113"/>
    <cellStyle name="요약 2 25 2" xfId="1114"/>
    <cellStyle name="요약 2 26" xfId="1115"/>
    <cellStyle name="요약 2 26 2" xfId="1116"/>
    <cellStyle name="요약 2 27" xfId="1117"/>
    <cellStyle name="요약 2 27 2" xfId="1118"/>
    <cellStyle name="요약 2 28" xfId="1119"/>
    <cellStyle name="요약 2 28 2" xfId="1120"/>
    <cellStyle name="요약 2 29" xfId="1121"/>
    <cellStyle name="요약 2 29 2" xfId="1122"/>
    <cellStyle name="요약 2 3" xfId="1123"/>
    <cellStyle name="요약 2 3 2" xfId="1124"/>
    <cellStyle name="요약 2 30" xfId="1125"/>
    <cellStyle name="요약 2 30 2" xfId="1126"/>
    <cellStyle name="요약 2 31" xfId="1127"/>
    <cellStyle name="요약 2 31 2" xfId="1128"/>
    <cellStyle name="요약 2 32" xfId="1129"/>
    <cellStyle name="요약 2 32 2" xfId="1130"/>
    <cellStyle name="요약 2 33" xfId="1131"/>
    <cellStyle name="요약 2 33 2" xfId="1132"/>
    <cellStyle name="요약 2 34" xfId="1133"/>
    <cellStyle name="요약 2 34 2" xfId="1134"/>
    <cellStyle name="요약 2 35" xfId="1135"/>
    <cellStyle name="요약 2 35 2" xfId="1136"/>
    <cellStyle name="요약 2 36" xfId="1137"/>
    <cellStyle name="요약 2 36 2" xfId="1138"/>
    <cellStyle name="요약 2 37" xfId="1139"/>
    <cellStyle name="요약 2 37 2" xfId="1140"/>
    <cellStyle name="요약 2 38" xfId="1141"/>
    <cellStyle name="요약 2 38 2" xfId="1142"/>
    <cellStyle name="요약 2 39" xfId="1143"/>
    <cellStyle name="요약 2 39 2" xfId="1144"/>
    <cellStyle name="요약 2 4" xfId="1145"/>
    <cellStyle name="요약 2 4 2" xfId="1146"/>
    <cellStyle name="요약 2 40" xfId="1147"/>
    <cellStyle name="요약 2 40 2" xfId="1148"/>
    <cellStyle name="요약 2 41" xfId="1149"/>
    <cellStyle name="요약 2 41 2" xfId="1150"/>
    <cellStyle name="요약 2 42" xfId="1151"/>
    <cellStyle name="요약 2 42 2" xfId="1152"/>
    <cellStyle name="요약 2 43" xfId="1153"/>
    <cellStyle name="요약 2 43 2" xfId="1154"/>
    <cellStyle name="요약 2 44" xfId="1155"/>
    <cellStyle name="요약 2 44 2" xfId="1156"/>
    <cellStyle name="요약 2 45" xfId="1157"/>
    <cellStyle name="요약 2 45 2" xfId="1158"/>
    <cellStyle name="요약 2 46" xfId="1159"/>
    <cellStyle name="요약 2 46 2" xfId="1160"/>
    <cellStyle name="요약 2 47" xfId="1161"/>
    <cellStyle name="요약 2 48" xfId="1162"/>
    <cellStyle name="요약 2 49" xfId="1163"/>
    <cellStyle name="요약 2 5" xfId="1164"/>
    <cellStyle name="요약 2 5 2" xfId="1165"/>
    <cellStyle name="요약 2 50" xfId="1166"/>
    <cellStyle name="요약 2 51" xfId="1167"/>
    <cellStyle name="요약 2 52" xfId="1168"/>
    <cellStyle name="요약 2 53" xfId="1169"/>
    <cellStyle name="요약 2 54" xfId="1170"/>
    <cellStyle name="요약 2 55" xfId="1171"/>
    <cellStyle name="요약 2 56" xfId="1172"/>
    <cellStyle name="요약 2 57" xfId="1173"/>
    <cellStyle name="요약 2 58" xfId="1174"/>
    <cellStyle name="요약 2 59" xfId="1175"/>
    <cellStyle name="요약 2 6" xfId="1176"/>
    <cellStyle name="요약 2 6 2" xfId="1177"/>
    <cellStyle name="요약 2 60" xfId="1178"/>
    <cellStyle name="요약 2 61" xfId="1179"/>
    <cellStyle name="요약 2 62" xfId="1180"/>
    <cellStyle name="요약 2 63" xfId="1181"/>
    <cellStyle name="요약 2 64" xfId="1182"/>
    <cellStyle name="요약 2 65" xfId="1183"/>
    <cellStyle name="요약 2 66" xfId="1184"/>
    <cellStyle name="요약 2 67" xfId="1185"/>
    <cellStyle name="요약 2 68" xfId="1186"/>
    <cellStyle name="요약 2 69" xfId="1187"/>
    <cellStyle name="요약 2 7" xfId="1188"/>
    <cellStyle name="요약 2 7 2" xfId="1189"/>
    <cellStyle name="요약 2 70" xfId="1190"/>
    <cellStyle name="요약 2 71" xfId="1191"/>
    <cellStyle name="요약 2 72" xfId="1192"/>
    <cellStyle name="요약 2 73" xfId="1193"/>
    <cellStyle name="요약 2 74" xfId="1194"/>
    <cellStyle name="요약 2 75" xfId="1195"/>
    <cellStyle name="요약 2 76" xfId="1196"/>
    <cellStyle name="요약 2 77" xfId="1197"/>
    <cellStyle name="요약 2 78" xfId="1198"/>
    <cellStyle name="요약 2 79" xfId="1199"/>
    <cellStyle name="요약 2 8" xfId="1200"/>
    <cellStyle name="요약 2 8 2" xfId="1201"/>
    <cellStyle name="요약 2 80" xfId="1202"/>
    <cellStyle name="요약 2 81" xfId="1203"/>
    <cellStyle name="요약 2 82" xfId="1204"/>
    <cellStyle name="요약 2 83" xfId="1205"/>
    <cellStyle name="요약 2 84" xfId="1206"/>
    <cellStyle name="요약 2 85" xfId="1207"/>
    <cellStyle name="요약 2 86" xfId="1208"/>
    <cellStyle name="요약 2 87" xfId="1209"/>
    <cellStyle name="요약 2 88" xfId="1210"/>
    <cellStyle name="요약 2 89" xfId="1211"/>
    <cellStyle name="요약 2 9" xfId="1212"/>
    <cellStyle name="요약 2 9 2" xfId="1213"/>
    <cellStyle name="요약 2 90" xfId="4750"/>
    <cellStyle name="요약 3" xfId="1214"/>
    <cellStyle name="요약 3 10" xfId="1215"/>
    <cellStyle name="요약 3 10 2" xfId="1216"/>
    <cellStyle name="요약 3 11" xfId="1217"/>
    <cellStyle name="요약 3 11 2" xfId="1218"/>
    <cellStyle name="요약 3 12" xfId="1219"/>
    <cellStyle name="요약 3 12 2" xfId="1220"/>
    <cellStyle name="요약 3 13" xfId="1221"/>
    <cellStyle name="요약 3 13 2" xfId="1222"/>
    <cellStyle name="요약 3 14" xfId="1223"/>
    <cellStyle name="요약 3 14 2" xfId="1224"/>
    <cellStyle name="요약 3 15" xfId="1225"/>
    <cellStyle name="요약 3 15 2" xfId="1226"/>
    <cellStyle name="요약 3 16" xfId="1227"/>
    <cellStyle name="요약 3 16 2" xfId="1228"/>
    <cellStyle name="요약 3 17" xfId="1229"/>
    <cellStyle name="요약 3 17 2" xfId="1230"/>
    <cellStyle name="요약 3 18" xfId="1231"/>
    <cellStyle name="요약 3 18 2" xfId="1232"/>
    <cellStyle name="요약 3 19" xfId="1233"/>
    <cellStyle name="요약 3 19 2" xfId="1234"/>
    <cellStyle name="요약 3 2" xfId="1235"/>
    <cellStyle name="요약 3 2 2" xfId="1236"/>
    <cellStyle name="요약 3 20" xfId="1237"/>
    <cellStyle name="요약 3 20 2" xfId="1238"/>
    <cellStyle name="요약 3 21" xfId="1239"/>
    <cellStyle name="요약 3 21 2" xfId="1240"/>
    <cellStyle name="요약 3 22" xfId="1241"/>
    <cellStyle name="요약 3 22 2" xfId="1242"/>
    <cellStyle name="요약 3 23" xfId="1243"/>
    <cellStyle name="요약 3 23 2" xfId="1244"/>
    <cellStyle name="요약 3 24" xfId="1245"/>
    <cellStyle name="요약 3 24 2" xfId="1246"/>
    <cellStyle name="요약 3 25" xfId="1247"/>
    <cellStyle name="요약 3 25 2" xfId="1248"/>
    <cellStyle name="요약 3 26" xfId="1249"/>
    <cellStyle name="요약 3 26 2" xfId="1250"/>
    <cellStyle name="요약 3 27" xfId="1251"/>
    <cellStyle name="요약 3 27 2" xfId="1252"/>
    <cellStyle name="요약 3 28" xfId="1253"/>
    <cellStyle name="요약 3 28 2" xfId="1254"/>
    <cellStyle name="요약 3 29" xfId="1255"/>
    <cellStyle name="요약 3 29 2" xfId="1256"/>
    <cellStyle name="요약 3 3" xfId="1257"/>
    <cellStyle name="요약 3 3 2" xfId="1258"/>
    <cellStyle name="요약 3 30" xfId="1259"/>
    <cellStyle name="요약 3 30 2" xfId="1260"/>
    <cellStyle name="요약 3 31" xfId="1261"/>
    <cellStyle name="요약 3 31 2" xfId="1262"/>
    <cellStyle name="요약 3 32" xfId="1263"/>
    <cellStyle name="요약 3 32 2" xfId="1264"/>
    <cellStyle name="요약 3 33" xfId="1265"/>
    <cellStyle name="요약 3 33 2" xfId="1266"/>
    <cellStyle name="요약 3 34" xfId="1267"/>
    <cellStyle name="요약 3 34 2" xfId="1268"/>
    <cellStyle name="요약 3 35" xfId="1269"/>
    <cellStyle name="요약 3 35 2" xfId="1270"/>
    <cellStyle name="요약 3 36" xfId="1271"/>
    <cellStyle name="요약 3 36 2" xfId="1272"/>
    <cellStyle name="요약 3 37" xfId="1273"/>
    <cellStyle name="요약 3 37 2" xfId="1274"/>
    <cellStyle name="요약 3 38" xfId="1275"/>
    <cellStyle name="요약 3 38 2" xfId="1276"/>
    <cellStyle name="요약 3 39" xfId="1277"/>
    <cellStyle name="요약 3 39 2" xfId="1278"/>
    <cellStyle name="요약 3 4" xfId="1279"/>
    <cellStyle name="요약 3 4 2" xfId="1280"/>
    <cellStyle name="요약 3 40" xfId="1281"/>
    <cellStyle name="요약 3 40 2" xfId="1282"/>
    <cellStyle name="요약 3 41" xfId="1283"/>
    <cellStyle name="요약 3 41 2" xfId="1284"/>
    <cellStyle name="요약 3 42" xfId="1285"/>
    <cellStyle name="요약 3 42 2" xfId="1286"/>
    <cellStyle name="요약 3 43" xfId="1287"/>
    <cellStyle name="요약 3 43 2" xfId="1288"/>
    <cellStyle name="요약 3 44" xfId="1289"/>
    <cellStyle name="요약 3 44 2" xfId="1290"/>
    <cellStyle name="요약 3 45" xfId="1291"/>
    <cellStyle name="요약 3 45 2" xfId="1292"/>
    <cellStyle name="요약 3 46" xfId="1293"/>
    <cellStyle name="요약 3 47" xfId="1294"/>
    <cellStyle name="요약 3 48" xfId="1295"/>
    <cellStyle name="요약 3 49" xfId="1296"/>
    <cellStyle name="요약 3 5" xfId="1297"/>
    <cellStyle name="요약 3 5 2" xfId="1298"/>
    <cellStyle name="요약 3 50" xfId="1299"/>
    <cellStyle name="요약 3 51" xfId="1300"/>
    <cellStyle name="요약 3 52" xfId="1301"/>
    <cellStyle name="요약 3 53" xfId="1302"/>
    <cellStyle name="요약 3 54" xfId="1303"/>
    <cellStyle name="요약 3 55" xfId="1304"/>
    <cellStyle name="요약 3 56" xfId="1305"/>
    <cellStyle name="요약 3 57" xfId="1306"/>
    <cellStyle name="요약 3 58" xfId="1307"/>
    <cellStyle name="요약 3 59" xfId="1308"/>
    <cellStyle name="요약 3 6" xfId="1309"/>
    <cellStyle name="요약 3 6 2" xfId="1310"/>
    <cellStyle name="요약 3 60" xfId="1311"/>
    <cellStyle name="요약 3 61" xfId="1312"/>
    <cellStyle name="요약 3 62" xfId="1313"/>
    <cellStyle name="요약 3 63" xfId="1314"/>
    <cellStyle name="요약 3 64" xfId="1315"/>
    <cellStyle name="요약 3 65" xfId="1316"/>
    <cellStyle name="요약 3 66" xfId="1317"/>
    <cellStyle name="요약 3 67" xfId="1318"/>
    <cellStyle name="요약 3 68" xfId="1319"/>
    <cellStyle name="요약 3 69" xfId="1320"/>
    <cellStyle name="요약 3 7" xfId="1321"/>
    <cellStyle name="요약 3 7 2" xfId="1322"/>
    <cellStyle name="요약 3 70" xfId="1323"/>
    <cellStyle name="요약 3 71" xfId="1324"/>
    <cellStyle name="요약 3 72" xfId="1325"/>
    <cellStyle name="요약 3 73" xfId="1326"/>
    <cellStyle name="요약 3 74" xfId="1327"/>
    <cellStyle name="요약 3 75" xfId="1328"/>
    <cellStyle name="요약 3 76" xfId="1329"/>
    <cellStyle name="요약 3 77" xfId="1330"/>
    <cellStyle name="요약 3 78" xfId="1331"/>
    <cellStyle name="요약 3 79" xfId="1332"/>
    <cellStyle name="요약 3 8" xfId="1333"/>
    <cellStyle name="요약 3 8 2" xfId="1334"/>
    <cellStyle name="요약 3 80" xfId="1335"/>
    <cellStyle name="요약 3 81" xfId="1336"/>
    <cellStyle name="요약 3 82" xfId="1337"/>
    <cellStyle name="요약 3 83" xfId="1338"/>
    <cellStyle name="요약 3 84" xfId="1339"/>
    <cellStyle name="요약 3 85" xfId="1340"/>
    <cellStyle name="요약 3 86" xfId="1341"/>
    <cellStyle name="요약 3 87" xfId="1342"/>
    <cellStyle name="요약 3 88" xfId="1343"/>
    <cellStyle name="요약 3 9" xfId="1344"/>
    <cellStyle name="요약 3 9 2" xfId="1345"/>
    <cellStyle name="요약 4" xfId="1346"/>
    <cellStyle name="요약 4 10" xfId="1347"/>
    <cellStyle name="요약 4 10 2" xfId="1348"/>
    <cellStyle name="요약 4 11" xfId="1349"/>
    <cellStyle name="요약 4 11 2" xfId="1350"/>
    <cellStyle name="요약 4 12" xfId="1351"/>
    <cellStyle name="요약 4 12 2" xfId="1352"/>
    <cellStyle name="요약 4 13" xfId="1353"/>
    <cellStyle name="요약 4 13 2" xfId="1354"/>
    <cellStyle name="요약 4 14" xfId="1355"/>
    <cellStyle name="요약 4 14 2" xfId="1356"/>
    <cellStyle name="요약 4 15" xfId="1357"/>
    <cellStyle name="요약 4 15 2" xfId="1358"/>
    <cellStyle name="요약 4 16" xfId="1359"/>
    <cellStyle name="요약 4 16 2" xfId="1360"/>
    <cellStyle name="요약 4 17" xfId="1361"/>
    <cellStyle name="요약 4 17 2" xfId="1362"/>
    <cellStyle name="요약 4 18" xfId="1363"/>
    <cellStyle name="요약 4 18 2" xfId="1364"/>
    <cellStyle name="요약 4 19" xfId="1365"/>
    <cellStyle name="요약 4 19 2" xfId="1366"/>
    <cellStyle name="요약 4 2" xfId="1367"/>
    <cellStyle name="요약 4 2 2" xfId="1368"/>
    <cellStyle name="요약 4 20" xfId="1369"/>
    <cellStyle name="요약 4 20 2" xfId="1370"/>
    <cellStyle name="요약 4 21" xfId="1371"/>
    <cellStyle name="요약 4 21 2" xfId="1372"/>
    <cellStyle name="요약 4 22" xfId="1373"/>
    <cellStyle name="요약 4 22 2" xfId="1374"/>
    <cellStyle name="요약 4 23" xfId="1375"/>
    <cellStyle name="요약 4 23 2" xfId="1376"/>
    <cellStyle name="요약 4 24" xfId="1377"/>
    <cellStyle name="요약 4 24 2" xfId="1378"/>
    <cellStyle name="요약 4 25" xfId="1379"/>
    <cellStyle name="요약 4 25 2" xfId="1380"/>
    <cellStyle name="요약 4 26" xfId="1381"/>
    <cellStyle name="요약 4 26 2" xfId="1382"/>
    <cellStyle name="요약 4 27" xfId="1383"/>
    <cellStyle name="요약 4 27 2" xfId="1384"/>
    <cellStyle name="요약 4 28" xfId="1385"/>
    <cellStyle name="요약 4 28 2" xfId="1386"/>
    <cellStyle name="요약 4 29" xfId="1387"/>
    <cellStyle name="요약 4 29 2" xfId="1388"/>
    <cellStyle name="요약 4 3" xfId="1389"/>
    <cellStyle name="요약 4 3 2" xfId="1390"/>
    <cellStyle name="요약 4 30" xfId="1391"/>
    <cellStyle name="요약 4 30 2" xfId="1392"/>
    <cellStyle name="요약 4 31" xfId="1393"/>
    <cellStyle name="요약 4 31 2" xfId="1394"/>
    <cellStyle name="요약 4 32" xfId="1395"/>
    <cellStyle name="요약 4 32 2" xfId="1396"/>
    <cellStyle name="요약 4 33" xfId="1397"/>
    <cellStyle name="요약 4 33 2" xfId="1398"/>
    <cellStyle name="요약 4 34" xfId="1399"/>
    <cellStyle name="요약 4 34 2" xfId="1400"/>
    <cellStyle name="요약 4 35" xfId="1401"/>
    <cellStyle name="요약 4 35 2" xfId="1402"/>
    <cellStyle name="요약 4 36" xfId="1403"/>
    <cellStyle name="요약 4 36 2" xfId="1404"/>
    <cellStyle name="요약 4 37" xfId="1405"/>
    <cellStyle name="요약 4 37 2" xfId="1406"/>
    <cellStyle name="요약 4 38" xfId="1407"/>
    <cellStyle name="요약 4 38 2" xfId="1408"/>
    <cellStyle name="요약 4 39" xfId="1409"/>
    <cellStyle name="요약 4 39 2" xfId="1410"/>
    <cellStyle name="요약 4 4" xfId="1411"/>
    <cellStyle name="요약 4 4 2" xfId="1412"/>
    <cellStyle name="요약 4 40" xfId="1413"/>
    <cellStyle name="요약 4 40 2" xfId="1414"/>
    <cellStyle name="요약 4 41" xfId="1415"/>
    <cellStyle name="요약 4 41 2" xfId="1416"/>
    <cellStyle name="요약 4 42" xfId="1417"/>
    <cellStyle name="요약 4 42 2" xfId="1418"/>
    <cellStyle name="요약 4 43" xfId="1419"/>
    <cellStyle name="요약 4 43 2" xfId="1420"/>
    <cellStyle name="요약 4 44" xfId="1421"/>
    <cellStyle name="요약 4 44 2" xfId="1422"/>
    <cellStyle name="요약 4 45" xfId="1423"/>
    <cellStyle name="요약 4 45 2" xfId="1424"/>
    <cellStyle name="요약 4 46" xfId="1425"/>
    <cellStyle name="요약 4 47" xfId="1426"/>
    <cellStyle name="요약 4 48" xfId="1427"/>
    <cellStyle name="요약 4 49" xfId="1428"/>
    <cellStyle name="요약 4 5" xfId="1429"/>
    <cellStyle name="요약 4 5 2" xfId="1430"/>
    <cellStyle name="요약 4 50" xfId="1431"/>
    <cellStyle name="요약 4 51" xfId="1432"/>
    <cellStyle name="요약 4 52" xfId="1433"/>
    <cellStyle name="요약 4 53" xfId="1434"/>
    <cellStyle name="요약 4 54" xfId="1435"/>
    <cellStyle name="요약 4 55" xfId="1436"/>
    <cellStyle name="요약 4 56" xfId="1437"/>
    <cellStyle name="요약 4 57" xfId="1438"/>
    <cellStyle name="요약 4 58" xfId="1439"/>
    <cellStyle name="요약 4 59" xfId="1440"/>
    <cellStyle name="요약 4 6" xfId="1441"/>
    <cellStyle name="요약 4 6 2" xfId="1442"/>
    <cellStyle name="요약 4 60" xfId="1443"/>
    <cellStyle name="요약 4 61" xfId="1444"/>
    <cellStyle name="요약 4 62" xfId="1445"/>
    <cellStyle name="요약 4 63" xfId="1446"/>
    <cellStyle name="요약 4 64" xfId="1447"/>
    <cellStyle name="요약 4 65" xfId="1448"/>
    <cellStyle name="요약 4 66" xfId="1449"/>
    <cellStyle name="요약 4 67" xfId="1450"/>
    <cellStyle name="요약 4 68" xfId="1451"/>
    <cellStyle name="요약 4 69" xfId="1452"/>
    <cellStyle name="요약 4 7" xfId="1453"/>
    <cellStyle name="요약 4 7 2" xfId="1454"/>
    <cellStyle name="요약 4 70" xfId="1455"/>
    <cellStyle name="요약 4 71" xfId="1456"/>
    <cellStyle name="요약 4 72" xfId="1457"/>
    <cellStyle name="요약 4 73" xfId="1458"/>
    <cellStyle name="요약 4 74" xfId="1459"/>
    <cellStyle name="요약 4 75" xfId="1460"/>
    <cellStyle name="요약 4 76" xfId="1461"/>
    <cellStyle name="요약 4 77" xfId="1462"/>
    <cellStyle name="요약 4 78" xfId="1463"/>
    <cellStyle name="요약 4 79" xfId="1464"/>
    <cellStyle name="요약 4 8" xfId="1465"/>
    <cellStyle name="요약 4 8 2" xfId="1466"/>
    <cellStyle name="요약 4 80" xfId="1467"/>
    <cellStyle name="요약 4 81" xfId="1468"/>
    <cellStyle name="요약 4 82" xfId="1469"/>
    <cellStyle name="요약 4 83" xfId="1470"/>
    <cellStyle name="요약 4 84" xfId="1471"/>
    <cellStyle name="요약 4 85" xfId="1472"/>
    <cellStyle name="요약 4 86" xfId="1473"/>
    <cellStyle name="요약 4 87" xfId="1474"/>
    <cellStyle name="요약 4 88" xfId="1475"/>
    <cellStyle name="요약 4 9" xfId="1476"/>
    <cellStyle name="요약 4 9 2" xfId="1477"/>
    <cellStyle name="요약 5" xfId="1478"/>
    <cellStyle name="요약 6" xfId="1479"/>
    <cellStyle name="원통화" xfId="4751"/>
    <cellStyle name="이준민" xfId="5210"/>
    <cellStyle name="一般_Sheet1" xfId="4752"/>
    <cellStyle name="입력 2" xfId="1480"/>
    <cellStyle name="입력 2 10" xfId="1481"/>
    <cellStyle name="입력 2 10 2" xfId="1482"/>
    <cellStyle name="입력 2 11" xfId="1483"/>
    <cellStyle name="입력 2 11 2" xfId="1484"/>
    <cellStyle name="입력 2 12" xfId="1485"/>
    <cellStyle name="입력 2 12 2" xfId="1486"/>
    <cellStyle name="입력 2 13" xfId="1487"/>
    <cellStyle name="입력 2 13 2" xfId="1488"/>
    <cellStyle name="입력 2 14" xfId="1489"/>
    <cellStyle name="입력 2 14 2" xfId="1490"/>
    <cellStyle name="입력 2 15" xfId="1491"/>
    <cellStyle name="입력 2 15 2" xfId="1492"/>
    <cellStyle name="입력 2 16" xfId="1493"/>
    <cellStyle name="입력 2 16 2" xfId="1494"/>
    <cellStyle name="입력 2 17" xfId="1495"/>
    <cellStyle name="입력 2 17 2" xfId="1496"/>
    <cellStyle name="입력 2 18" xfId="1497"/>
    <cellStyle name="입력 2 18 2" xfId="1498"/>
    <cellStyle name="입력 2 19" xfId="1499"/>
    <cellStyle name="입력 2 19 2" xfId="1500"/>
    <cellStyle name="입력 2 2" xfId="1501"/>
    <cellStyle name="입력 2 20" xfId="1502"/>
    <cellStyle name="입력 2 20 2" xfId="1503"/>
    <cellStyle name="입력 2 21" xfId="1504"/>
    <cellStyle name="입력 2 21 2" xfId="1505"/>
    <cellStyle name="입력 2 22" xfId="1506"/>
    <cellStyle name="입력 2 22 2" xfId="1507"/>
    <cellStyle name="입력 2 23" xfId="1508"/>
    <cellStyle name="입력 2 23 2" xfId="1509"/>
    <cellStyle name="입력 2 24" xfId="1510"/>
    <cellStyle name="입력 2 24 2" xfId="1511"/>
    <cellStyle name="입력 2 25" xfId="1512"/>
    <cellStyle name="입력 2 25 2" xfId="1513"/>
    <cellStyle name="입력 2 26" xfId="1514"/>
    <cellStyle name="입력 2 26 2" xfId="1515"/>
    <cellStyle name="입력 2 27" xfId="1516"/>
    <cellStyle name="입력 2 27 2" xfId="1517"/>
    <cellStyle name="입력 2 28" xfId="1518"/>
    <cellStyle name="입력 2 28 2" xfId="1519"/>
    <cellStyle name="입력 2 29" xfId="1520"/>
    <cellStyle name="입력 2 29 2" xfId="1521"/>
    <cellStyle name="입력 2 3" xfId="1522"/>
    <cellStyle name="입력 2 3 2" xfId="1523"/>
    <cellStyle name="입력 2 30" xfId="1524"/>
    <cellStyle name="입력 2 30 2" xfId="1525"/>
    <cellStyle name="입력 2 31" xfId="1526"/>
    <cellStyle name="입력 2 31 2" xfId="1527"/>
    <cellStyle name="입력 2 32" xfId="1528"/>
    <cellStyle name="입력 2 32 2" xfId="1529"/>
    <cellStyle name="입력 2 33" xfId="1530"/>
    <cellStyle name="입력 2 33 2" xfId="1531"/>
    <cellStyle name="입력 2 34" xfId="1532"/>
    <cellStyle name="입력 2 34 2" xfId="1533"/>
    <cellStyle name="입력 2 35" xfId="1534"/>
    <cellStyle name="입력 2 35 2" xfId="1535"/>
    <cellStyle name="입력 2 36" xfId="1536"/>
    <cellStyle name="입력 2 36 2" xfId="1537"/>
    <cellStyle name="입력 2 37" xfId="1538"/>
    <cellStyle name="입력 2 37 2" xfId="1539"/>
    <cellStyle name="입력 2 38" xfId="1540"/>
    <cellStyle name="입력 2 38 2" xfId="1541"/>
    <cellStyle name="입력 2 39" xfId="1542"/>
    <cellStyle name="입력 2 39 2" xfId="1543"/>
    <cellStyle name="입력 2 4" xfId="1544"/>
    <cellStyle name="입력 2 4 2" xfId="1545"/>
    <cellStyle name="입력 2 40" xfId="1546"/>
    <cellStyle name="입력 2 40 2" xfId="1547"/>
    <cellStyle name="입력 2 41" xfId="1548"/>
    <cellStyle name="입력 2 41 2" xfId="1549"/>
    <cellStyle name="입력 2 42" xfId="1550"/>
    <cellStyle name="입력 2 42 2" xfId="1551"/>
    <cellStyle name="입력 2 43" xfId="1552"/>
    <cellStyle name="입력 2 43 2" xfId="1553"/>
    <cellStyle name="입력 2 44" xfId="1554"/>
    <cellStyle name="입력 2 44 2" xfId="1555"/>
    <cellStyle name="입력 2 45" xfId="1556"/>
    <cellStyle name="입력 2 45 2" xfId="1557"/>
    <cellStyle name="입력 2 46" xfId="1558"/>
    <cellStyle name="입력 2 46 2" xfId="1559"/>
    <cellStyle name="입력 2 47" xfId="1560"/>
    <cellStyle name="입력 2 48" xfId="1561"/>
    <cellStyle name="입력 2 49" xfId="1562"/>
    <cellStyle name="입력 2 5" xfId="1563"/>
    <cellStyle name="입력 2 5 2" xfId="1564"/>
    <cellStyle name="입력 2 50" xfId="1565"/>
    <cellStyle name="입력 2 51" xfId="1566"/>
    <cellStyle name="입력 2 52" xfId="1567"/>
    <cellStyle name="입력 2 53" xfId="1568"/>
    <cellStyle name="입력 2 54" xfId="1569"/>
    <cellStyle name="입력 2 55" xfId="1570"/>
    <cellStyle name="입력 2 56" xfId="1571"/>
    <cellStyle name="입력 2 57" xfId="1572"/>
    <cellStyle name="입력 2 58" xfId="1573"/>
    <cellStyle name="입력 2 59" xfId="1574"/>
    <cellStyle name="입력 2 6" xfId="1575"/>
    <cellStyle name="입력 2 6 2" xfId="1576"/>
    <cellStyle name="입력 2 60" xfId="1577"/>
    <cellStyle name="입력 2 61" xfId="1578"/>
    <cellStyle name="입력 2 62" xfId="1579"/>
    <cellStyle name="입력 2 63" xfId="1580"/>
    <cellStyle name="입력 2 64" xfId="1581"/>
    <cellStyle name="입력 2 65" xfId="1582"/>
    <cellStyle name="입력 2 66" xfId="1583"/>
    <cellStyle name="입력 2 67" xfId="1584"/>
    <cellStyle name="입력 2 68" xfId="1585"/>
    <cellStyle name="입력 2 69" xfId="1586"/>
    <cellStyle name="입력 2 7" xfId="1587"/>
    <cellStyle name="입력 2 7 2" xfId="1588"/>
    <cellStyle name="입력 2 70" xfId="1589"/>
    <cellStyle name="입력 2 71" xfId="1590"/>
    <cellStyle name="입력 2 72" xfId="1591"/>
    <cellStyle name="입력 2 73" xfId="1592"/>
    <cellStyle name="입력 2 74" xfId="1593"/>
    <cellStyle name="입력 2 75" xfId="1594"/>
    <cellStyle name="입력 2 76" xfId="1595"/>
    <cellStyle name="입력 2 77" xfId="1596"/>
    <cellStyle name="입력 2 78" xfId="1597"/>
    <cellStyle name="입력 2 79" xfId="1598"/>
    <cellStyle name="입력 2 8" xfId="1599"/>
    <cellStyle name="입력 2 8 2" xfId="1600"/>
    <cellStyle name="입력 2 80" xfId="1601"/>
    <cellStyle name="입력 2 81" xfId="1602"/>
    <cellStyle name="입력 2 82" xfId="1603"/>
    <cellStyle name="입력 2 83" xfId="1604"/>
    <cellStyle name="입력 2 84" xfId="1605"/>
    <cellStyle name="입력 2 85" xfId="1606"/>
    <cellStyle name="입력 2 86" xfId="1607"/>
    <cellStyle name="입력 2 87" xfId="1608"/>
    <cellStyle name="입력 2 88" xfId="1609"/>
    <cellStyle name="입력 2 89" xfId="1610"/>
    <cellStyle name="입력 2 9" xfId="1611"/>
    <cellStyle name="입력 2 9 2" xfId="1612"/>
    <cellStyle name="입력 2 90" xfId="4753"/>
    <cellStyle name="입력 3" xfId="1613"/>
    <cellStyle name="입력 3 10" xfId="1614"/>
    <cellStyle name="입력 3 10 2" xfId="1615"/>
    <cellStyle name="입력 3 11" xfId="1616"/>
    <cellStyle name="입력 3 11 2" xfId="1617"/>
    <cellStyle name="입력 3 12" xfId="1618"/>
    <cellStyle name="입력 3 12 2" xfId="1619"/>
    <cellStyle name="입력 3 13" xfId="1620"/>
    <cellStyle name="입력 3 13 2" xfId="1621"/>
    <cellStyle name="입력 3 14" xfId="1622"/>
    <cellStyle name="입력 3 14 2" xfId="1623"/>
    <cellStyle name="입력 3 15" xfId="1624"/>
    <cellStyle name="입력 3 15 2" xfId="1625"/>
    <cellStyle name="입력 3 16" xfId="1626"/>
    <cellStyle name="입력 3 16 2" xfId="1627"/>
    <cellStyle name="입력 3 17" xfId="1628"/>
    <cellStyle name="입력 3 17 2" xfId="1629"/>
    <cellStyle name="입력 3 18" xfId="1630"/>
    <cellStyle name="입력 3 18 2" xfId="1631"/>
    <cellStyle name="입력 3 19" xfId="1632"/>
    <cellStyle name="입력 3 19 2" xfId="1633"/>
    <cellStyle name="입력 3 2" xfId="1634"/>
    <cellStyle name="입력 3 2 2" xfId="1635"/>
    <cellStyle name="입력 3 20" xfId="1636"/>
    <cellStyle name="입력 3 20 2" xfId="1637"/>
    <cellStyle name="입력 3 21" xfId="1638"/>
    <cellStyle name="입력 3 21 2" xfId="1639"/>
    <cellStyle name="입력 3 22" xfId="1640"/>
    <cellStyle name="입력 3 22 2" xfId="1641"/>
    <cellStyle name="입력 3 23" xfId="1642"/>
    <cellStyle name="입력 3 23 2" xfId="1643"/>
    <cellStyle name="입력 3 24" xfId="1644"/>
    <cellStyle name="입력 3 24 2" xfId="1645"/>
    <cellStyle name="입력 3 25" xfId="1646"/>
    <cellStyle name="입력 3 25 2" xfId="1647"/>
    <cellStyle name="입력 3 26" xfId="1648"/>
    <cellStyle name="입력 3 26 2" xfId="1649"/>
    <cellStyle name="입력 3 27" xfId="1650"/>
    <cellStyle name="입력 3 27 2" xfId="1651"/>
    <cellStyle name="입력 3 28" xfId="1652"/>
    <cellStyle name="입력 3 28 2" xfId="1653"/>
    <cellStyle name="입력 3 29" xfId="1654"/>
    <cellStyle name="입력 3 29 2" xfId="1655"/>
    <cellStyle name="입력 3 3" xfId="1656"/>
    <cellStyle name="입력 3 3 2" xfId="1657"/>
    <cellStyle name="입력 3 30" xfId="1658"/>
    <cellStyle name="입력 3 30 2" xfId="1659"/>
    <cellStyle name="입력 3 31" xfId="1660"/>
    <cellStyle name="입력 3 31 2" xfId="1661"/>
    <cellStyle name="입력 3 32" xfId="1662"/>
    <cellStyle name="입력 3 32 2" xfId="1663"/>
    <cellStyle name="입력 3 33" xfId="1664"/>
    <cellStyle name="입력 3 33 2" xfId="1665"/>
    <cellStyle name="입력 3 34" xfId="1666"/>
    <cellStyle name="입력 3 34 2" xfId="1667"/>
    <cellStyle name="입력 3 35" xfId="1668"/>
    <cellStyle name="입력 3 35 2" xfId="1669"/>
    <cellStyle name="입력 3 36" xfId="1670"/>
    <cellStyle name="입력 3 36 2" xfId="1671"/>
    <cellStyle name="입력 3 37" xfId="1672"/>
    <cellStyle name="입력 3 37 2" xfId="1673"/>
    <cellStyle name="입력 3 38" xfId="1674"/>
    <cellStyle name="입력 3 38 2" xfId="1675"/>
    <cellStyle name="입력 3 39" xfId="1676"/>
    <cellStyle name="입력 3 39 2" xfId="1677"/>
    <cellStyle name="입력 3 4" xfId="1678"/>
    <cellStyle name="입력 3 4 2" xfId="1679"/>
    <cellStyle name="입력 3 40" xfId="1680"/>
    <cellStyle name="입력 3 40 2" xfId="1681"/>
    <cellStyle name="입력 3 41" xfId="1682"/>
    <cellStyle name="입력 3 41 2" xfId="1683"/>
    <cellStyle name="입력 3 42" xfId="1684"/>
    <cellStyle name="입력 3 42 2" xfId="1685"/>
    <cellStyle name="입력 3 43" xfId="1686"/>
    <cellStyle name="입력 3 43 2" xfId="1687"/>
    <cellStyle name="입력 3 44" xfId="1688"/>
    <cellStyle name="입력 3 44 2" xfId="1689"/>
    <cellStyle name="입력 3 45" xfId="1690"/>
    <cellStyle name="입력 3 45 2" xfId="1691"/>
    <cellStyle name="입력 3 46" xfId="1692"/>
    <cellStyle name="입력 3 47" xfId="1693"/>
    <cellStyle name="입력 3 48" xfId="1694"/>
    <cellStyle name="입력 3 49" xfId="1695"/>
    <cellStyle name="입력 3 5" xfId="1696"/>
    <cellStyle name="입력 3 5 2" xfId="1697"/>
    <cellStyle name="입력 3 50" xfId="1698"/>
    <cellStyle name="입력 3 51" xfId="1699"/>
    <cellStyle name="입력 3 52" xfId="1700"/>
    <cellStyle name="입력 3 53" xfId="1701"/>
    <cellStyle name="입력 3 54" xfId="1702"/>
    <cellStyle name="입력 3 55" xfId="1703"/>
    <cellStyle name="입력 3 56" xfId="1704"/>
    <cellStyle name="입력 3 57" xfId="1705"/>
    <cellStyle name="입력 3 58" xfId="1706"/>
    <cellStyle name="입력 3 59" xfId="1707"/>
    <cellStyle name="입력 3 6" xfId="1708"/>
    <cellStyle name="입력 3 6 2" xfId="1709"/>
    <cellStyle name="입력 3 60" xfId="1710"/>
    <cellStyle name="입력 3 61" xfId="1711"/>
    <cellStyle name="입력 3 62" xfId="1712"/>
    <cellStyle name="입력 3 63" xfId="1713"/>
    <cellStyle name="입력 3 64" xfId="1714"/>
    <cellStyle name="입력 3 65" xfId="1715"/>
    <cellStyle name="입력 3 66" xfId="1716"/>
    <cellStyle name="입력 3 67" xfId="1717"/>
    <cellStyle name="입력 3 68" xfId="1718"/>
    <cellStyle name="입력 3 69" xfId="1719"/>
    <cellStyle name="입력 3 7" xfId="1720"/>
    <cellStyle name="입력 3 7 2" xfId="1721"/>
    <cellStyle name="입력 3 70" xfId="1722"/>
    <cellStyle name="입력 3 71" xfId="1723"/>
    <cellStyle name="입력 3 72" xfId="1724"/>
    <cellStyle name="입력 3 73" xfId="1725"/>
    <cellStyle name="입력 3 74" xfId="1726"/>
    <cellStyle name="입력 3 75" xfId="1727"/>
    <cellStyle name="입력 3 76" xfId="1728"/>
    <cellStyle name="입력 3 77" xfId="1729"/>
    <cellStyle name="입력 3 78" xfId="1730"/>
    <cellStyle name="입력 3 79" xfId="1731"/>
    <cellStyle name="입력 3 8" xfId="1732"/>
    <cellStyle name="입력 3 8 2" xfId="1733"/>
    <cellStyle name="입력 3 80" xfId="1734"/>
    <cellStyle name="입력 3 81" xfId="1735"/>
    <cellStyle name="입력 3 82" xfId="1736"/>
    <cellStyle name="입력 3 83" xfId="1737"/>
    <cellStyle name="입력 3 84" xfId="1738"/>
    <cellStyle name="입력 3 85" xfId="1739"/>
    <cellStyle name="입력 3 86" xfId="1740"/>
    <cellStyle name="입력 3 87" xfId="1741"/>
    <cellStyle name="입력 3 88" xfId="1742"/>
    <cellStyle name="입력 3 9" xfId="1743"/>
    <cellStyle name="입력 3 9 2" xfId="1744"/>
    <cellStyle name="입력 4" xfId="1745"/>
    <cellStyle name="입력 4 10" xfId="1746"/>
    <cellStyle name="입력 4 10 2" xfId="1747"/>
    <cellStyle name="입력 4 11" xfId="1748"/>
    <cellStyle name="입력 4 11 2" xfId="1749"/>
    <cellStyle name="입력 4 12" xfId="1750"/>
    <cellStyle name="입력 4 12 2" xfId="1751"/>
    <cellStyle name="입력 4 13" xfId="1752"/>
    <cellStyle name="입력 4 13 2" xfId="1753"/>
    <cellStyle name="입력 4 14" xfId="1754"/>
    <cellStyle name="입력 4 14 2" xfId="1755"/>
    <cellStyle name="입력 4 15" xfId="1756"/>
    <cellStyle name="입력 4 15 2" xfId="1757"/>
    <cellStyle name="입력 4 16" xfId="1758"/>
    <cellStyle name="입력 4 16 2" xfId="1759"/>
    <cellStyle name="입력 4 17" xfId="1760"/>
    <cellStyle name="입력 4 17 2" xfId="1761"/>
    <cellStyle name="입력 4 18" xfId="1762"/>
    <cellStyle name="입력 4 18 2" xfId="1763"/>
    <cellStyle name="입력 4 19" xfId="1764"/>
    <cellStyle name="입력 4 19 2" xfId="1765"/>
    <cellStyle name="입력 4 2" xfId="1766"/>
    <cellStyle name="입력 4 2 2" xfId="1767"/>
    <cellStyle name="입력 4 20" xfId="1768"/>
    <cellStyle name="입력 4 20 2" xfId="1769"/>
    <cellStyle name="입력 4 21" xfId="1770"/>
    <cellStyle name="입력 4 21 2" xfId="1771"/>
    <cellStyle name="입력 4 22" xfId="1772"/>
    <cellStyle name="입력 4 22 2" xfId="1773"/>
    <cellStyle name="입력 4 23" xfId="1774"/>
    <cellStyle name="입력 4 23 2" xfId="1775"/>
    <cellStyle name="입력 4 24" xfId="1776"/>
    <cellStyle name="입력 4 24 2" xfId="1777"/>
    <cellStyle name="입력 4 25" xfId="1778"/>
    <cellStyle name="입력 4 25 2" xfId="1779"/>
    <cellStyle name="입력 4 26" xfId="1780"/>
    <cellStyle name="입력 4 26 2" xfId="1781"/>
    <cellStyle name="입력 4 27" xfId="1782"/>
    <cellStyle name="입력 4 27 2" xfId="1783"/>
    <cellStyle name="입력 4 28" xfId="1784"/>
    <cellStyle name="입력 4 28 2" xfId="1785"/>
    <cellStyle name="입력 4 29" xfId="1786"/>
    <cellStyle name="입력 4 29 2" xfId="1787"/>
    <cellStyle name="입력 4 3" xfId="1788"/>
    <cellStyle name="입력 4 3 2" xfId="1789"/>
    <cellStyle name="입력 4 30" xfId="1790"/>
    <cellStyle name="입력 4 30 2" xfId="1791"/>
    <cellStyle name="입력 4 31" xfId="1792"/>
    <cellStyle name="입력 4 31 2" xfId="1793"/>
    <cellStyle name="입력 4 32" xfId="1794"/>
    <cellStyle name="입력 4 32 2" xfId="1795"/>
    <cellStyle name="입력 4 33" xfId="1796"/>
    <cellStyle name="입력 4 33 2" xfId="1797"/>
    <cellStyle name="입력 4 34" xfId="1798"/>
    <cellStyle name="입력 4 34 2" xfId="1799"/>
    <cellStyle name="입력 4 35" xfId="1800"/>
    <cellStyle name="입력 4 35 2" xfId="1801"/>
    <cellStyle name="입력 4 36" xfId="1802"/>
    <cellStyle name="입력 4 36 2" xfId="1803"/>
    <cellStyle name="입력 4 37" xfId="1804"/>
    <cellStyle name="입력 4 37 2" xfId="1805"/>
    <cellStyle name="입력 4 38" xfId="1806"/>
    <cellStyle name="입력 4 38 2" xfId="1807"/>
    <cellStyle name="입력 4 39" xfId="1808"/>
    <cellStyle name="입력 4 39 2" xfId="1809"/>
    <cellStyle name="입력 4 4" xfId="1810"/>
    <cellStyle name="입력 4 4 2" xfId="1811"/>
    <cellStyle name="입력 4 40" xfId="1812"/>
    <cellStyle name="입력 4 40 2" xfId="1813"/>
    <cellStyle name="입력 4 41" xfId="1814"/>
    <cellStyle name="입력 4 41 2" xfId="1815"/>
    <cellStyle name="입력 4 42" xfId="1816"/>
    <cellStyle name="입력 4 42 2" xfId="1817"/>
    <cellStyle name="입력 4 43" xfId="1818"/>
    <cellStyle name="입력 4 43 2" xfId="1819"/>
    <cellStyle name="입력 4 44" xfId="1820"/>
    <cellStyle name="입력 4 44 2" xfId="1821"/>
    <cellStyle name="입력 4 45" xfId="1822"/>
    <cellStyle name="입력 4 45 2" xfId="1823"/>
    <cellStyle name="입력 4 46" xfId="1824"/>
    <cellStyle name="입력 4 47" xfId="1825"/>
    <cellStyle name="입력 4 48" xfId="1826"/>
    <cellStyle name="입력 4 49" xfId="1827"/>
    <cellStyle name="입력 4 5" xfId="1828"/>
    <cellStyle name="입력 4 5 2" xfId="1829"/>
    <cellStyle name="입력 4 50" xfId="1830"/>
    <cellStyle name="입력 4 51" xfId="1831"/>
    <cellStyle name="입력 4 52" xfId="1832"/>
    <cellStyle name="입력 4 53" xfId="1833"/>
    <cellStyle name="입력 4 54" xfId="1834"/>
    <cellStyle name="입력 4 55" xfId="1835"/>
    <cellStyle name="입력 4 56" xfId="1836"/>
    <cellStyle name="입력 4 57" xfId="1837"/>
    <cellStyle name="입력 4 58" xfId="1838"/>
    <cellStyle name="입력 4 59" xfId="1839"/>
    <cellStyle name="입력 4 6" xfId="1840"/>
    <cellStyle name="입력 4 6 2" xfId="1841"/>
    <cellStyle name="입력 4 60" xfId="1842"/>
    <cellStyle name="입력 4 61" xfId="1843"/>
    <cellStyle name="입력 4 62" xfId="1844"/>
    <cellStyle name="입력 4 63" xfId="1845"/>
    <cellStyle name="입력 4 64" xfId="1846"/>
    <cellStyle name="입력 4 65" xfId="1847"/>
    <cellStyle name="입력 4 66" xfId="1848"/>
    <cellStyle name="입력 4 67" xfId="1849"/>
    <cellStyle name="입력 4 68" xfId="1850"/>
    <cellStyle name="입력 4 69" xfId="1851"/>
    <cellStyle name="입력 4 7" xfId="1852"/>
    <cellStyle name="입력 4 7 2" xfId="1853"/>
    <cellStyle name="입력 4 70" xfId="1854"/>
    <cellStyle name="입력 4 71" xfId="1855"/>
    <cellStyle name="입력 4 72" xfId="1856"/>
    <cellStyle name="입력 4 73" xfId="1857"/>
    <cellStyle name="입력 4 74" xfId="1858"/>
    <cellStyle name="입력 4 75" xfId="1859"/>
    <cellStyle name="입력 4 76" xfId="1860"/>
    <cellStyle name="입력 4 77" xfId="1861"/>
    <cellStyle name="입력 4 78" xfId="1862"/>
    <cellStyle name="입력 4 79" xfId="1863"/>
    <cellStyle name="입력 4 8" xfId="1864"/>
    <cellStyle name="입력 4 8 2" xfId="1865"/>
    <cellStyle name="입력 4 80" xfId="1866"/>
    <cellStyle name="입력 4 81" xfId="1867"/>
    <cellStyle name="입력 4 82" xfId="1868"/>
    <cellStyle name="입력 4 83" xfId="1869"/>
    <cellStyle name="입력 4 84" xfId="1870"/>
    <cellStyle name="입력 4 85" xfId="1871"/>
    <cellStyle name="입력 4 86" xfId="1872"/>
    <cellStyle name="입력 4 87" xfId="1873"/>
    <cellStyle name="입력 4 88" xfId="1874"/>
    <cellStyle name="입력 4 9" xfId="1875"/>
    <cellStyle name="입력 4 9 2" xfId="1876"/>
    <cellStyle name="입력 5" xfId="1877"/>
    <cellStyle name="입력 6" xfId="1878"/>
    <cellStyle name="자리수" xfId="4754"/>
    <cellStyle name="자리수 2" xfId="5211"/>
    <cellStyle name="자리수0" xfId="4755"/>
    <cellStyle name="자리수0 2" xfId="5212"/>
    <cellStyle name="㘀㠀䠀" xfId="4756"/>
    <cellStyle name="제목 1 2" xfId="1879"/>
    <cellStyle name="제목 1 2 2" xfId="1880"/>
    <cellStyle name="제목 1 2 3" xfId="4757"/>
    <cellStyle name="제목 1 3" xfId="1881"/>
    <cellStyle name="제목 1 4" xfId="1882"/>
    <cellStyle name="제목 1 5" xfId="1883"/>
    <cellStyle name="제목 2 2" xfId="1884"/>
    <cellStyle name="제목 2 2 2" xfId="1885"/>
    <cellStyle name="제목 2 2 3" xfId="4758"/>
    <cellStyle name="제목 2 3" xfId="1886"/>
    <cellStyle name="제목 2 4" xfId="1887"/>
    <cellStyle name="제목 2 5" xfId="1888"/>
    <cellStyle name="제목 3 2" xfId="1889"/>
    <cellStyle name="제목 3 2 2" xfId="1890"/>
    <cellStyle name="제목 3 2 3" xfId="4759"/>
    <cellStyle name="제목 3 3" xfId="1891"/>
    <cellStyle name="제목 3 4" xfId="1892"/>
    <cellStyle name="제목 3 5" xfId="1893"/>
    <cellStyle name="제목 4 2" xfId="1894"/>
    <cellStyle name="제목 4 2 2" xfId="1895"/>
    <cellStyle name="제목 4 2 3" xfId="4760"/>
    <cellStyle name="제목 4 3" xfId="1896"/>
    <cellStyle name="제목 4 4" xfId="1897"/>
    <cellStyle name="제목 4 5" xfId="1898"/>
    <cellStyle name="제목 5" xfId="1899"/>
    <cellStyle name="제목 5 2" xfId="1900"/>
    <cellStyle name="제목 6" xfId="1901"/>
    <cellStyle name="제목 7" xfId="1902"/>
    <cellStyle name="제목 8" xfId="1903"/>
    <cellStyle name="제목[1 줄]" xfId="5213"/>
    <cellStyle name="제목[1 줄] 2" xfId="5232"/>
    <cellStyle name="제목[2줄 아래]" xfId="5214"/>
    <cellStyle name="제목[2줄 위]" xfId="5215"/>
    <cellStyle name="제목1" xfId="4761"/>
    <cellStyle name="제목1 2" xfId="5216"/>
    <cellStyle name="좋음 2" xfId="1904"/>
    <cellStyle name="좋음 2 2" xfId="1905"/>
    <cellStyle name="좋음 2 3" xfId="4762"/>
    <cellStyle name="좋음 3" xfId="1906"/>
    <cellStyle name="좋음 4" xfId="1907"/>
    <cellStyle name="좋음 5" xfId="1908"/>
    <cellStyle name="좋음 6" xfId="1909"/>
    <cellStyle name="주의항목" xfId="4763"/>
    <cellStyle name="지정되지 않음" xfId="4764"/>
    <cellStyle name="钎霖_4岿角利" xfId="4765"/>
    <cellStyle name="千分位[0]_ 备 品 备 件" xfId="4766"/>
    <cellStyle name="千分位_ 备 品 备 件" xfId="4767"/>
    <cellStyle name="千位[0]_laroux" xfId="4768"/>
    <cellStyle name="千位_laroux" xfId="4769"/>
    <cellStyle name="千位分隔[0]_08月份" xfId="4770"/>
    <cellStyle name="千位分隔_08月份" xfId="4771"/>
    <cellStyle name="쳾" xfId="4772"/>
    <cellStyle name="출력 2" xfId="1910"/>
    <cellStyle name="출력 2 10" xfId="1911"/>
    <cellStyle name="출력 2 10 2" xfId="1912"/>
    <cellStyle name="출력 2 11" xfId="1913"/>
    <cellStyle name="출력 2 11 2" xfId="1914"/>
    <cellStyle name="출력 2 12" xfId="1915"/>
    <cellStyle name="출력 2 12 2" xfId="1916"/>
    <cellStyle name="출력 2 13" xfId="1917"/>
    <cellStyle name="출력 2 13 2" xfId="1918"/>
    <cellStyle name="출력 2 14" xfId="1919"/>
    <cellStyle name="출력 2 14 2" xfId="1920"/>
    <cellStyle name="출력 2 15" xfId="1921"/>
    <cellStyle name="출력 2 15 2" xfId="1922"/>
    <cellStyle name="출력 2 16" xfId="1923"/>
    <cellStyle name="출력 2 16 2" xfId="1924"/>
    <cellStyle name="출력 2 17" xfId="1925"/>
    <cellStyle name="출력 2 17 2" xfId="1926"/>
    <cellStyle name="출력 2 18" xfId="1927"/>
    <cellStyle name="출력 2 18 2" xfId="1928"/>
    <cellStyle name="출력 2 19" xfId="1929"/>
    <cellStyle name="출력 2 19 2" xfId="1930"/>
    <cellStyle name="출력 2 2" xfId="1931"/>
    <cellStyle name="출력 2 20" xfId="1932"/>
    <cellStyle name="출력 2 20 2" xfId="1933"/>
    <cellStyle name="출력 2 21" xfId="1934"/>
    <cellStyle name="출력 2 21 2" xfId="1935"/>
    <cellStyle name="출력 2 22" xfId="1936"/>
    <cellStyle name="출력 2 22 2" xfId="1937"/>
    <cellStyle name="출력 2 23" xfId="1938"/>
    <cellStyle name="출력 2 23 2" xfId="1939"/>
    <cellStyle name="출력 2 24" xfId="1940"/>
    <cellStyle name="출력 2 24 2" xfId="1941"/>
    <cellStyle name="출력 2 25" xfId="1942"/>
    <cellStyle name="출력 2 25 2" xfId="1943"/>
    <cellStyle name="출력 2 26" xfId="1944"/>
    <cellStyle name="출력 2 26 2" xfId="1945"/>
    <cellStyle name="출력 2 27" xfId="1946"/>
    <cellStyle name="출력 2 27 2" xfId="1947"/>
    <cellStyle name="출력 2 28" xfId="1948"/>
    <cellStyle name="출력 2 28 2" xfId="1949"/>
    <cellStyle name="출력 2 29" xfId="1950"/>
    <cellStyle name="출력 2 29 2" xfId="1951"/>
    <cellStyle name="출력 2 3" xfId="1952"/>
    <cellStyle name="출력 2 3 2" xfId="1953"/>
    <cellStyle name="출력 2 30" xfId="1954"/>
    <cellStyle name="출력 2 30 2" xfId="1955"/>
    <cellStyle name="출력 2 31" xfId="1956"/>
    <cellStyle name="출력 2 31 2" xfId="1957"/>
    <cellStyle name="출력 2 32" xfId="1958"/>
    <cellStyle name="출력 2 32 2" xfId="1959"/>
    <cellStyle name="출력 2 33" xfId="1960"/>
    <cellStyle name="출력 2 33 2" xfId="1961"/>
    <cellStyle name="출력 2 34" xfId="1962"/>
    <cellStyle name="출력 2 34 2" xfId="1963"/>
    <cellStyle name="출력 2 35" xfId="1964"/>
    <cellStyle name="출력 2 35 2" xfId="1965"/>
    <cellStyle name="출력 2 36" xfId="1966"/>
    <cellStyle name="출력 2 36 2" xfId="1967"/>
    <cellStyle name="출력 2 37" xfId="1968"/>
    <cellStyle name="출력 2 37 2" xfId="1969"/>
    <cellStyle name="출력 2 38" xfId="1970"/>
    <cellStyle name="출력 2 38 2" xfId="1971"/>
    <cellStyle name="출력 2 39" xfId="1972"/>
    <cellStyle name="출력 2 39 2" xfId="1973"/>
    <cellStyle name="출력 2 4" xfId="1974"/>
    <cellStyle name="출력 2 4 2" xfId="1975"/>
    <cellStyle name="출력 2 40" xfId="1976"/>
    <cellStyle name="출력 2 40 2" xfId="1977"/>
    <cellStyle name="출력 2 41" xfId="1978"/>
    <cellStyle name="출력 2 41 2" xfId="1979"/>
    <cellStyle name="출력 2 42" xfId="1980"/>
    <cellStyle name="출력 2 42 2" xfId="1981"/>
    <cellStyle name="출력 2 43" xfId="1982"/>
    <cellStyle name="출력 2 43 2" xfId="1983"/>
    <cellStyle name="출력 2 44" xfId="1984"/>
    <cellStyle name="출력 2 44 2" xfId="1985"/>
    <cellStyle name="출력 2 45" xfId="1986"/>
    <cellStyle name="출력 2 45 2" xfId="1987"/>
    <cellStyle name="출력 2 46" xfId="1988"/>
    <cellStyle name="출력 2 46 2" xfId="1989"/>
    <cellStyle name="출력 2 47" xfId="1990"/>
    <cellStyle name="출력 2 48" xfId="1991"/>
    <cellStyle name="출력 2 49" xfId="1992"/>
    <cellStyle name="출력 2 5" xfId="1993"/>
    <cellStyle name="출력 2 5 2" xfId="1994"/>
    <cellStyle name="출력 2 50" xfId="1995"/>
    <cellStyle name="출력 2 51" xfId="1996"/>
    <cellStyle name="출력 2 52" xfId="1997"/>
    <cellStyle name="출력 2 53" xfId="1998"/>
    <cellStyle name="출력 2 54" xfId="1999"/>
    <cellStyle name="출력 2 55" xfId="2000"/>
    <cellStyle name="출력 2 56" xfId="2001"/>
    <cellStyle name="출력 2 57" xfId="2002"/>
    <cellStyle name="출력 2 58" xfId="2003"/>
    <cellStyle name="출력 2 59" xfId="2004"/>
    <cellStyle name="출력 2 6" xfId="2005"/>
    <cellStyle name="출력 2 6 2" xfId="2006"/>
    <cellStyle name="출력 2 60" xfId="2007"/>
    <cellStyle name="출력 2 61" xfId="2008"/>
    <cellStyle name="출력 2 62" xfId="2009"/>
    <cellStyle name="출력 2 63" xfId="2010"/>
    <cellStyle name="출력 2 64" xfId="2011"/>
    <cellStyle name="출력 2 65" xfId="2012"/>
    <cellStyle name="출력 2 66" xfId="2013"/>
    <cellStyle name="출력 2 67" xfId="2014"/>
    <cellStyle name="출력 2 68" xfId="2015"/>
    <cellStyle name="출력 2 69" xfId="2016"/>
    <cellStyle name="출력 2 7" xfId="2017"/>
    <cellStyle name="출력 2 7 2" xfId="2018"/>
    <cellStyle name="출력 2 70" xfId="2019"/>
    <cellStyle name="출력 2 71" xfId="2020"/>
    <cellStyle name="출력 2 72" xfId="2021"/>
    <cellStyle name="출력 2 73" xfId="2022"/>
    <cellStyle name="출력 2 74" xfId="2023"/>
    <cellStyle name="출력 2 75" xfId="2024"/>
    <cellStyle name="출력 2 76" xfId="2025"/>
    <cellStyle name="출력 2 77" xfId="2026"/>
    <cellStyle name="출력 2 78" xfId="2027"/>
    <cellStyle name="출력 2 79" xfId="2028"/>
    <cellStyle name="출력 2 8" xfId="2029"/>
    <cellStyle name="출력 2 8 2" xfId="2030"/>
    <cellStyle name="출력 2 80" xfId="2031"/>
    <cellStyle name="출력 2 81" xfId="2032"/>
    <cellStyle name="출력 2 82" xfId="2033"/>
    <cellStyle name="출력 2 83" xfId="2034"/>
    <cellStyle name="출력 2 84" xfId="2035"/>
    <cellStyle name="출력 2 85" xfId="2036"/>
    <cellStyle name="출력 2 86" xfId="2037"/>
    <cellStyle name="출력 2 87" xfId="2038"/>
    <cellStyle name="출력 2 88" xfId="2039"/>
    <cellStyle name="출력 2 89" xfId="2040"/>
    <cellStyle name="출력 2 9" xfId="2041"/>
    <cellStyle name="출력 2 9 2" xfId="2042"/>
    <cellStyle name="출력 2 90" xfId="4773"/>
    <cellStyle name="출력 3" xfId="2043"/>
    <cellStyle name="출력 3 10" xfId="2044"/>
    <cellStyle name="출력 3 10 2" xfId="2045"/>
    <cellStyle name="출력 3 11" xfId="2046"/>
    <cellStyle name="출력 3 11 2" xfId="2047"/>
    <cellStyle name="출력 3 12" xfId="2048"/>
    <cellStyle name="출력 3 12 2" xfId="2049"/>
    <cellStyle name="출력 3 13" xfId="2050"/>
    <cellStyle name="출력 3 13 2" xfId="2051"/>
    <cellStyle name="출력 3 14" xfId="2052"/>
    <cellStyle name="출력 3 14 2" xfId="2053"/>
    <cellStyle name="출력 3 15" xfId="2054"/>
    <cellStyle name="출력 3 15 2" xfId="2055"/>
    <cellStyle name="출력 3 16" xfId="2056"/>
    <cellStyle name="출력 3 16 2" xfId="2057"/>
    <cellStyle name="출력 3 17" xfId="2058"/>
    <cellStyle name="출력 3 17 2" xfId="2059"/>
    <cellStyle name="출력 3 18" xfId="2060"/>
    <cellStyle name="출력 3 18 2" xfId="2061"/>
    <cellStyle name="출력 3 19" xfId="2062"/>
    <cellStyle name="출력 3 19 2" xfId="2063"/>
    <cellStyle name="출력 3 2" xfId="2064"/>
    <cellStyle name="출력 3 2 2" xfId="2065"/>
    <cellStyle name="출력 3 20" xfId="2066"/>
    <cellStyle name="출력 3 20 2" xfId="2067"/>
    <cellStyle name="출력 3 21" xfId="2068"/>
    <cellStyle name="출력 3 21 2" xfId="2069"/>
    <cellStyle name="출력 3 22" xfId="2070"/>
    <cellStyle name="출력 3 22 2" xfId="2071"/>
    <cellStyle name="출력 3 23" xfId="2072"/>
    <cellStyle name="출력 3 23 2" xfId="2073"/>
    <cellStyle name="출력 3 24" xfId="2074"/>
    <cellStyle name="출력 3 24 2" xfId="2075"/>
    <cellStyle name="출력 3 25" xfId="2076"/>
    <cellStyle name="출력 3 25 2" xfId="2077"/>
    <cellStyle name="출력 3 26" xfId="2078"/>
    <cellStyle name="출력 3 26 2" xfId="2079"/>
    <cellStyle name="출력 3 27" xfId="2080"/>
    <cellStyle name="출력 3 27 2" xfId="2081"/>
    <cellStyle name="출력 3 28" xfId="2082"/>
    <cellStyle name="출력 3 28 2" xfId="2083"/>
    <cellStyle name="출력 3 29" xfId="2084"/>
    <cellStyle name="출력 3 29 2" xfId="2085"/>
    <cellStyle name="출력 3 3" xfId="2086"/>
    <cellStyle name="출력 3 3 2" xfId="2087"/>
    <cellStyle name="출력 3 30" xfId="2088"/>
    <cellStyle name="출력 3 30 2" xfId="2089"/>
    <cellStyle name="출력 3 31" xfId="2090"/>
    <cellStyle name="출력 3 31 2" xfId="2091"/>
    <cellStyle name="출력 3 32" xfId="2092"/>
    <cellStyle name="출력 3 32 2" xfId="2093"/>
    <cellStyle name="출력 3 33" xfId="2094"/>
    <cellStyle name="출력 3 33 2" xfId="2095"/>
    <cellStyle name="출력 3 34" xfId="2096"/>
    <cellStyle name="출력 3 34 2" xfId="2097"/>
    <cellStyle name="출력 3 35" xfId="2098"/>
    <cellStyle name="출력 3 35 2" xfId="2099"/>
    <cellStyle name="출력 3 36" xfId="2100"/>
    <cellStyle name="출력 3 36 2" xfId="2101"/>
    <cellStyle name="출력 3 37" xfId="2102"/>
    <cellStyle name="출력 3 37 2" xfId="2103"/>
    <cellStyle name="출력 3 38" xfId="2104"/>
    <cellStyle name="출력 3 38 2" xfId="2105"/>
    <cellStyle name="출력 3 39" xfId="2106"/>
    <cellStyle name="출력 3 39 2" xfId="2107"/>
    <cellStyle name="출력 3 4" xfId="2108"/>
    <cellStyle name="출력 3 4 2" xfId="2109"/>
    <cellStyle name="출력 3 40" xfId="2110"/>
    <cellStyle name="출력 3 40 2" xfId="2111"/>
    <cellStyle name="출력 3 41" xfId="2112"/>
    <cellStyle name="출력 3 41 2" xfId="2113"/>
    <cellStyle name="출력 3 42" xfId="2114"/>
    <cellStyle name="출력 3 42 2" xfId="2115"/>
    <cellStyle name="출력 3 43" xfId="2116"/>
    <cellStyle name="출력 3 43 2" xfId="2117"/>
    <cellStyle name="출력 3 44" xfId="2118"/>
    <cellStyle name="출력 3 44 2" xfId="2119"/>
    <cellStyle name="출력 3 45" xfId="2120"/>
    <cellStyle name="출력 3 45 2" xfId="2121"/>
    <cellStyle name="출력 3 46" xfId="2122"/>
    <cellStyle name="출력 3 47" xfId="2123"/>
    <cellStyle name="출력 3 48" xfId="2124"/>
    <cellStyle name="출력 3 49" xfId="2125"/>
    <cellStyle name="출력 3 5" xfId="2126"/>
    <cellStyle name="출력 3 5 2" xfId="2127"/>
    <cellStyle name="출력 3 50" xfId="2128"/>
    <cellStyle name="출력 3 51" xfId="2129"/>
    <cellStyle name="출력 3 52" xfId="2130"/>
    <cellStyle name="출력 3 53" xfId="2131"/>
    <cellStyle name="출력 3 54" xfId="2132"/>
    <cellStyle name="출력 3 55" xfId="2133"/>
    <cellStyle name="출력 3 56" xfId="2134"/>
    <cellStyle name="출력 3 57" xfId="2135"/>
    <cellStyle name="출력 3 58" xfId="2136"/>
    <cellStyle name="출력 3 59" xfId="2137"/>
    <cellStyle name="출력 3 6" xfId="2138"/>
    <cellStyle name="출력 3 6 2" xfId="2139"/>
    <cellStyle name="출력 3 60" xfId="2140"/>
    <cellStyle name="출력 3 61" xfId="2141"/>
    <cellStyle name="출력 3 62" xfId="2142"/>
    <cellStyle name="출력 3 63" xfId="2143"/>
    <cellStyle name="출력 3 64" xfId="2144"/>
    <cellStyle name="출력 3 65" xfId="2145"/>
    <cellStyle name="출력 3 66" xfId="2146"/>
    <cellStyle name="출력 3 67" xfId="2147"/>
    <cellStyle name="출력 3 68" xfId="2148"/>
    <cellStyle name="출력 3 69" xfId="2149"/>
    <cellStyle name="출력 3 7" xfId="2150"/>
    <cellStyle name="출력 3 7 2" xfId="2151"/>
    <cellStyle name="출력 3 70" xfId="2152"/>
    <cellStyle name="출력 3 71" xfId="2153"/>
    <cellStyle name="출력 3 72" xfId="2154"/>
    <cellStyle name="출력 3 73" xfId="2155"/>
    <cellStyle name="출력 3 74" xfId="2156"/>
    <cellStyle name="출력 3 75" xfId="2157"/>
    <cellStyle name="출력 3 76" xfId="2158"/>
    <cellStyle name="출력 3 77" xfId="2159"/>
    <cellStyle name="출력 3 78" xfId="2160"/>
    <cellStyle name="출력 3 79" xfId="2161"/>
    <cellStyle name="출력 3 8" xfId="2162"/>
    <cellStyle name="출력 3 8 2" xfId="2163"/>
    <cellStyle name="출력 3 80" xfId="2164"/>
    <cellStyle name="출력 3 81" xfId="2165"/>
    <cellStyle name="출력 3 82" xfId="2166"/>
    <cellStyle name="출력 3 83" xfId="2167"/>
    <cellStyle name="출력 3 84" xfId="2168"/>
    <cellStyle name="출력 3 85" xfId="2169"/>
    <cellStyle name="출력 3 86" xfId="2170"/>
    <cellStyle name="출력 3 87" xfId="2171"/>
    <cellStyle name="출력 3 88" xfId="2172"/>
    <cellStyle name="출력 3 9" xfId="2173"/>
    <cellStyle name="출력 3 9 2" xfId="2174"/>
    <cellStyle name="출력 4" xfId="2175"/>
    <cellStyle name="출력 4 10" xfId="2176"/>
    <cellStyle name="출력 4 10 2" xfId="2177"/>
    <cellStyle name="출력 4 11" xfId="2178"/>
    <cellStyle name="출력 4 11 2" xfId="2179"/>
    <cellStyle name="출력 4 12" xfId="2180"/>
    <cellStyle name="출력 4 12 2" xfId="2181"/>
    <cellStyle name="출력 4 13" xfId="2182"/>
    <cellStyle name="출력 4 13 2" xfId="2183"/>
    <cellStyle name="출력 4 14" xfId="2184"/>
    <cellStyle name="출력 4 14 2" xfId="2185"/>
    <cellStyle name="출력 4 15" xfId="2186"/>
    <cellStyle name="출력 4 15 2" xfId="2187"/>
    <cellStyle name="출력 4 16" xfId="2188"/>
    <cellStyle name="출력 4 16 2" xfId="2189"/>
    <cellStyle name="출력 4 17" xfId="2190"/>
    <cellStyle name="출력 4 17 2" xfId="2191"/>
    <cellStyle name="출력 4 18" xfId="2192"/>
    <cellStyle name="출력 4 18 2" xfId="2193"/>
    <cellStyle name="출력 4 19" xfId="2194"/>
    <cellStyle name="출력 4 19 2" xfId="2195"/>
    <cellStyle name="출력 4 2" xfId="2196"/>
    <cellStyle name="출력 4 2 2" xfId="2197"/>
    <cellStyle name="출력 4 20" xfId="2198"/>
    <cellStyle name="출력 4 20 2" xfId="2199"/>
    <cellStyle name="출력 4 21" xfId="2200"/>
    <cellStyle name="출력 4 21 2" xfId="2201"/>
    <cellStyle name="출력 4 22" xfId="2202"/>
    <cellStyle name="출력 4 22 2" xfId="2203"/>
    <cellStyle name="출력 4 23" xfId="2204"/>
    <cellStyle name="출력 4 23 2" xfId="2205"/>
    <cellStyle name="출력 4 24" xfId="2206"/>
    <cellStyle name="출력 4 24 2" xfId="2207"/>
    <cellStyle name="출력 4 25" xfId="2208"/>
    <cellStyle name="출력 4 25 2" xfId="2209"/>
    <cellStyle name="출력 4 26" xfId="2210"/>
    <cellStyle name="출력 4 26 2" xfId="2211"/>
    <cellStyle name="출력 4 27" xfId="2212"/>
    <cellStyle name="출력 4 27 2" xfId="2213"/>
    <cellStyle name="출력 4 28" xfId="2214"/>
    <cellStyle name="출력 4 28 2" xfId="2215"/>
    <cellStyle name="출력 4 29" xfId="2216"/>
    <cellStyle name="출력 4 29 2" xfId="2217"/>
    <cellStyle name="출력 4 3" xfId="2218"/>
    <cellStyle name="출력 4 3 2" xfId="2219"/>
    <cellStyle name="출력 4 30" xfId="2220"/>
    <cellStyle name="출력 4 30 2" xfId="2221"/>
    <cellStyle name="출력 4 31" xfId="2222"/>
    <cellStyle name="출력 4 31 2" xfId="2223"/>
    <cellStyle name="출력 4 32" xfId="2224"/>
    <cellStyle name="출력 4 32 2" xfId="2225"/>
    <cellStyle name="출력 4 33" xfId="2226"/>
    <cellStyle name="출력 4 33 2" xfId="2227"/>
    <cellStyle name="출력 4 34" xfId="2228"/>
    <cellStyle name="출력 4 34 2" xfId="2229"/>
    <cellStyle name="출력 4 35" xfId="2230"/>
    <cellStyle name="출력 4 35 2" xfId="2231"/>
    <cellStyle name="출력 4 36" xfId="2232"/>
    <cellStyle name="출력 4 36 2" xfId="2233"/>
    <cellStyle name="출력 4 37" xfId="2234"/>
    <cellStyle name="출력 4 37 2" xfId="2235"/>
    <cellStyle name="출력 4 38" xfId="2236"/>
    <cellStyle name="출력 4 38 2" xfId="2237"/>
    <cellStyle name="출력 4 39" xfId="2238"/>
    <cellStyle name="출력 4 39 2" xfId="2239"/>
    <cellStyle name="출력 4 4" xfId="2240"/>
    <cellStyle name="출력 4 4 2" xfId="2241"/>
    <cellStyle name="출력 4 40" xfId="2242"/>
    <cellStyle name="출력 4 40 2" xfId="2243"/>
    <cellStyle name="출력 4 41" xfId="2244"/>
    <cellStyle name="출력 4 41 2" xfId="2245"/>
    <cellStyle name="출력 4 42" xfId="2246"/>
    <cellStyle name="출력 4 42 2" xfId="2247"/>
    <cellStyle name="출력 4 43" xfId="2248"/>
    <cellStyle name="출력 4 43 2" xfId="2249"/>
    <cellStyle name="출력 4 44" xfId="2250"/>
    <cellStyle name="출력 4 44 2" xfId="2251"/>
    <cellStyle name="출력 4 45" xfId="2252"/>
    <cellStyle name="출력 4 45 2" xfId="2253"/>
    <cellStyle name="출력 4 46" xfId="2254"/>
    <cellStyle name="출력 4 47" xfId="2255"/>
    <cellStyle name="출력 4 48" xfId="2256"/>
    <cellStyle name="출력 4 49" xfId="2257"/>
    <cellStyle name="출력 4 5" xfId="2258"/>
    <cellStyle name="출력 4 5 2" xfId="2259"/>
    <cellStyle name="출력 4 50" xfId="2260"/>
    <cellStyle name="출력 4 51" xfId="2261"/>
    <cellStyle name="출력 4 52" xfId="2262"/>
    <cellStyle name="출력 4 53" xfId="2263"/>
    <cellStyle name="출력 4 54" xfId="2264"/>
    <cellStyle name="출력 4 55" xfId="2265"/>
    <cellStyle name="출력 4 56" xfId="2266"/>
    <cellStyle name="출력 4 57" xfId="2267"/>
    <cellStyle name="출력 4 58" xfId="2268"/>
    <cellStyle name="출력 4 59" xfId="2269"/>
    <cellStyle name="출력 4 6" xfId="2270"/>
    <cellStyle name="출력 4 6 2" xfId="2271"/>
    <cellStyle name="출력 4 60" xfId="2272"/>
    <cellStyle name="출력 4 61" xfId="2273"/>
    <cellStyle name="출력 4 62" xfId="2274"/>
    <cellStyle name="출력 4 63" xfId="2275"/>
    <cellStyle name="출력 4 64" xfId="2276"/>
    <cellStyle name="출력 4 65" xfId="2277"/>
    <cellStyle name="출력 4 66" xfId="2278"/>
    <cellStyle name="출력 4 67" xfId="2279"/>
    <cellStyle name="출력 4 68" xfId="2280"/>
    <cellStyle name="출력 4 69" xfId="2281"/>
    <cellStyle name="출력 4 7" xfId="2282"/>
    <cellStyle name="출력 4 7 2" xfId="2283"/>
    <cellStyle name="출력 4 70" xfId="2284"/>
    <cellStyle name="출력 4 71" xfId="2285"/>
    <cellStyle name="출력 4 72" xfId="2286"/>
    <cellStyle name="출력 4 73" xfId="2287"/>
    <cellStyle name="출력 4 74" xfId="2288"/>
    <cellStyle name="출력 4 75" xfId="2289"/>
    <cellStyle name="출력 4 76" xfId="2290"/>
    <cellStyle name="출력 4 77" xfId="2291"/>
    <cellStyle name="출력 4 78" xfId="2292"/>
    <cellStyle name="출력 4 79" xfId="2293"/>
    <cellStyle name="출력 4 8" xfId="2294"/>
    <cellStyle name="출력 4 8 2" xfId="2295"/>
    <cellStyle name="출력 4 80" xfId="2296"/>
    <cellStyle name="출력 4 81" xfId="2297"/>
    <cellStyle name="출력 4 82" xfId="2298"/>
    <cellStyle name="출력 4 83" xfId="2299"/>
    <cellStyle name="출력 4 84" xfId="2300"/>
    <cellStyle name="출력 4 85" xfId="2301"/>
    <cellStyle name="출력 4 86" xfId="2302"/>
    <cellStyle name="출력 4 87" xfId="2303"/>
    <cellStyle name="출력 4 88" xfId="2304"/>
    <cellStyle name="출력 4 9" xfId="2305"/>
    <cellStyle name="출력 4 9 2" xfId="2306"/>
    <cellStyle name="출력 5" xfId="2307"/>
    <cellStyle name="출력 6" xfId="2308"/>
    <cellStyle name="昗弨_ Index" xfId="4774"/>
    <cellStyle name="콤" xfId="4775"/>
    <cellStyle name="콤? [0]" xfId="4776"/>
    <cellStyle name="콤_(최종) PKI부문EAM부문_재무양식(영업전달자료) 9월~12월 매출추정 자료_080911_(최종)" xfId="4777"/>
    <cellStyle name="콤_(최종) PKI부문EAM부문_재무양식(영업전달자료) 9월~12월 매출추정 자료_080911_(최종) (version 1)" xfId="4778"/>
    <cellStyle name="콤냡?&lt;_x000f_$??: `1_1 " xfId="4779"/>
    <cellStyle name="콤마 [" xfId="4780"/>
    <cellStyle name="콤마 [0]_ " xfId="4781"/>
    <cellStyle name="콤마 [0]-총계" xfId="4782"/>
    <cellStyle name="콤마 [0]-합계" xfId="4783"/>
    <cellStyle name="콤마 [0]-합계2" xfId="4784"/>
    <cellStyle name="콤마,_x0005__x0014_" xfId="4785"/>
    <cellStyle name="콤마[0]" xfId="4786"/>
    <cellStyle name="콤마_ " xfId="4787"/>
    <cellStyle name="콤마1" xfId="4788"/>
    <cellStyle name="쾰화_증컿요인 (2(_자금운쇌 " xfId="4789"/>
    <cellStyle name="통" xfId="4790"/>
    <cellStyle name="통_(최종) PKI부문EAM부문_재무양식(영업전달자료) 9월~12월 매출추정 자료_080911_(최종)" xfId="4791"/>
    <cellStyle name="통_(최종) PKI부문EAM부문_재무양식(영업전달자료) 9월~12월 매출추정 자료_080911_(최종) (version 1)" xfId="4792"/>
    <cellStyle name="통화 [" xfId="4793"/>
    <cellStyle name="통화 [0]" xfId="5" builtinId="7"/>
    <cellStyle name="통화 [0] 2" xfId="5217"/>
    <cellStyle name="통화 [0] 2 2" xfId="5245"/>
    <cellStyle name="통화 [0ɝ_laroux_성일개발(주)현금흐름표" xfId="4794"/>
    <cellStyle name="통화[0]" xfId="2309"/>
    <cellStyle name="튡" xfId="4795"/>
    <cellStyle name="팒" xfId="4796"/>
    <cellStyle name="烹拳 [0]_95" xfId="4797"/>
    <cellStyle name="烹拳_95" xfId="4798"/>
    <cellStyle name="퍼센트" xfId="4799"/>
    <cellStyle name="퍼센트 2" xfId="5218"/>
    <cellStyle name="표" xfId="4800"/>
    <cellStyle name="표_(최종) PKI부문EAM부문_재무양식(영업전달자료) 9월~12월 매출추정 자료_080911_(최종)" xfId="4801"/>
    <cellStyle name="표_(최종) PKI부문EAM부문_재무양식(영업전달자료) 9월~12월 매출추정 자료_080911_(최종) (version 1)" xfId="4802"/>
    <cellStyle name="표준" xfId="0" builtinId="0"/>
    <cellStyle name="표준 10" xfId="16"/>
    <cellStyle name="표준 10 2" xfId="2310"/>
    <cellStyle name="표준 10 3" xfId="2311"/>
    <cellStyle name="표준 10 4" xfId="2312"/>
    <cellStyle name="표준 10 5" xfId="2313"/>
    <cellStyle name="표준 10 6" xfId="2314"/>
    <cellStyle name="표준 10 7" xfId="2315"/>
    <cellStyle name="표준 10 8" xfId="2316"/>
    <cellStyle name="표준 10 9" xfId="4803"/>
    <cellStyle name="표준 11" xfId="17"/>
    <cellStyle name="표준 11 2" xfId="2317"/>
    <cellStyle name="표준 11 3" xfId="2318"/>
    <cellStyle name="표준 11 4" xfId="2319"/>
    <cellStyle name="표준 11 5" xfId="2320"/>
    <cellStyle name="표준 12" xfId="2321"/>
    <cellStyle name="표준 12 2" xfId="2322"/>
    <cellStyle name="표준 12 3" xfId="2323"/>
    <cellStyle name="표준 12 4" xfId="2324"/>
    <cellStyle name="표준 12 5" xfId="2325"/>
    <cellStyle name="표준 13" xfId="2326"/>
    <cellStyle name="표준 13 2" xfId="2327"/>
    <cellStyle name="표준 13 3" xfId="2328"/>
    <cellStyle name="표준 13 4" xfId="2329"/>
    <cellStyle name="표준 13 5" xfId="2330"/>
    <cellStyle name="표준 14" xfId="2331"/>
    <cellStyle name="표준 14 2" xfId="2332"/>
    <cellStyle name="표준 15" xfId="2333"/>
    <cellStyle name="표준 15 10" xfId="2334"/>
    <cellStyle name="표준 15 2" xfId="2335"/>
    <cellStyle name="표준 15 3" xfId="2336"/>
    <cellStyle name="표준 15 4" xfId="2337"/>
    <cellStyle name="표준 15 5" xfId="2338"/>
    <cellStyle name="표준 15 6" xfId="2339"/>
    <cellStyle name="표준 15 7" xfId="2340"/>
    <cellStyle name="표준 15 8" xfId="2341"/>
    <cellStyle name="표준 15 9" xfId="2342"/>
    <cellStyle name="표준 16" xfId="2343"/>
    <cellStyle name="표준 16 10" xfId="2344"/>
    <cellStyle name="표준 16 11" xfId="2345"/>
    <cellStyle name="표준 16 2" xfId="2346"/>
    <cellStyle name="표준 16 3" xfId="2347"/>
    <cellStyle name="표준 16 4" xfId="2348"/>
    <cellStyle name="표준 16 5" xfId="2349"/>
    <cellStyle name="표준 16 6" xfId="2350"/>
    <cellStyle name="표준 16 7" xfId="2351"/>
    <cellStyle name="표준 16 8" xfId="2352"/>
    <cellStyle name="표준 16 9" xfId="2353"/>
    <cellStyle name="표준 17" xfId="2354"/>
    <cellStyle name="표준 17 10" xfId="2355"/>
    <cellStyle name="표준 17 11" xfId="2356"/>
    <cellStyle name="표준 17 2" xfId="2357"/>
    <cellStyle name="표준 17 3" xfId="2358"/>
    <cellStyle name="표준 17 4" xfId="2359"/>
    <cellStyle name="표준 17 5" xfId="2360"/>
    <cellStyle name="표준 17 6" xfId="2361"/>
    <cellStyle name="표준 17 7" xfId="2362"/>
    <cellStyle name="표준 17 8" xfId="2363"/>
    <cellStyle name="표준 17 9" xfId="2364"/>
    <cellStyle name="표준 18" xfId="2365"/>
    <cellStyle name="표준 18 2" xfId="2366"/>
    <cellStyle name="표준 19" xfId="2367"/>
    <cellStyle name="표준 19 2" xfId="2368"/>
    <cellStyle name="표준 2" xfId="6"/>
    <cellStyle name="표준 2 10" xfId="2369"/>
    <cellStyle name="표준 2 10 2" xfId="2370"/>
    <cellStyle name="표준 2 11" xfId="2371"/>
    <cellStyle name="표준 2 11 2" xfId="2372"/>
    <cellStyle name="표준 2 12" xfId="2373"/>
    <cellStyle name="표준 2 12 2" xfId="2374"/>
    <cellStyle name="표준 2 13" xfId="2375"/>
    <cellStyle name="표준 2 13 2" xfId="2376"/>
    <cellStyle name="표준 2 14" xfId="2377"/>
    <cellStyle name="표준 2 14 2" xfId="2378"/>
    <cellStyle name="표준 2 15" xfId="2379"/>
    <cellStyle name="표준 2 15 2" xfId="2380"/>
    <cellStyle name="표준 2 16" xfId="2381"/>
    <cellStyle name="표준 2 16 2" xfId="2382"/>
    <cellStyle name="표준 2 17" xfId="2383"/>
    <cellStyle name="표준 2 17 2" xfId="2384"/>
    <cellStyle name="표준 2 18" xfId="2385"/>
    <cellStyle name="표준 2 18 2" xfId="2386"/>
    <cellStyle name="표준 2 19" xfId="2387"/>
    <cellStyle name="표준 2 19 2" xfId="2388"/>
    <cellStyle name="표준 2 2" xfId="19"/>
    <cellStyle name="표준 2 2 10" xfId="2389"/>
    <cellStyle name="표준 2 2 10 2" xfId="2390"/>
    <cellStyle name="표준 2 2 11" xfId="2391"/>
    <cellStyle name="표준 2 2 11 2" xfId="2392"/>
    <cellStyle name="표준 2 2 12" xfId="2393"/>
    <cellStyle name="표준 2 2 12 2" xfId="2394"/>
    <cellStyle name="표준 2 2 13" xfId="2395"/>
    <cellStyle name="표준 2 2 13 2" xfId="2396"/>
    <cellStyle name="표준 2 2 14" xfId="2397"/>
    <cellStyle name="표준 2 2 14 2" xfId="2398"/>
    <cellStyle name="표준 2 2 15" xfId="2399"/>
    <cellStyle name="표준 2 2 15 2" xfId="2400"/>
    <cellStyle name="표준 2 2 16" xfId="2401"/>
    <cellStyle name="표준 2 2 16 2" xfId="2402"/>
    <cellStyle name="표준 2 2 17" xfId="2403"/>
    <cellStyle name="표준 2 2 17 2" xfId="2404"/>
    <cellStyle name="표준 2 2 18" xfId="2405"/>
    <cellStyle name="표준 2 2 18 2" xfId="2406"/>
    <cellStyle name="표준 2 2 19" xfId="2407"/>
    <cellStyle name="표준 2 2 19 2" xfId="2408"/>
    <cellStyle name="표준 2 2 2" xfId="2409"/>
    <cellStyle name="표준 2 2 2 2" xfId="2410"/>
    <cellStyle name="표준 2 2 2 2 2" xfId="2411"/>
    <cellStyle name="표준 2 2 2 2 3" xfId="4805"/>
    <cellStyle name="표준 2 2 2 3" xfId="2412"/>
    <cellStyle name="표준 2 2 2 3 2" xfId="4806"/>
    <cellStyle name="표준 2 2 2 4" xfId="2413"/>
    <cellStyle name="표준 2 2 2 5" xfId="4807"/>
    <cellStyle name="표준 2 2 2_2008_pay_Initech_금융3본부" xfId="4808"/>
    <cellStyle name="표준 2 2 20" xfId="2414"/>
    <cellStyle name="표준 2 2 20 2" xfId="2415"/>
    <cellStyle name="표준 2 2 21" xfId="2416"/>
    <cellStyle name="표준 2 2 21 2" xfId="2417"/>
    <cellStyle name="표준 2 2 22" xfId="2418"/>
    <cellStyle name="표준 2 2 22 2" xfId="2419"/>
    <cellStyle name="표준 2 2 23" xfId="2420"/>
    <cellStyle name="표준 2 2 23 2" xfId="2421"/>
    <cellStyle name="표준 2 2 24" xfId="2422"/>
    <cellStyle name="표준 2 2 24 2" xfId="2423"/>
    <cellStyle name="표준 2 2 25" xfId="2424"/>
    <cellStyle name="표준 2 2 26" xfId="2425"/>
    <cellStyle name="표준 2 2 27" xfId="2426"/>
    <cellStyle name="표준 2 2 28" xfId="2427"/>
    <cellStyle name="표준 2 2 29" xfId="2428"/>
    <cellStyle name="표준 2 2 3" xfId="2429"/>
    <cellStyle name="표준 2 2 3 2" xfId="2430"/>
    <cellStyle name="표준 2 2 3 3" xfId="4809"/>
    <cellStyle name="표준 2 2 30" xfId="2431"/>
    <cellStyle name="표준 2 2 31" xfId="2432"/>
    <cellStyle name="표준 2 2 32" xfId="2433"/>
    <cellStyle name="표준 2 2 33" xfId="2434"/>
    <cellStyle name="표준 2 2 34" xfId="2435"/>
    <cellStyle name="표준 2 2 35" xfId="2436"/>
    <cellStyle name="표준 2 2 36" xfId="2437"/>
    <cellStyle name="표준 2 2 37" xfId="2438"/>
    <cellStyle name="표준 2 2 38" xfId="2439"/>
    <cellStyle name="표준 2 2 39" xfId="2440"/>
    <cellStyle name="표준 2 2 4" xfId="2441"/>
    <cellStyle name="표준 2 2 4 2" xfId="2442"/>
    <cellStyle name="표준 2 2 4 3" xfId="4810"/>
    <cellStyle name="표준 2 2 40" xfId="2443"/>
    <cellStyle name="표준 2 2 41" xfId="2444"/>
    <cellStyle name="표준 2 2 42" xfId="4885"/>
    <cellStyle name="표준 2 2 43" xfId="4895"/>
    <cellStyle name="표준 2 2 44" xfId="4891"/>
    <cellStyle name="표준 2 2 45" xfId="4894"/>
    <cellStyle name="표준 2 2 46" xfId="4892"/>
    <cellStyle name="표준 2 2 47" xfId="4893"/>
    <cellStyle name="표준 2 2 5" xfId="2445"/>
    <cellStyle name="표준 2 2 5 2" xfId="2446"/>
    <cellStyle name="표준 2 2 5 3" xfId="4811"/>
    <cellStyle name="표준 2 2 6" xfId="2447"/>
    <cellStyle name="표준 2 2 6 2" xfId="2448"/>
    <cellStyle name="표준 2 2 7" xfId="2449"/>
    <cellStyle name="표준 2 2 7 2" xfId="2450"/>
    <cellStyle name="표준 2 2 8" xfId="2451"/>
    <cellStyle name="표준 2 2 8 2" xfId="2452"/>
    <cellStyle name="표준 2 2 9" xfId="2453"/>
    <cellStyle name="표준 2 2 9 2" xfId="2454"/>
    <cellStyle name="표준 2 2_2011년 사업계획  Template1" xfId="2455"/>
    <cellStyle name="표준 2 20" xfId="2456"/>
    <cellStyle name="표준 2 20 2" xfId="2457"/>
    <cellStyle name="표준 2 21" xfId="2458"/>
    <cellStyle name="표준 2 22" xfId="2459"/>
    <cellStyle name="표준 2 23" xfId="2460"/>
    <cellStyle name="표준 2 24" xfId="2461"/>
    <cellStyle name="표준 2 25" xfId="2462"/>
    <cellStyle name="표준 2 26" xfId="2463"/>
    <cellStyle name="표준 2 27" xfId="2464"/>
    <cellStyle name="표준 2 28" xfId="2465"/>
    <cellStyle name="표준 2 29" xfId="2466"/>
    <cellStyle name="표준 2 3" xfId="20"/>
    <cellStyle name="표준 2 3 10" xfId="2467"/>
    <cellStyle name="표준 2 3 11" xfId="2468"/>
    <cellStyle name="표준 2 3 12" xfId="4886"/>
    <cellStyle name="표준 2 3 2" xfId="2469"/>
    <cellStyle name="표준 2 3 2 2" xfId="2470"/>
    <cellStyle name="표준 2 3 3" xfId="2471"/>
    <cellStyle name="표준 2 3 4" xfId="2472"/>
    <cellStyle name="표준 2 3 5" xfId="2473"/>
    <cellStyle name="표준 2 3 6" xfId="2474"/>
    <cellStyle name="표준 2 3 7" xfId="2475"/>
    <cellStyle name="표준 2 3 8" xfId="2476"/>
    <cellStyle name="표준 2 3 9" xfId="2477"/>
    <cellStyle name="표준 2 30" xfId="2478"/>
    <cellStyle name="표준 2 31" xfId="2479"/>
    <cellStyle name="표준 2 32" xfId="2480"/>
    <cellStyle name="표준 2 33" xfId="2481"/>
    <cellStyle name="표준 2 34" xfId="2482"/>
    <cellStyle name="표준 2 35" xfId="2483"/>
    <cellStyle name="표준 2 36" xfId="2484"/>
    <cellStyle name="표준 2 37" xfId="2485"/>
    <cellStyle name="표준 2 38" xfId="2486"/>
    <cellStyle name="표준 2 39" xfId="2487"/>
    <cellStyle name="표준 2 4" xfId="21"/>
    <cellStyle name="표준 2 4 2" xfId="2488"/>
    <cellStyle name="표준 2 4 2 2" xfId="2489"/>
    <cellStyle name="표준 2 4 3" xfId="2490"/>
    <cellStyle name="표준 2 4 4" xfId="2491"/>
    <cellStyle name="표준 2 4 5" xfId="2492"/>
    <cellStyle name="표준 2 4 6" xfId="2493"/>
    <cellStyle name="표준 2 4 7" xfId="4887"/>
    <cellStyle name="표준 2 40" xfId="2494"/>
    <cellStyle name="표준 2 41" xfId="2495"/>
    <cellStyle name="표준 2 42" xfId="2496"/>
    <cellStyle name="표준 2 43" xfId="2497"/>
    <cellStyle name="표준 2 44" xfId="2498"/>
    <cellStyle name="표준 2 45" xfId="2718"/>
    <cellStyle name="표준 2 46" xfId="4804"/>
    <cellStyle name="표준 2 47" xfId="4828"/>
    <cellStyle name="표준 2 48" xfId="18"/>
    <cellStyle name="표준 2 49" xfId="5236"/>
    <cellStyle name="표준 2 5" xfId="22"/>
    <cellStyle name="표준 2 5 2" xfId="2499"/>
    <cellStyle name="표준 2 5 2 2" xfId="2500"/>
    <cellStyle name="표준 2 5 3" xfId="2501"/>
    <cellStyle name="표준 2 5 4" xfId="4888"/>
    <cellStyle name="표준 2 50" xfId="5235"/>
    <cellStyle name="표준 2 51" xfId="5246"/>
    <cellStyle name="표준 2 6" xfId="31"/>
    <cellStyle name="표준 2 6 2" xfId="2502"/>
    <cellStyle name="표준 2 7" xfId="2503"/>
    <cellStyle name="표준 2 7 2" xfId="2504"/>
    <cellStyle name="표준 2 8" xfId="2505"/>
    <cellStyle name="표준 2 8 2" xfId="2506"/>
    <cellStyle name="표준 2 9" xfId="2507"/>
    <cellStyle name="표준 2 9 2" xfId="2508"/>
    <cellStyle name="표준 2_(배포양식) 2009년 인원계획_사업계획 (2)" xfId="4812"/>
    <cellStyle name="표준 20" xfId="2509"/>
    <cellStyle name="표준 20 2" xfId="2510"/>
    <cellStyle name="표준 21" xfId="2511"/>
    <cellStyle name="표준 21 2" xfId="2512"/>
    <cellStyle name="표준 22" xfId="2513"/>
    <cellStyle name="표준 22 2" xfId="2514"/>
    <cellStyle name="표준 23" xfId="2515"/>
    <cellStyle name="표준 23 2" xfId="2516"/>
    <cellStyle name="표준 24" xfId="2517"/>
    <cellStyle name="표준 24 2" xfId="2518"/>
    <cellStyle name="표준 25" xfId="2519"/>
    <cellStyle name="표준 25 2" xfId="2520"/>
    <cellStyle name="표준 26" xfId="2521"/>
    <cellStyle name="표준 26 2" xfId="2522"/>
    <cellStyle name="표준 27" xfId="2523"/>
    <cellStyle name="표준 27 2" xfId="2524"/>
    <cellStyle name="표준 28" xfId="2525"/>
    <cellStyle name="표준 28 2" xfId="2526"/>
    <cellStyle name="표준 29" xfId="2527"/>
    <cellStyle name="표준 29 2" xfId="2528"/>
    <cellStyle name="표준 3" xfId="23"/>
    <cellStyle name="표준 3 10" xfId="2529"/>
    <cellStyle name="표준 3 11" xfId="2530"/>
    <cellStyle name="표준 3 12" xfId="2531"/>
    <cellStyle name="표준 3 13" xfId="2532"/>
    <cellStyle name="표준 3 14" xfId="2533"/>
    <cellStyle name="표준 3 15" xfId="2534"/>
    <cellStyle name="표준 3 16" xfId="2535"/>
    <cellStyle name="표준 3 17" xfId="2536"/>
    <cellStyle name="표준 3 18" xfId="2537"/>
    <cellStyle name="표준 3 19" xfId="2538"/>
    <cellStyle name="표준 3 2" xfId="2539"/>
    <cellStyle name="표준 3 2 2" xfId="2540"/>
    <cellStyle name="표준 3 2 2 2" xfId="2541"/>
    <cellStyle name="표준 3 2 3" xfId="2542"/>
    <cellStyle name="표준 3 2 4" xfId="2543"/>
    <cellStyle name="표준 3 2 5" xfId="2544"/>
    <cellStyle name="표준 3 2 6" xfId="2545"/>
    <cellStyle name="표준 3 2 7" xfId="2546"/>
    <cellStyle name="표준 3 2 8" xfId="2547"/>
    <cellStyle name="표준 3 2 9" xfId="4814"/>
    <cellStyle name="표준 3 20" xfId="2548"/>
    <cellStyle name="표준 3 21" xfId="2549"/>
    <cellStyle name="표준 3 22" xfId="2550"/>
    <cellStyle name="표준 3 23" xfId="2551"/>
    <cellStyle name="표준 3 24" xfId="2552"/>
    <cellStyle name="표준 3 25" xfId="2553"/>
    <cellStyle name="표준 3 26" xfId="2554"/>
    <cellStyle name="표준 3 27" xfId="2555"/>
    <cellStyle name="표준 3 28" xfId="2556"/>
    <cellStyle name="표준 3 29" xfId="2557"/>
    <cellStyle name="표준 3 3" xfId="2558"/>
    <cellStyle name="표준 3 3 2" xfId="2559"/>
    <cellStyle name="표준 3 3 3" xfId="2560"/>
    <cellStyle name="표준 3 3 4" xfId="4815"/>
    <cellStyle name="표준 3 30" xfId="4813"/>
    <cellStyle name="표준 3 31" xfId="5219"/>
    <cellStyle name="표준 3 4" xfId="2561"/>
    <cellStyle name="표준 3 4 2" xfId="2562"/>
    <cellStyle name="표준 3 4 3" xfId="2563"/>
    <cellStyle name="표준 3 5" xfId="2564"/>
    <cellStyle name="표준 3 6" xfId="2565"/>
    <cellStyle name="표준 3 7" xfId="2566"/>
    <cellStyle name="표준 3 8" xfId="2567"/>
    <cellStyle name="표준 3 9" xfId="2568"/>
    <cellStyle name="표준 30" xfId="2569"/>
    <cellStyle name="표준 30 2" xfId="2570"/>
    <cellStyle name="표준 31" xfId="2571"/>
    <cellStyle name="표준 31 2" xfId="2572"/>
    <cellStyle name="표준 32" xfId="2573"/>
    <cellStyle name="표준 32 2" xfId="2574"/>
    <cellStyle name="표준 33" xfId="2575"/>
    <cellStyle name="표준 33 2" xfId="2576"/>
    <cellStyle name="표준 34" xfId="2577"/>
    <cellStyle name="표준 34 2" xfId="2578"/>
    <cellStyle name="표준 35" xfId="2579"/>
    <cellStyle name="표준 35 2" xfId="2580"/>
    <cellStyle name="표준 36" xfId="2581"/>
    <cellStyle name="표준 36 2" xfId="2582"/>
    <cellStyle name="표준 37" xfId="2583"/>
    <cellStyle name="표준 38" xfId="2584"/>
    <cellStyle name="표준 39" xfId="2585"/>
    <cellStyle name="표준 4" xfId="24"/>
    <cellStyle name="표준 4 10" xfId="2586"/>
    <cellStyle name="표준 4 11" xfId="2587"/>
    <cellStyle name="표준 4 12" xfId="2588"/>
    <cellStyle name="표준 4 13" xfId="2589"/>
    <cellStyle name="표준 4 14" xfId="2590"/>
    <cellStyle name="표준 4 15" xfId="2591"/>
    <cellStyle name="표준 4 16" xfId="2592"/>
    <cellStyle name="표준 4 17" xfId="2593"/>
    <cellStyle name="표준 4 18" xfId="2594"/>
    <cellStyle name="표준 4 19" xfId="2595"/>
    <cellStyle name="표준 4 2" xfId="25"/>
    <cellStyle name="표준 4 2 10" xfId="2596"/>
    <cellStyle name="표준 4 2 11" xfId="2597"/>
    <cellStyle name="표준 4 2 12" xfId="4890"/>
    <cellStyle name="표준 4 2 2" xfId="2598"/>
    <cellStyle name="표준 4 2 3" xfId="2599"/>
    <cellStyle name="표준 4 2 4" xfId="2600"/>
    <cellStyle name="표준 4 2 5" xfId="2601"/>
    <cellStyle name="표준 4 2 6" xfId="2602"/>
    <cellStyle name="표준 4 2 7" xfId="2603"/>
    <cellStyle name="표준 4 2 8" xfId="2604"/>
    <cellStyle name="표준 4 2 9" xfId="2605"/>
    <cellStyle name="표준 4 20" xfId="2606"/>
    <cellStyle name="표준 4 21" xfId="2607"/>
    <cellStyle name="표준 4 22" xfId="2608"/>
    <cellStyle name="표준 4 23" xfId="2609"/>
    <cellStyle name="표준 4 24" xfId="4816"/>
    <cellStyle name="표준 4 25" xfId="4889"/>
    <cellStyle name="표준 4 26" xfId="4904"/>
    <cellStyle name="표준 4 3" xfId="2610"/>
    <cellStyle name="표준 4 3 2" xfId="2611"/>
    <cellStyle name="표준 4 3 3" xfId="2612"/>
    <cellStyle name="표준 4 4" xfId="2613"/>
    <cellStyle name="표준 4 4 2" xfId="2614"/>
    <cellStyle name="표준 4 4 3" xfId="2615"/>
    <cellStyle name="표준 4 5" xfId="2616"/>
    <cellStyle name="표준 4 6" xfId="2617"/>
    <cellStyle name="표준 4 7" xfId="2618"/>
    <cellStyle name="표준 4 8" xfId="2619"/>
    <cellStyle name="표준 4 9" xfId="2620"/>
    <cellStyle name="표준 40" xfId="2621"/>
    <cellStyle name="표준 41" xfId="2622"/>
    <cellStyle name="표준 42" xfId="2623"/>
    <cellStyle name="표준 43" xfId="2624"/>
    <cellStyle name="표준 44" xfId="2625"/>
    <cellStyle name="표준 45" xfId="2626"/>
    <cellStyle name="표준 46" xfId="2627"/>
    <cellStyle name="표준 47" xfId="2628"/>
    <cellStyle name="표준 48" xfId="2629"/>
    <cellStyle name="표준 49" xfId="2630"/>
    <cellStyle name="표준 5" xfId="26"/>
    <cellStyle name="표준 5 10" xfId="2631"/>
    <cellStyle name="표준 5 11" xfId="2632"/>
    <cellStyle name="표준 5 12" xfId="2633"/>
    <cellStyle name="표준 5 13" xfId="4817"/>
    <cellStyle name="표준 5 2" xfId="2634"/>
    <cellStyle name="표준 5 2 2" xfId="2635"/>
    <cellStyle name="표준 5 2 3" xfId="2636"/>
    <cellStyle name="표준 5 2 4" xfId="2637"/>
    <cellStyle name="표준 5 2 5" xfId="2638"/>
    <cellStyle name="표준 5 3" xfId="2639"/>
    <cellStyle name="표준 5 4" xfId="2640"/>
    <cellStyle name="표준 5 5" xfId="2641"/>
    <cellStyle name="표준 5 6" xfId="2642"/>
    <cellStyle name="표준 5 7" xfId="2643"/>
    <cellStyle name="표준 5 8" xfId="2644"/>
    <cellStyle name="표준 5 9" xfId="2645"/>
    <cellStyle name="표준 50" xfId="2646"/>
    <cellStyle name="표준 51" xfId="2647"/>
    <cellStyle name="표준 52" xfId="2648"/>
    <cellStyle name="표준 53" xfId="2649"/>
    <cellStyle name="표준 54" xfId="2650"/>
    <cellStyle name="표준 55" xfId="2651"/>
    <cellStyle name="표준 56" xfId="2652"/>
    <cellStyle name="표준 57" xfId="2653"/>
    <cellStyle name="표준 58" xfId="2654"/>
    <cellStyle name="표준 59" xfId="2655"/>
    <cellStyle name="표준 6" xfId="27"/>
    <cellStyle name="표준 6 2" xfId="2656"/>
    <cellStyle name="표준 6 3" xfId="2657"/>
    <cellStyle name="표준 6 4" xfId="2658"/>
    <cellStyle name="표준 6 5" xfId="2659"/>
    <cellStyle name="표준 6 6" xfId="2660"/>
    <cellStyle name="표준 6 7" xfId="2661"/>
    <cellStyle name="표준 6 8" xfId="2662"/>
    <cellStyle name="표준 60" xfId="2663"/>
    <cellStyle name="표준 61" xfId="2664"/>
    <cellStyle name="표준 62" xfId="2665"/>
    <cellStyle name="표준 63" xfId="2666"/>
    <cellStyle name="표준 64" xfId="2667"/>
    <cellStyle name="표준 65" xfId="2668"/>
    <cellStyle name="표준 66" xfId="2669"/>
    <cellStyle name="표준 67" xfId="2670"/>
    <cellStyle name="표준 68" xfId="2671"/>
    <cellStyle name="표준 69" xfId="2672"/>
    <cellStyle name="표준 7" xfId="28"/>
    <cellStyle name="표준 7 10" xfId="2673"/>
    <cellStyle name="표준 7 11" xfId="2674"/>
    <cellStyle name="표준 7 12" xfId="2675"/>
    <cellStyle name="표준 7 13" xfId="2676"/>
    <cellStyle name="표준 7 14" xfId="2677"/>
    <cellStyle name="표준 7 15" xfId="2678"/>
    <cellStyle name="표준 7 16" xfId="2679"/>
    <cellStyle name="표준 7 17" xfId="2680"/>
    <cellStyle name="표준 7 18" xfId="4818"/>
    <cellStyle name="표준 7 2" xfId="2681"/>
    <cellStyle name="표준 7 3" xfId="2682"/>
    <cellStyle name="표준 7 4" xfId="2683"/>
    <cellStyle name="표준 7 5" xfId="2684"/>
    <cellStyle name="표준 7 6" xfId="2685"/>
    <cellStyle name="표준 7 7" xfId="2686"/>
    <cellStyle name="표준 7 8" xfId="2687"/>
    <cellStyle name="표준 7 9" xfId="2688"/>
    <cellStyle name="표준 70" xfId="2689"/>
    <cellStyle name="표준 71" xfId="2690"/>
    <cellStyle name="표준 72" xfId="2691"/>
    <cellStyle name="표준 73" xfId="2692"/>
    <cellStyle name="표준 74" xfId="2693"/>
    <cellStyle name="표준 75" xfId="2694"/>
    <cellStyle name="표준 76" xfId="2695"/>
    <cellStyle name="표준 77" xfId="2696"/>
    <cellStyle name="표준 78" xfId="2697"/>
    <cellStyle name="표준 79" xfId="2698"/>
    <cellStyle name="표준 8" xfId="29"/>
    <cellStyle name="표준 8 2" xfId="2699"/>
    <cellStyle name="표준 8 3" xfId="2700"/>
    <cellStyle name="표준 8 4" xfId="2701"/>
    <cellStyle name="표준 8 5" xfId="2702"/>
    <cellStyle name="표준 8 6" xfId="2703"/>
    <cellStyle name="표준 8 7" xfId="2704"/>
    <cellStyle name="표준 8 8" xfId="2705"/>
    <cellStyle name="표준 8 9" xfId="4819"/>
    <cellStyle name="표준 80" xfId="2706"/>
    <cellStyle name="표준 81" xfId="2707"/>
    <cellStyle name="표준 82" xfId="2708"/>
    <cellStyle name="표준 83" xfId="2709"/>
    <cellStyle name="표준 84" xfId="13"/>
    <cellStyle name="표준 84 2" xfId="4882"/>
    <cellStyle name="표준 85" xfId="4878"/>
    <cellStyle name="표준 86" xfId="4865"/>
    <cellStyle name="표준 87" xfId="4866"/>
    <cellStyle name="표준 88" xfId="4880"/>
    <cellStyle name="표준 89" xfId="4896"/>
    <cellStyle name="표준 9" xfId="30"/>
    <cellStyle name="표준 9 2" xfId="2710"/>
    <cellStyle name="표준 9 3" xfId="2711"/>
    <cellStyle name="표준 9 4" xfId="2712"/>
    <cellStyle name="표준 9 5" xfId="2713"/>
    <cellStyle name="표준 9 6" xfId="2714"/>
    <cellStyle name="표준 9 7" xfId="2715"/>
    <cellStyle name="표준 9 8" xfId="2716"/>
    <cellStyle name="표준 9 9" xfId="4820"/>
    <cellStyle name="표준 90" xfId="5221"/>
    <cellStyle name="표준 91" xfId="5234"/>
    <cellStyle name="표준 92" xfId="5241"/>
    <cellStyle name="표준 93" xfId="5240"/>
    <cellStyle name="標準_(01)タイムクリエイトＰＬ単年度1" xfId="4821"/>
    <cellStyle name="표준_광주_경남은행신BIS_수지차_20060816" xfId="7"/>
    <cellStyle name="표준_광주_경남은행신BIS_수지차_20060816_061116-수지차양식" xfId="8"/>
    <cellStyle name="표준_농협_OpRisk_인력투입계획_v1.0" xfId="9"/>
    <cellStyle name="표준_사원별급여현황" xfId="10"/>
    <cellStyle name="표준_외환은행_인력투입계획_최종_우체국 차세대 인력투입계획 및 제안가격_윌비_20061026_080114-수지차-우리은행CRM구축_Ver 1.0" xfId="11"/>
    <cellStyle name="표준_직급별인건비" xfId="12"/>
    <cellStyle name="표준체" xfId="4822"/>
    <cellStyle name="푤貫롸몰[0]_RESULTS" xfId="4823"/>
    <cellStyle name="푤貫롸몰_RESULTS" xfId="4824"/>
    <cellStyle name="하이퍼링크 2" xfId="4901"/>
    <cellStyle name="하이퍼링크 3" xfId="4900"/>
    <cellStyle name="합계" xfId="5220"/>
    <cellStyle name="합계 2" xfId="5233"/>
    <cellStyle name="합산" xfId="4825"/>
    <cellStyle name="화폐기호" xfId="4826"/>
    <cellStyle name="화폐기호 2" xfId="5222"/>
    <cellStyle name="화폐기호0" xfId="4827"/>
    <cellStyle name="화폐기호0 2" xfId="5223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F78"/>
  <sheetViews>
    <sheetView showGridLines="0" view="pageBreakPreview" zoomScaleSheetLayoutView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C34" sqref="C34"/>
    </sheetView>
  </sheetViews>
  <sheetFormatPr defaultColWidth="9.33203125" defaultRowHeight="12.75"/>
  <cols>
    <col min="1" max="1" width="2.6640625" style="11" customWidth="1"/>
    <col min="2" max="2" width="29.83203125" style="10" bestFit="1" customWidth="1"/>
    <col min="3" max="3" width="20.83203125" style="10" customWidth="1"/>
    <col min="4" max="4" width="51.83203125" style="10" customWidth="1"/>
    <col min="5" max="5" width="49" style="10" customWidth="1"/>
    <col min="6" max="6" width="47" style="10" customWidth="1"/>
    <col min="7" max="7" width="3.1640625" style="10" customWidth="1"/>
    <col min="8" max="16384" width="9.33203125" style="10"/>
  </cols>
  <sheetData>
    <row r="1" spans="1:6" s="2" customFormat="1" ht="30" customHeight="1" thickBot="1">
      <c r="A1" s="515" t="s">
        <v>66</v>
      </c>
      <c r="B1" s="515"/>
      <c r="C1" s="515"/>
      <c r="D1" s="515"/>
      <c r="E1" s="515"/>
      <c r="F1" s="515"/>
    </row>
    <row r="2" spans="1:6" s="3" customFormat="1" ht="14.25" thickTop="1" thickBot="1">
      <c r="B2" s="4" t="s">
        <v>67</v>
      </c>
      <c r="C2" s="5" t="s">
        <v>68</v>
      </c>
      <c r="D2" s="6" t="s">
        <v>69</v>
      </c>
      <c r="E2" s="6" t="s">
        <v>70</v>
      </c>
      <c r="F2" s="7" t="s">
        <v>71</v>
      </c>
    </row>
    <row r="3" spans="1:6" ht="14.25" thickTop="1" thickBot="1">
      <c r="A3" s="8" t="s">
        <v>72</v>
      </c>
      <c r="B3" s="9"/>
      <c r="C3" s="9"/>
    </row>
    <row r="4" spans="1:6" ht="33" customHeight="1" thickTop="1" thickBot="1">
      <c r="B4" s="12" t="s">
        <v>73</v>
      </c>
      <c r="C4" s="13" t="s">
        <v>74</v>
      </c>
      <c r="D4" s="13" t="s">
        <v>75</v>
      </c>
      <c r="E4" s="13" t="s">
        <v>64</v>
      </c>
      <c r="F4" s="14"/>
    </row>
    <row r="5" spans="1:6" ht="13.5" customHeight="1" thickTop="1">
      <c r="B5" s="15"/>
      <c r="C5" s="16"/>
      <c r="D5" s="16"/>
      <c r="E5" s="16"/>
      <c r="F5" s="16"/>
    </row>
    <row r="6" spans="1:6" ht="13.5" thickBot="1">
      <c r="A6" s="8" t="s">
        <v>76</v>
      </c>
      <c r="B6" s="9"/>
      <c r="C6" s="9"/>
    </row>
    <row r="7" spans="1:6" ht="53.25" hidden="1" customHeight="1" thickTop="1">
      <c r="B7" s="17" t="s">
        <v>77</v>
      </c>
      <c r="C7" s="18" t="s">
        <v>78</v>
      </c>
      <c r="D7" s="19" t="s">
        <v>79</v>
      </c>
      <c r="E7" s="20" t="s">
        <v>80</v>
      </c>
      <c r="F7" s="21"/>
    </row>
    <row r="8" spans="1:6" ht="44.25" hidden="1" customHeight="1">
      <c r="B8" s="22" t="s">
        <v>81</v>
      </c>
      <c r="C8" s="23" t="s">
        <v>82</v>
      </c>
      <c r="D8" s="24" t="s">
        <v>49</v>
      </c>
      <c r="E8" s="24" t="s">
        <v>83</v>
      </c>
      <c r="F8" s="25"/>
    </row>
    <row r="9" spans="1:6" ht="26.25" hidden="1" customHeight="1">
      <c r="B9" s="518" t="s">
        <v>33</v>
      </c>
      <c r="C9" s="519"/>
      <c r="D9" s="24"/>
      <c r="E9" s="23"/>
      <c r="F9" s="25"/>
    </row>
    <row r="10" spans="1:6" ht="36.75" hidden="1" customHeight="1">
      <c r="B10" s="22" t="s">
        <v>84</v>
      </c>
      <c r="C10" s="26"/>
      <c r="D10" s="24" t="s">
        <v>85</v>
      </c>
      <c r="E10" s="23"/>
      <c r="F10" s="27" t="s">
        <v>37</v>
      </c>
    </row>
    <row r="11" spans="1:6" ht="26.25" hidden="1" customHeight="1">
      <c r="B11" s="22" t="s">
        <v>86</v>
      </c>
      <c r="C11" s="26" t="s">
        <v>78</v>
      </c>
      <c r="D11" s="24" t="s">
        <v>50</v>
      </c>
      <c r="E11" s="23"/>
      <c r="F11" s="25" t="s">
        <v>87</v>
      </c>
    </row>
    <row r="12" spans="1:6" ht="36.75" hidden="1" customHeight="1">
      <c r="B12" s="28" t="s">
        <v>88</v>
      </c>
      <c r="C12" s="29" t="s">
        <v>89</v>
      </c>
      <c r="D12" s="30" t="s">
        <v>51</v>
      </c>
      <c r="E12" s="31"/>
      <c r="F12" s="27" t="s">
        <v>37</v>
      </c>
    </row>
    <row r="13" spans="1:6" ht="18.75" customHeight="1" thickTop="1">
      <c r="B13" s="516" t="s">
        <v>90</v>
      </c>
      <c r="C13" s="517"/>
      <c r="D13" s="18"/>
      <c r="E13" s="18"/>
      <c r="F13" s="21"/>
    </row>
    <row r="14" spans="1:6" ht="47.25" customHeight="1" thickBot="1">
      <c r="B14" s="32" t="s">
        <v>34</v>
      </c>
      <c r="C14" s="33" t="s">
        <v>91</v>
      </c>
      <c r="D14" s="34" t="s">
        <v>92</v>
      </c>
      <c r="E14" s="35" t="s">
        <v>93</v>
      </c>
      <c r="F14" s="36" t="s">
        <v>60</v>
      </c>
    </row>
    <row r="15" spans="1:6" ht="13.5" thickTop="1"/>
    <row r="16" spans="1:6" ht="13.5" thickBot="1">
      <c r="A16" s="8" t="s">
        <v>94</v>
      </c>
      <c r="B16" s="9"/>
      <c r="C16" s="9"/>
    </row>
    <row r="17" spans="1:6" ht="58.5" customHeight="1" thickTop="1" thickBot="1">
      <c r="B17" s="12" t="s">
        <v>95</v>
      </c>
      <c r="C17" s="37" t="s">
        <v>96</v>
      </c>
      <c r="D17" s="13" t="s">
        <v>97</v>
      </c>
      <c r="E17" s="13" t="s">
        <v>61</v>
      </c>
      <c r="F17" s="14" t="s">
        <v>98</v>
      </c>
    </row>
    <row r="18" spans="1:6" ht="12.75" customHeight="1" thickTop="1">
      <c r="B18" s="15"/>
      <c r="C18" s="15"/>
      <c r="D18" s="16"/>
      <c r="E18" s="15"/>
      <c r="F18" s="16"/>
    </row>
    <row r="19" spans="1:6" ht="13.5" thickBot="1">
      <c r="A19" s="8" t="s">
        <v>99</v>
      </c>
      <c r="B19" s="9"/>
      <c r="C19" s="9"/>
    </row>
    <row r="20" spans="1:6" ht="59.25" customHeight="1" thickTop="1" thickBot="1">
      <c r="B20" s="12" t="s">
        <v>100</v>
      </c>
      <c r="C20" s="37" t="s">
        <v>62</v>
      </c>
      <c r="D20" s="13" t="s">
        <v>101</v>
      </c>
      <c r="E20" s="37"/>
      <c r="F20" s="14" t="s">
        <v>102</v>
      </c>
    </row>
    <row r="21" spans="1:6" ht="13.5" hidden="1" thickTop="1"/>
    <row r="22" spans="1:6" hidden="1">
      <c r="A22" s="8" t="s">
        <v>103</v>
      </c>
      <c r="B22" s="9"/>
      <c r="C22" s="9"/>
    </row>
    <row r="23" spans="1:6" ht="56.25" hidden="1" customHeight="1" thickTop="1">
      <c r="B23" s="38" t="s">
        <v>38</v>
      </c>
      <c r="C23" s="18" t="s">
        <v>104</v>
      </c>
      <c r="D23" s="18" t="s">
        <v>105</v>
      </c>
      <c r="E23" s="20" t="s">
        <v>106</v>
      </c>
      <c r="F23" s="21" t="s">
        <v>107</v>
      </c>
    </row>
    <row r="24" spans="1:6" ht="35.25" hidden="1" customHeight="1">
      <c r="B24" s="22" t="s">
        <v>108</v>
      </c>
      <c r="C24" s="23" t="s">
        <v>104</v>
      </c>
      <c r="D24" s="24" t="s">
        <v>109</v>
      </c>
      <c r="E24" s="24" t="s">
        <v>110</v>
      </c>
      <c r="F24" s="25"/>
    </row>
    <row r="25" spans="1:6" ht="54" hidden="1" customHeight="1">
      <c r="B25" s="22" t="s">
        <v>111</v>
      </c>
      <c r="C25" s="23" t="s">
        <v>104</v>
      </c>
      <c r="D25" s="24" t="s">
        <v>112</v>
      </c>
      <c r="E25" s="24" t="s">
        <v>123</v>
      </c>
      <c r="F25" s="25"/>
    </row>
    <row r="26" spans="1:6" ht="54" hidden="1" customHeight="1">
      <c r="B26" s="22" t="s">
        <v>113</v>
      </c>
      <c r="C26" s="23" t="s">
        <v>104</v>
      </c>
      <c r="D26" s="24" t="s">
        <v>109</v>
      </c>
      <c r="E26" s="24" t="s">
        <v>114</v>
      </c>
      <c r="F26" s="25"/>
    </row>
    <row r="27" spans="1:6" ht="22.5" hidden="1" customHeight="1">
      <c r="B27" s="22" t="s">
        <v>115</v>
      </c>
      <c r="C27" s="23" t="s">
        <v>104</v>
      </c>
      <c r="D27" s="24" t="s">
        <v>40</v>
      </c>
      <c r="E27" s="23" t="s">
        <v>39</v>
      </c>
      <c r="F27" s="25"/>
    </row>
    <row r="28" spans="1:6" ht="22.5" hidden="1" customHeight="1">
      <c r="B28" s="22" t="s">
        <v>116</v>
      </c>
      <c r="C28" s="23" t="s">
        <v>104</v>
      </c>
      <c r="D28" s="24" t="s">
        <v>40</v>
      </c>
      <c r="E28" s="23" t="s">
        <v>117</v>
      </c>
      <c r="F28" s="25"/>
    </row>
    <row r="29" spans="1:6" ht="22.5" hidden="1" customHeight="1">
      <c r="B29" s="22" t="s">
        <v>118</v>
      </c>
      <c r="C29" s="23" t="s">
        <v>104</v>
      </c>
      <c r="D29" s="24" t="s">
        <v>40</v>
      </c>
      <c r="E29" s="23" t="s">
        <v>119</v>
      </c>
      <c r="F29" s="25"/>
    </row>
    <row r="30" spans="1:6" ht="22.5" hidden="1" customHeight="1">
      <c r="B30" s="22" t="s">
        <v>120</v>
      </c>
      <c r="C30" s="23" t="s">
        <v>104</v>
      </c>
      <c r="D30" s="24" t="s">
        <v>40</v>
      </c>
      <c r="E30" s="23" t="s">
        <v>121</v>
      </c>
      <c r="F30" s="25"/>
    </row>
    <row r="31" spans="1:6" ht="81.75" hidden="1" customHeight="1" thickBot="1">
      <c r="B31" s="39" t="s">
        <v>122</v>
      </c>
      <c r="C31" s="33" t="s">
        <v>104</v>
      </c>
      <c r="D31" s="35" t="s">
        <v>40</v>
      </c>
      <c r="E31" s="35" t="s">
        <v>124</v>
      </c>
      <c r="F31" s="40"/>
    </row>
    <row r="32" spans="1:6" ht="13.5" thickTop="1"/>
    <row r="33" spans="1:6" ht="13.5" thickBot="1">
      <c r="A33" s="8" t="s">
        <v>125</v>
      </c>
      <c r="B33" s="9"/>
      <c r="C33" s="9"/>
    </row>
    <row r="34" spans="1:6" ht="29.25" customHeight="1" thickTop="1" thickBot="1">
      <c r="B34" s="12" t="s">
        <v>126</v>
      </c>
      <c r="C34" s="37" t="s">
        <v>127</v>
      </c>
      <c r="D34" s="13" t="s">
        <v>65</v>
      </c>
      <c r="E34" s="13"/>
      <c r="F34" s="41" t="s">
        <v>63</v>
      </c>
    </row>
    <row r="35" spans="1:6" hidden="1"/>
    <row r="36" spans="1:6" ht="13.5" hidden="1" thickBot="1">
      <c r="A36" s="8" t="s">
        <v>128</v>
      </c>
      <c r="B36" s="9"/>
      <c r="C36" s="9"/>
    </row>
    <row r="37" spans="1:6" ht="26.25" hidden="1" customHeight="1" thickTop="1">
      <c r="B37" s="522" t="s">
        <v>129</v>
      </c>
      <c r="C37" s="523"/>
      <c r="D37" s="20"/>
      <c r="E37" s="18"/>
      <c r="F37" s="21"/>
    </row>
    <row r="38" spans="1:6" ht="51.75" hidden="1" customHeight="1">
      <c r="B38" s="22" t="s">
        <v>130</v>
      </c>
      <c r="C38" s="23" t="s">
        <v>25</v>
      </c>
      <c r="D38" s="24" t="s">
        <v>131</v>
      </c>
      <c r="E38" s="23"/>
      <c r="F38" s="25" t="s">
        <v>132</v>
      </c>
    </row>
    <row r="39" spans="1:6" ht="37.5" hidden="1" customHeight="1">
      <c r="B39" s="22" t="s">
        <v>133</v>
      </c>
      <c r="C39" s="23" t="s">
        <v>35</v>
      </c>
      <c r="D39" s="24" t="s">
        <v>134</v>
      </c>
      <c r="E39" s="24" t="s">
        <v>83</v>
      </c>
      <c r="F39" s="25"/>
    </row>
    <row r="40" spans="1:6" ht="26.25" hidden="1" customHeight="1">
      <c r="B40" s="520" t="s">
        <v>135</v>
      </c>
      <c r="C40" s="521"/>
      <c r="D40" s="24"/>
      <c r="E40" s="24"/>
      <c r="F40" s="25"/>
    </row>
    <row r="41" spans="1:6" ht="62.25" hidden="1" customHeight="1">
      <c r="B41" s="22" t="s">
        <v>130</v>
      </c>
      <c r="C41" s="23" t="s">
        <v>136</v>
      </c>
      <c r="D41" s="24" t="s">
        <v>131</v>
      </c>
      <c r="E41" s="24" t="s">
        <v>137</v>
      </c>
      <c r="F41" s="25" t="s">
        <v>138</v>
      </c>
    </row>
    <row r="42" spans="1:6" ht="37.5" hidden="1" customHeight="1" thickBot="1">
      <c r="B42" s="39" t="s">
        <v>133</v>
      </c>
      <c r="C42" s="33" t="s">
        <v>35</v>
      </c>
      <c r="D42" s="35" t="s">
        <v>52</v>
      </c>
      <c r="E42" s="35" t="s">
        <v>83</v>
      </c>
      <c r="F42" s="40"/>
    </row>
    <row r="43" spans="1:6" ht="13.5" hidden="1" thickTop="1"/>
    <row r="44" spans="1:6" ht="13.5" hidden="1" thickBot="1">
      <c r="A44" s="8" t="s">
        <v>139</v>
      </c>
      <c r="B44" s="9"/>
      <c r="C44" s="9"/>
    </row>
    <row r="45" spans="1:6" ht="25.5" hidden="1" customHeight="1" thickTop="1">
      <c r="B45" s="516" t="s">
        <v>140</v>
      </c>
      <c r="C45" s="517"/>
      <c r="D45" s="18"/>
      <c r="E45" s="18"/>
      <c r="F45" s="21"/>
    </row>
    <row r="46" spans="1:6" ht="36" hidden="1" customHeight="1">
      <c r="B46" s="22" t="s">
        <v>86</v>
      </c>
      <c r="C46" s="26" t="s">
        <v>26</v>
      </c>
      <c r="D46" s="24" t="s">
        <v>141</v>
      </c>
      <c r="E46" s="24" t="s">
        <v>142</v>
      </c>
      <c r="F46" s="25" t="s">
        <v>143</v>
      </c>
    </row>
    <row r="47" spans="1:6" ht="34.5" hidden="1" customHeight="1">
      <c r="B47" s="22" t="s">
        <v>144</v>
      </c>
      <c r="C47" s="23" t="s">
        <v>145</v>
      </c>
      <c r="D47" s="23" t="s">
        <v>146</v>
      </c>
      <c r="E47" s="24" t="s">
        <v>147</v>
      </c>
      <c r="F47" s="25" t="s">
        <v>87</v>
      </c>
    </row>
    <row r="48" spans="1:6" ht="25.5" hidden="1" customHeight="1">
      <c r="B48" s="1" t="s">
        <v>31</v>
      </c>
      <c r="C48" s="514"/>
      <c r="D48" s="24"/>
      <c r="E48" s="24"/>
      <c r="F48" s="25"/>
    </row>
    <row r="49" spans="1:6" ht="40.5" hidden="1" customHeight="1">
      <c r="B49" s="42" t="s">
        <v>88</v>
      </c>
      <c r="C49" s="43" t="s">
        <v>148</v>
      </c>
      <c r="D49" s="44" t="s">
        <v>57</v>
      </c>
      <c r="E49" s="24" t="s">
        <v>149</v>
      </c>
      <c r="F49" s="25" t="s">
        <v>150</v>
      </c>
    </row>
    <row r="50" spans="1:6" ht="25.5" hidden="1" customHeight="1">
      <c r="B50" s="22" t="s">
        <v>151</v>
      </c>
      <c r="C50" s="43" t="s">
        <v>148</v>
      </c>
      <c r="D50" s="23" t="s">
        <v>32</v>
      </c>
      <c r="E50" s="24" t="s">
        <v>152</v>
      </c>
      <c r="F50" s="25"/>
    </row>
    <row r="51" spans="1:6" ht="57" hidden="1" customHeight="1">
      <c r="B51" s="42" t="s">
        <v>30</v>
      </c>
      <c r="C51" s="45" t="s">
        <v>148</v>
      </c>
      <c r="D51" s="23" t="s">
        <v>32</v>
      </c>
      <c r="E51" s="24" t="s">
        <v>153</v>
      </c>
      <c r="F51" s="25"/>
    </row>
    <row r="52" spans="1:6" ht="61.5" hidden="1" customHeight="1">
      <c r="B52" s="22" t="s">
        <v>154</v>
      </c>
      <c r="C52" s="23" t="s">
        <v>27</v>
      </c>
      <c r="D52" s="24" t="s">
        <v>53</v>
      </c>
      <c r="E52" s="44" t="s">
        <v>155</v>
      </c>
      <c r="F52" s="25" t="s">
        <v>138</v>
      </c>
    </row>
    <row r="53" spans="1:6" ht="34.5" hidden="1" customHeight="1" thickBot="1">
      <c r="B53" s="39" t="s">
        <v>156</v>
      </c>
      <c r="C53" s="33" t="s">
        <v>157</v>
      </c>
      <c r="D53" s="35" t="s">
        <v>54</v>
      </c>
      <c r="E53" s="46"/>
      <c r="F53" s="36" t="s">
        <v>158</v>
      </c>
    </row>
    <row r="54" spans="1:6" ht="13.5" hidden="1" thickTop="1"/>
    <row r="55" spans="1:6" ht="13.5" hidden="1" thickBot="1">
      <c r="A55" s="8" t="s">
        <v>159</v>
      </c>
      <c r="B55" s="9"/>
      <c r="C55" s="9"/>
    </row>
    <row r="56" spans="1:6" ht="34.5" hidden="1" customHeight="1" thickTop="1">
      <c r="B56" s="38" t="s">
        <v>160</v>
      </c>
      <c r="C56" s="18" t="s">
        <v>28</v>
      </c>
      <c r="D56" s="20" t="s">
        <v>161</v>
      </c>
      <c r="E56" s="20" t="s">
        <v>162</v>
      </c>
      <c r="F56" s="21" t="s">
        <v>163</v>
      </c>
    </row>
    <row r="57" spans="1:6" ht="45" hidden="1" customHeight="1">
      <c r="B57" s="22" t="s">
        <v>164</v>
      </c>
      <c r="C57" s="23" t="s">
        <v>165</v>
      </c>
      <c r="D57" s="23" t="s">
        <v>55</v>
      </c>
      <c r="E57" s="24" t="s">
        <v>56</v>
      </c>
      <c r="F57" s="25"/>
    </row>
    <row r="58" spans="1:6" ht="34.5" hidden="1" customHeight="1" thickBot="1">
      <c r="B58" s="39" t="s">
        <v>156</v>
      </c>
      <c r="C58" s="33" t="s">
        <v>166</v>
      </c>
      <c r="D58" s="35" t="s">
        <v>54</v>
      </c>
      <c r="E58" s="46"/>
      <c r="F58" s="36" t="s">
        <v>158</v>
      </c>
    </row>
    <row r="59" spans="1:6" ht="13.5" hidden="1" thickTop="1"/>
    <row r="60" spans="1:6" ht="13.5" hidden="1" thickBot="1">
      <c r="A60" s="8" t="s">
        <v>167</v>
      </c>
      <c r="B60" s="9"/>
      <c r="C60" s="9"/>
    </row>
    <row r="61" spans="1:6" ht="25.5" hidden="1" customHeight="1" thickTop="1">
      <c r="B61" s="516" t="s">
        <v>168</v>
      </c>
      <c r="C61" s="517"/>
      <c r="D61" s="18"/>
      <c r="E61" s="18"/>
      <c r="F61" s="21"/>
    </row>
    <row r="62" spans="1:6" ht="25.5" hidden="1" customHeight="1">
      <c r="B62" s="22" t="s">
        <v>169</v>
      </c>
      <c r="C62" s="43" t="s">
        <v>148</v>
      </c>
      <c r="D62" s="23" t="s">
        <v>58</v>
      </c>
      <c r="E62" s="23"/>
      <c r="F62" s="25"/>
    </row>
    <row r="63" spans="1:6" ht="25.5" hidden="1" customHeight="1">
      <c r="B63" s="22" t="s">
        <v>170</v>
      </c>
      <c r="C63" s="23" t="s">
        <v>29</v>
      </c>
      <c r="D63" s="24" t="s">
        <v>59</v>
      </c>
      <c r="E63" s="24"/>
      <c r="F63" s="25" t="s">
        <v>107</v>
      </c>
    </row>
    <row r="64" spans="1:6" ht="25.5" hidden="1" customHeight="1">
      <c r="B64" s="1" t="s">
        <v>36</v>
      </c>
      <c r="C64" s="514"/>
      <c r="D64" s="23"/>
      <c r="E64" s="23"/>
      <c r="F64" s="25"/>
    </row>
    <row r="65" spans="1:6" ht="25.5" hidden="1" customHeight="1">
      <c r="B65" s="28" t="s">
        <v>171</v>
      </c>
      <c r="C65" s="31" t="s">
        <v>29</v>
      </c>
      <c r="D65" s="30" t="s">
        <v>172</v>
      </c>
      <c r="E65" s="30"/>
      <c r="F65" s="47" t="s">
        <v>107</v>
      </c>
    </row>
    <row r="66" spans="1:6" ht="25.5" hidden="1" customHeight="1">
      <c r="B66" s="1" t="s">
        <v>173</v>
      </c>
      <c r="C66" s="514"/>
      <c r="D66" s="23"/>
      <c r="E66" s="23"/>
      <c r="F66" s="25"/>
    </row>
    <row r="67" spans="1:6" ht="49.5" hidden="1" customHeight="1" thickBot="1">
      <c r="B67" s="39" t="s">
        <v>171</v>
      </c>
      <c r="C67" s="33" t="s">
        <v>174</v>
      </c>
      <c r="D67" s="34" t="s">
        <v>175</v>
      </c>
      <c r="E67" s="34" t="s">
        <v>176</v>
      </c>
      <c r="F67" s="48" t="s">
        <v>177</v>
      </c>
    </row>
    <row r="68" spans="1:6" ht="13.5" hidden="1" thickTop="1"/>
    <row r="69" spans="1:6" ht="13.5" hidden="1" thickBot="1">
      <c r="A69" s="8" t="s">
        <v>178</v>
      </c>
      <c r="B69" s="9"/>
      <c r="C69" s="9"/>
    </row>
    <row r="70" spans="1:6" ht="72.75" hidden="1" customHeight="1" thickTop="1" thickBot="1">
      <c r="B70" s="12" t="s">
        <v>179</v>
      </c>
      <c r="C70" s="37" t="s">
        <v>180</v>
      </c>
      <c r="D70" s="13" t="s">
        <v>181</v>
      </c>
      <c r="E70" s="49" t="s">
        <v>182</v>
      </c>
      <c r="F70" s="41" t="s">
        <v>183</v>
      </c>
    </row>
    <row r="71" spans="1:6" ht="13.5" hidden="1" thickTop="1"/>
    <row r="72" spans="1:6" ht="13.5" hidden="1" thickBot="1">
      <c r="A72" s="8" t="s">
        <v>184</v>
      </c>
      <c r="B72" s="9"/>
      <c r="C72" s="9"/>
    </row>
    <row r="73" spans="1:6" ht="48" hidden="1" customHeight="1" thickTop="1">
      <c r="B73" s="38" t="s">
        <v>185</v>
      </c>
      <c r="C73" s="18" t="s">
        <v>186</v>
      </c>
      <c r="D73" s="20" t="s">
        <v>187</v>
      </c>
      <c r="E73" s="50" t="s">
        <v>188</v>
      </c>
      <c r="F73" s="21" t="s">
        <v>189</v>
      </c>
    </row>
    <row r="74" spans="1:6" ht="48" hidden="1" customHeight="1" thickBot="1">
      <c r="B74" s="39" t="s">
        <v>190</v>
      </c>
      <c r="C74" s="33" t="s">
        <v>186</v>
      </c>
      <c r="D74" s="35" t="s">
        <v>191</v>
      </c>
      <c r="E74" s="51" t="s">
        <v>188</v>
      </c>
      <c r="F74" s="36"/>
    </row>
    <row r="75" spans="1:6" ht="13.5" thickTop="1"/>
    <row r="76" spans="1:6" ht="13.5" thickBot="1">
      <c r="A76" s="8" t="s">
        <v>192</v>
      </c>
      <c r="B76" s="9"/>
      <c r="C76" s="9"/>
    </row>
    <row r="77" spans="1:6" ht="36" customHeight="1" thickTop="1" thickBot="1">
      <c r="B77" s="12" t="s">
        <v>193</v>
      </c>
      <c r="C77" s="37" t="s">
        <v>194</v>
      </c>
      <c r="D77" s="13" t="s">
        <v>65</v>
      </c>
      <c r="E77" s="37"/>
      <c r="F77" s="14" t="s">
        <v>195</v>
      </c>
    </row>
    <row r="78" spans="1:6" ht="13.5" thickTop="1"/>
  </sheetData>
  <mergeCells count="10">
    <mergeCell ref="B66:C66"/>
    <mergeCell ref="A1:F1"/>
    <mergeCell ref="B64:C64"/>
    <mergeCell ref="B61:C61"/>
    <mergeCell ref="B48:C48"/>
    <mergeCell ref="B45:C45"/>
    <mergeCell ref="B13:C13"/>
    <mergeCell ref="B9:C9"/>
    <mergeCell ref="B40:C40"/>
    <mergeCell ref="B37:C37"/>
  </mergeCells>
  <phoneticPr fontId="7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66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-0.249977111117893"/>
  </sheetPr>
  <dimension ref="A1:M44"/>
  <sheetViews>
    <sheetView showGridLines="0" view="pageBreakPreview" zoomScaleSheetLayoutView="100" workbookViewId="0">
      <pane xSplit="14" ySplit="1" topLeftCell="O11" activePane="bottomRight" state="frozen"/>
      <selection activeCell="H34" sqref="H34:I34"/>
      <selection pane="topRight" activeCell="H34" sqref="H34:I34"/>
      <selection pane="bottomLeft" activeCell="H34" sqref="H34:I34"/>
      <selection pane="bottomRight" activeCell="C13" sqref="C13:M13"/>
    </sheetView>
  </sheetViews>
  <sheetFormatPr defaultColWidth="9.33203125" defaultRowHeight="15" customHeight="1" outlineLevelRow="1"/>
  <cols>
    <col min="1" max="1" width="2.6640625" style="11" customWidth="1"/>
    <col min="2" max="2" width="13.1640625" style="10" bestFit="1" customWidth="1"/>
    <col min="3" max="3" width="11.83203125" style="10" customWidth="1"/>
    <col min="4" max="4" width="14" style="10" bestFit="1" customWidth="1"/>
    <col min="5" max="5" width="16.83203125" style="10" bestFit="1" customWidth="1"/>
    <col min="6" max="7" width="15.6640625" style="10" bestFit="1" customWidth="1"/>
    <col min="8" max="9" width="17.83203125" style="10" customWidth="1"/>
    <col min="10" max="10" width="19.1640625" style="10" bestFit="1" customWidth="1"/>
    <col min="11" max="11" width="19.1640625" style="10" customWidth="1"/>
    <col min="12" max="13" width="17.83203125" style="10" customWidth="1"/>
    <col min="14" max="14" width="2.5" style="10" customWidth="1"/>
    <col min="15" max="16384" width="9.33203125" style="10"/>
  </cols>
  <sheetData>
    <row r="1" spans="1:13" s="2" customFormat="1" ht="28.5" customHeight="1">
      <c r="A1" s="515" t="s">
        <v>196</v>
      </c>
      <c r="B1" s="515"/>
      <c r="C1" s="515"/>
      <c r="D1" s="515"/>
      <c r="E1" s="515"/>
      <c r="F1" s="515"/>
      <c r="G1" s="515"/>
      <c r="H1" s="515"/>
      <c r="I1" s="515"/>
      <c r="J1" s="515"/>
      <c r="K1" s="515"/>
      <c r="L1" s="515"/>
      <c r="M1" s="515"/>
    </row>
    <row r="3" spans="1:13" ht="15" customHeight="1">
      <c r="F3" s="291"/>
      <c r="G3" s="15"/>
      <c r="H3" s="512" t="s">
        <v>400</v>
      </c>
      <c r="I3" s="276" t="s">
        <v>385</v>
      </c>
      <c r="J3" s="276" t="s">
        <v>486</v>
      </c>
      <c r="K3" s="276" t="s">
        <v>539</v>
      </c>
      <c r="L3" s="276" t="s">
        <v>534</v>
      </c>
      <c r="M3" s="276" t="s">
        <v>504</v>
      </c>
    </row>
    <row r="4" spans="1:13" ht="30" customHeight="1">
      <c r="F4" s="291"/>
      <c r="G4" s="15"/>
      <c r="H4" s="513"/>
      <c r="I4" s="321"/>
      <c r="J4" s="321"/>
      <c r="K4" s="43"/>
      <c r="L4" s="43"/>
      <c r="M4" s="43"/>
    </row>
    <row r="5" spans="1:13" ht="12.75" customHeight="1">
      <c r="F5" s="574"/>
      <c r="G5" s="15"/>
      <c r="H5" s="512" t="s">
        <v>401</v>
      </c>
      <c r="I5" s="276" t="s">
        <v>505</v>
      </c>
      <c r="J5" s="276"/>
      <c r="K5" s="52"/>
      <c r="L5" s="52"/>
      <c r="M5" s="52"/>
    </row>
    <row r="6" spans="1:13" ht="30" customHeight="1">
      <c r="F6" s="574"/>
      <c r="G6" s="15"/>
      <c r="H6" s="513"/>
      <c r="I6" s="321"/>
      <c r="J6" s="321"/>
      <c r="K6" s="43"/>
      <c r="L6" s="43"/>
      <c r="M6" s="43"/>
    </row>
    <row r="7" spans="1:13" ht="3" customHeight="1">
      <c r="F7" s="15"/>
      <c r="G7" s="15"/>
    </row>
    <row r="8" spans="1:13" ht="17.25" customHeight="1" thickBot="1">
      <c r="A8" s="8" t="s">
        <v>197</v>
      </c>
      <c r="B8" s="9"/>
      <c r="C8" s="9"/>
    </row>
    <row r="9" spans="1:13" ht="18" customHeight="1" thickTop="1">
      <c r="B9" s="53" t="s">
        <v>198</v>
      </c>
      <c r="C9" s="570" t="s">
        <v>508</v>
      </c>
      <c r="D9" s="571"/>
      <c r="E9" s="571"/>
      <c r="F9" s="571"/>
      <c r="G9" s="571"/>
      <c r="H9" s="54" t="s">
        <v>199</v>
      </c>
      <c r="I9" s="278" t="s">
        <v>490</v>
      </c>
      <c r="J9" s="54" t="s">
        <v>200</v>
      </c>
      <c r="K9" s="530" t="s">
        <v>482</v>
      </c>
      <c r="L9" s="531"/>
      <c r="M9" s="532"/>
    </row>
    <row r="10" spans="1:13" ht="18" customHeight="1">
      <c r="B10" s="55" t="s">
        <v>201</v>
      </c>
      <c r="C10" s="572" t="s">
        <v>507</v>
      </c>
      <c r="D10" s="573"/>
      <c r="E10" s="573"/>
      <c r="F10" s="573"/>
      <c r="G10" s="573"/>
      <c r="H10" s="56" t="s">
        <v>202</v>
      </c>
      <c r="I10" s="277" t="s">
        <v>473</v>
      </c>
      <c r="J10" s="56" t="s">
        <v>203</v>
      </c>
      <c r="K10" s="578"/>
      <c r="L10" s="579"/>
      <c r="M10" s="580"/>
    </row>
    <row r="11" spans="1:13" ht="18" customHeight="1" thickBot="1">
      <c r="B11" s="57" t="s">
        <v>204</v>
      </c>
      <c r="C11" s="581" t="s">
        <v>497</v>
      </c>
      <c r="D11" s="562"/>
      <c r="E11" s="58" t="s">
        <v>472</v>
      </c>
      <c r="F11" s="554" t="s">
        <v>527</v>
      </c>
      <c r="G11" s="555"/>
      <c r="H11" s="58" t="s">
        <v>205</v>
      </c>
      <c r="I11" s="562" t="s">
        <v>509</v>
      </c>
      <c r="J11" s="562"/>
      <c r="K11" s="562"/>
      <c r="L11" s="562"/>
      <c r="M11" s="563"/>
    </row>
    <row r="12" spans="1:13" ht="82.5" customHeight="1" thickTop="1">
      <c r="B12" s="59" t="s">
        <v>206</v>
      </c>
      <c r="C12" s="575" t="s">
        <v>510</v>
      </c>
      <c r="D12" s="575"/>
      <c r="E12" s="575"/>
      <c r="F12" s="575"/>
      <c r="G12" s="575"/>
      <c r="H12" s="575"/>
      <c r="I12" s="575"/>
      <c r="J12" s="575"/>
      <c r="K12" s="575"/>
      <c r="L12" s="575"/>
      <c r="M12" s="576"/>
    </row>
    <row r="13" spans="1:13" ht="80.25" customHeight="1">
      <c r="B13" s="55" t="s">
        <v>207</v>
      </c>
      <c r="C13" s="567" t="s">
        <v>525</v>
      </c>
      <c r="D13" s="568"/>
      <c r="E13" s="568"/>
      <c r="F13" s="568"/>
      <c r="G13" s="568"/>
      <c r="H13" s="568"/>
      <c r="I13" s="568"/>
      <c r="J13" s="568"/>
      <c r="K13" s="568"/>
      <c r="L13" s="568"/>
      <c r="M13" s="569"/>
    </row>
    <row r="14" spans="1:13" ht="95.25" customHeight="1" thickBot="1">
      <c r="B14" s="57" t="s">
        <v>208</v>
      </c>
      <c r="C14" s="567" t="s">
        <v>533</v>
      </c>
      <c r="D14" s="568"/>
      <c r="E14" s="568"/>
      <c r="F14" s="568"/>
      <c r="G14" s="568"/>
      <c r="H14" s="568"/>
      <c r="I14" s="568"/>
      <c r="J14" s="568"/>
      <c r="K14" s="568"/>
      <c r="L14" s="568"/>
      <c r="M14" s="569"/>
    </row>
    <row r="15" spans="1:13" ht="15" customHeight="1" thickTop="1"/>
    <row r="16" spans="1:13" ht="17.25" customHeight="1" thickBot="1">
      <c r="A16" s="8" t="s">
        <v>209</v>
      </c>
      <c r="B16" s="9"/>
      <c r="C16" s="9"/>
      <c r="D16" s="60" t="s">
        <v>210</v>
      </c>
    </row>
    <row r="17" spans="1:13" ht="16.149999999999999" customHeight="1" thickTop="1" thickBot="1">
      <c r="B17" s="566" t="s">
        <v>211</v>
      </c>
      <c r="C17" s="61" t="s">
        <v>212</v>
      </c>
      <c r="D17" s="62" t="s">
        <v>213</v>
      </c>
      <c r="E17" s="63" t="s">
        <v>214</v>
      </c>
      <c r="F17" s="313" t="s">
        <v>215</v>
      </c>
      <c r="G17" s="63" t="s">
        <v>216</v>
      </c>
      <c r="H17" s="63" t="s">
        <v>217</v>
      </c>
      <c r="I17" s="63" t="s">
        <v>218</v>
      </c>
      <c r="J17" s="63" t="s">
        <v>219</v>
      </c>
      <c r="K17" s="287" t="s">
        <v>387</v>
      </c>
      <c r="L17" s="63" t="s">
        <v>220</v>
      </c>
      <c r="M17" s="64" t="s">
        <v>221</v>
      </c>
    </row>
    <row r="18" spans="1:13" ht="16.149999999999999" customHeight="1" thickTop="1">
      <c r="B18" s="536"/>
      <c r="C18" s="65" t="s">
        <v>222</v>
      </c>
      <c r="D18" s="66">
        <f>인력계획!AG34</f>
        <v>32.25</v>
      </c>
      <c r="E18" s="67"/>
      <c r="F18" s="317">
        <f>인력계획!AK34</f>
        <v>685300</v>
      </c>
      <c r="G18" s="67">
        <f>인력계획!AM34</f>
        <v>392678.5</v>
      </c>
      <c r="H18" s="67">
        <f>수지차!E12</f>
        <v>0</v>
      </c>
      <c r="I18" s="67">
        <f>수지차!E18</f>
        <v>40000</v>
      </c>
      <c r="J18" s="67">
        <f>수지차!E17</f>
        <v>1381.25</v>
      </c>
      <c r="K18" s="67">
        <f>수지차!E28</f>
        <v>0</v>
      </c>
      <c r="L18" s="308">
        <f>IF(F18=0,"0.00%",M18/F18)</f>
        <v>0.3666135269225157</v>
      </c>
      <c r="M18" s="68">
        <f>F18-G18-H18-I18-J18-K18</f>
        <v>251240.25</v>
      </c>
    </row>
    <row r="19" spans="1:13" ht="16.149999999999999" customHeight="1">
      <c r="B19" s="536"/>
      <c r="C19" s="65" t="s">
        <v>223</v>
      </c>
      <c r="D19" s="69">
        <f>인력계획!AG45</f>
        <v>23</v>
      </c>
      <c r="E19" s="70"/>
      <c r="F19" s="318">
        <f>인력계획!AK45</f>
        <v>0</v>
      </c>
      <c r="G19" s="70">
        <f>인력계획!AM45</f>
        <v>117980</v>
      </c>
      <c r="H19" s="70">
        <f>수지차!E15</f>
        <v>0</v>
      </c>
      <c r="I19" s="70"/>
      <c r="J19" s="70"/>
      <c r="K19" s="70"/>
      <c r="L19" s="308" t="str">
        <f>IF(F19=0,"0.00%",M19/F19)</f>
        <v>0.00%</v>
      </c>
      <c r="M19" s="71">
        <f>F19-G19-H19-I19</f>
        <v>-117980</v>
      </c>
    </row>
    <row r="20" spans="1:13" ht="16.149999999999999" customHeight="1" thickBot="1">
      <c r="B20" s="536"/>
      <c r="C20" s="65" t="s">
        <v>224</v>
      </c>
      <c r="D20" s="72">
        <f>SUM(D18:D19)</f>
        <v>55.25</v>
      </c>
      <c r="E20" s="73"/>
      <c r="F20" s="316">
        <f t="shared" ref="F20:K20" si="0">SUM(F18:F19)</f>
        <v>685300</v>
      </c>
      <c r="G20" s="73">
        <f t="shared" si="0"/>
        <v>510658.5</v>
      </c>
      <c r="H20" s="73">
        <f t="shared" si="0"/>
        <v>0</v>
      </c>
      <c r="I20" s="73">
        <f t="shared" si="0"/>
        <v>40000</v>
      </c>
      <c r="J20" s="73">
        <f t="shared" si="0"/>
        <v>1381.25</v>
      </c>
      <c r="K20" s="73">
        <f t="shared" si="0"/>
        <v>0</v>
      </c>
      <c r="L20" s="74">
        <f>M20/F20</f>
        <v>0.19445534802276376</v>
      </c>
      <c r="M20" s="75">
        <f>SUM(M18:M19)</f>
        <v>133260.25</v>
      </c>
    </row>
    <row r="21" spans="1:13" ht="16.149999999999999" customHeight="1" thickTop="1" thickBot="1">
      <c r="B21" s="536" t="s">
        <v>225</v>
      </c>
      <c r="C21" s="65" t="s">
        <v>212</v>
      </c>
      <c r="D21" s="62"/>
      <c r="E21" s="63" t="s">
        <v>214</v>
      </c>
      <c r="F21" s="313" t="s">
        <v>215</v>
      </c>
      <c r="G21" s="63" t="s">
        <v>226</v>
      </c>
      <c r="H21" s="527"/>
      <c r="I21" s="528"/>
      <c r="J21" s="528"/>
      <c r="K21" s="288"/>
      <c r="L21" s="63" t="s">
        <v>220</v>
      </c>
      <c r="M21" s="64" t="s">
        <v>221</v>
      </c>
    </row>
    <row r="22" spans="1:13" ht="16.149999999999999" customHeight="1" thickTop="1">
      <c r="B22" s="536"/>
      <c r="C22" s="65" t="s">
        <v>222</v>
      </c>
      <c r="D22" s="564"/>
      <c r="E22" s="67"/>
      <c r="F22" s="317">
        <f>제품계획!H17</f>
        <v>0</v>
      </c>
      <c r="G22" s="67">
        <f>제품계획!J17</f>
        <v>0</v>
      </c>
      <c r="H22" s="582"/>
      <c r="I22" s="583"/>
      <c r="J22" s="583"/>
      <c r="K22" s="289"/>
      <c r="L22" s="308" t="str">
        <f>IF(F22=0,"0.00%",M22/F22)</f>
        <v>0.00%</v>
      </c>
      <c r="M22" s="68">
        <f>F22-G22</f>
        <v>0</v>
      </c>
    </row>
    <row r="23" spans="1:13" ht="16.149999999999999" customHeight="1">
      <c r="B23" s="536"/>
      <c r="C23" s="65" t="s">
        <v>223</v>
      </c>
      <c r="D23" s="565"/>
      <c r="E23" s="70"/>
      <c r="F23" s="317">
        <f>제품계획!H23</f>
        <v>0</v>
      </c>
      <c r="G23" s="67">
        <f>제품계획!J23</f>
        <v>4000</v>
      </c>
      <c r="H23" s="584"/>
      <c r="I23" s="585"/>
      <c r="J23" s="585"/>
      <c r="K23" s="290"/>
      <c r="L23" s="308" t="str">
        <f>IF(F23=0,"0.00%",M23/F23)</f>
        <v>0.00%</v>
      </c>
      <c r="M23" s="71">
        <f>F23-G23</f>
        <v>-4000</v>
      </c>
    </row>
    <row r="24" spans="1:13" ht="16.149999999999999" customHeight="1" thickBot="1">
      <c r="B24" s="577"/>
      <c r="C24" s="76" t="s">
        <v>224</v>
      </c>
      <c r="D24" s="77"/>
      <c r="E24" s="73"/>
      <c r="F24" s="316">
        <f>SUM(F22:F23)</f>
        <v>0</v>
      </c>
      <c r="G24" s="73">
        <f>SUM(G22:G23)</f>
        <v>4000</v>
      </c>
      <c r="H24" s="589"/>
      <c r="I24" s="590"/>
      <c r="J24" s="590"/>
      <c r="K24" s="591"/>
      <c r="L24" s="74">
        <v>0</v>
      </c>
      <c r="M24" s="75">
        <f>SUM(M22:M23)</f>
        <v>-4000</v>
      </c>
    </row>
    <row r="25" spans="1:13" ht="16.149999999999999" customHeight="1" thickTop="1" thickBot="1">
      <c r="B25" s="547" t="s">
        <v>227</v>
      </c>
      <c r="C25" s="529"/>
      <c r="D25" s="78"/>
      <c r="E25" s="79"/>
      <c r="F25" s="315">
        <f>SUM(F20,F24)</f>
        <v>685300</v>
      </c>
      <c r="G25" s="79">
        <f>SUM(G20,G24)</f>
        <v>514658.5</v>
      </c>
      <c r="H25" s="559"/>
      <c r="I25" s="560"/>
      <c r="J25" s="560"/>
      <c r="K25" s="561"/>
      <c r="L25" s="80">
        <f>M25/F25</f>
        <v>0.18861848825331973</v>
      </c>
      <c r="M25" s="81">
        <f>SUM(M20,M24)</f>
        <v>129260.25</v>
      </c>
    </row>
    <row r="26" spans="1:13" ht="15" customHeight="1" thickTop="1">
      <c r="B26" s="82"/>
      <c r="C26" s="82"/>
      <c r="D26" s="15"/>
      <c r="E26" s="15"/>
      <c r="F26" s="82"/>
      <c r="G26" s="15"/>
      <c r="H26" s="15"/>
      <c r="I26" s="15"/>
      <c r="J26" s="15"/>
      <c r="K26" s="15"/>
      <c r="L26" s="15"/>
      <c r="M26" s="15"/>
    </row>
    <row r="27" spans="1:13" ht="17.25" customHeight="1" thickBot="1">
      <c r="A27" s="8" t="s">
        <v>228</v>
      </c>
      <c r="B27" s="9"/>
      <c r="C27" s="9"/>
    </row>
    <row r="28" spans="1:13" ht="18" customHeight="1" thickTop="1" thickBot="1">
      <c r="B28" s="557" t="s">
        <v>212</v>
      </c>
      <c r="C28" s="558"/>
      <c r="D28" s="556" t="s">
        <v>229</v>
      </c>
      <c r="E28" s="549"/>
      <c r="F28" s="549"/>
      <c r="G28" s="527" t="s">
        <v>511</v>
      </c>
      <c r="H28" s="528"/>
      <c r="I28" s="528"/>
      <c r="J28" s="556"/>
      <c r="K28" s="527" t="s">
        <v>512</v>
      </c>
      <c r="L28" s="528"/>
      <c r="M28" s="529"/>
    </row>
    <row r="29" spans="1:13" ht="39.950000000000003" customHeight="1" thickTop="1">
      <c r="B29" s="542" t="s">
        <v>211</v>
      </c>
      <c r="C29" s="83" t="s">
        <v>230</v>
      </c>
      <c r="D29" s="541">
        <v>0.9</v>
      </c>
      <c r="E29" s="539"/>
      <c r="F29" s="539"/>
      <c r="G29" s="551"/>
      <c r="H29" s="539"/>
      <c r="I29" s="551"/>
      <c r="J29" s="539"/>
      <c r="K29" s="586">
        <v>0.1</v>
      </c>
      <c r="L29" s="587"/>
      <c r="M29" s="588"/>
    </row>
    <row r="30" spans="1:13" ht="39.950000000000003" customHeight="1">
      <c r="B30" s="536"/>
      <c r="C30" s="65" t="s">
        <v>231</v>
      </c>
      <c r="D30" s="552" t="s">
        <v>531</v>
      </c>
      <c r="E30" s="553"/>
      <c r="F30" s="553"/>
      <c r="G30" s="548"/>
      <c r="H30" s="548"/>
      <c r="I30" s="548"/>
      <c r="J30" s="553"/>
      <c r="K30" s="597" t="s">
        <v>532</v>
      </c>
      <c r="L30" s="598"/>
      <c r="M30" s="599"/>
    </row>
    <row r="31" spans="1:13" ht="52.5" customHeight="1">
      <c r="B31" s="536" t="s">
        <v>225</v>
      </c>
      <c r="C31" s="65" t="s">
        <v>230</v>
      </c>
      <c r="D31" s="538"/>
      <c r="E31" s="539"/>
      <c r="F31" s="539"/>
      <c r="G31" s="539"/>
      <c r="H31" s="539"/>
      <c r="I31" s="539"/>
      <c r="J31" s="539"/>
      <c r="K31" s="600"/>
      <c r="L31" s="601"/>
      <c r="M31" s="602"/>
    </row>
    <row r="32" spans="1:13" ht="39.950000000000003" customHeight="1" thickBot="1">
      <c r="B32" s="537"/>
      <c r="C32" s="84" t="s">
        <v>231</v>
      </c>
      <c r="D32" s="550"/>
      <c r="E32" s="534"/>
      <c r="F32" s="534"/>
      <c r="G32" s="534"/>
      <c r="H32" s="534"/>
      <c r="I32" s="534"/>
      <c r="J32" s="534"/>
      <c r="K32" s="524"/>
      <c r="L32" s="525"/>
      <c r="M32" s="526"/>
    </row>
    <row r="33" spans="1:13" ht="18" customHeight="1" thickTop="1">
      <c r="B33" s="82"/>
      <c r="C33" s="82"/>
      <c r="D33" s="15"/>
      <c r="E33" s="15"/>
      <c r="F33" s="82"/>
      <c r="G33" s="15"/>
      <c r="H33" s="15"/>
      <c r="I33" s="15"/>
      <c r="J33" s="15"/>
      <c r="K33" s="15"/>
      <c r="L33" s="15"/>
      <c r="M33" s="15"/>
    </row>
    <row r="34" spans="1:13" ht="18" customHeight="1" thickBot="1">
      <c r="A34" s="8" t="s">
        <v>232</v>
      </c>
      <c r="B34" s="9"/>
      <c r="C34" s="9"/>
    </row>
    <row r="35" spans="1:13" ht="18" customHeight="1" thickTop="1" thickBot="1">
      <c r="B35" s="547" t="s">
        <v>233</v>
      </c>
      <c r="C35" s="528"/>
      <c r="D35" s="549" t="s">
        <v>234</v>
      </c>
      <c r="E35" s="549"/>
      <c r="F35" s="549"/>
      <c r="G35" s="527" t="s">
        <v>235</v>
      </c>
      <c r="H35" s="556"/>
      <c r="I35" s="549" t="s">
        <v>236</v>
      </c>
      <c r="J35" s="549"/>
      <c r="K35" s="527" t="s">
        <v>237</v>
      </c>
      <c r="L35" s="528"/>
      <c r="M35" s="529"/>
    </row>
    <row r="36" spans="1:13" ht="18" customHeight="1" thickTop="1">
      <c r="B36" s="543"/>
      <c r="C36" s="544"/>
      <c r="D36" s="540"/>
      <c r="E36" s="540"/>
      <c r="F36" s="540"/>
      <c r="G36" s="545"/>
      <c r="H36" s="546"/>
      <c r="I36" s="540"/>
      <c r="J36" s="540"/>
      <c r="K36" s="530"/>
      <c r="L36" s="531"/>
      <c r="M36" s="532"/>
    </row>
    <row r="37" spans="1:13" ht="18" customHeight="1" thickBot="1">
      <c r="B37" s="533"/>
      <c r="C37" s="525"/>
      <c r="D37" s="534"/>
      <c r="E37" s="534"/>
      <c r="F37" s="534"/>
      <c r="G37" s="524"/>
      <c r="H37" s="535"/>
      <c r="I37" s="534"/>
      <c r="J37" s="534"/>
      <c r="K37" s="524"/>
      <c r="L37" s="525"/>
      <c r="M37" s="526"/>
    </row>
    <row r="38" spans="1:13" ht="18" customHeight="1" thickTop="1"/>
    <row r="39" spans="1:13" ht="18" hidden="1" customHeight="1" outlineLevel="1" thickBot="1">
      <c r="A39" s="8" t="s">
        <v>238</v>
      </c>
      <c r="B39" s="9"/>
      <c r="C39" s="9"/>
    </row>
    <row r="40" spans="1:13" ht="18" hidden="1" customHeight="1" outlineLevel="1" thickTop="1" thickBot="1">
      <c r="B40" s="85" t="s">
        <v>212</v>
      </c>
      <c r="C40" s="86" t="s">
        <v>239</v>
      </c>
      <c r="D40" s="63" t="s">
        <v>240</v>
      </c>
      <c r="E40" s="63" t="s">
        <v>241</v>
      </c>
      <c r="F40" s="314" t="s">
        <v>242</v>
      </c>
      <c r="G40" s="63" t="s">
        <v>243</v>
      </c>
      <c r="H40" s="63" t="s">
        <v>244</v>
      </c>
      <c r="I40" s="63" t="s">
        <v>245</v>
      </c>
      <c r="J40" s="549" t="s">
        <v>246</v>
      </c>
      <c r="K40" s="549"/>
      <c r="L40" s="549"/>
      <c r="M40" s="558"/>
    </row>
    <row r="41" spans="1:13" ht="18" hidden="1" customHeight="1" outlineLevel="1" thickTop="1">
      <c r="B41" s="59"/>
      <c r="C41" s="87"/>
      <c r="D41" s="88"/>
      <c r="E41" s="88"/>
      <c r="F41" s="320"/>
      <c r="G41" s="88"/>
      <c r="H41" s="89"/>
      <c r="I41" s="89"/>
      <c r="J41" s="540"/>
      <c r="K41" s="540"/>
      <c r="L41" s="540"/>
      <c r="M41" s="596"/>
    </row>
    <row r="42" spans="1:13" ht="18" hidden="1" customHeight="1" outlineLevel="1">
      <c r="B42" s="90"/>
      <c r="C42" s="91"/>
      <c r="D42" s="92"/>
      <c r="E42" s="92"/>
      <c r="F42" s="93"/>
      <c r="G42" s="92"/>
      <c r="H42" s="94"/>
      <c r="I42" s="94"/>
      <c r="J42" s="593"/>
      <c r="K42" s="594"/>
      <c r="L42" s="594"/>
      <c r="M42" s="595"/>
    </row>
    <row r="43" spans="1:13" ht="18" hidden="1" customHeight="1" outlineLevel="1" thickBot="1">
      <c r="B43" s="57"/>
      <c r="C43" s="95"/>
      <c r="D43" s="96"/>
      <c r="E43" s="96"/>
      <c r="F43" s="319"/>
      <c r="G43" s="96"/>
      <c r="H43" s="97"/>
      <c r="I43" s="97"/>
      <c r="J43" s="534"/>
      <c r="K43" s="534"/>
      <c r="L43" s="534"/>
      <c r="M43" s="592"/>
    </row>
    <row r="44" spans="1:13" ht="15" customHeight="1" collapsed="1"/>
  </sheetData>
  <mergeCells count="61">
    <mergeCell ref="I29:J29"/>
    <mergeCell ref="K29:M29"/>
    <mergeCell ref="H24:K24"/>
    <mergeCell ref="J43:M43"/>
    <mergeCell ref="J40:M40"/>
    <mergeCell ref="G32:H32"/>
    <mergeCell ref="I32:J32"/>
    <mergeCell ref="J42:M42"/>
    <mergeCell ref="J41:M41"/>
    <mergeCell ref="K37:M37"/>
    <mergeCell ref="G35:H35"/>
    <mergeCell ref="I35:J35"/>
    <mergeCell ref="K28:M28"/>
    <mergeCell ref="I30:J30"/>
    <mergeCell ref="K30:M30"/>
    <mergeCell ref="K31:M31"/>
    <mergeCell ref="A1:M1"/>
    <mergeCell ref="I11:M11"/>
    <mergeCell ref="D22:D23"/>
    <mergeCell ref="B17:B20"/>
    <mergeCell ref="C13:M13"/>
    <mergeCell ref="C14:M14"/>
    <mergeCell ref="C9:G9"/>
    <mergeCell ref="C10:G10"/>
    <mergeCell ref="F5:F6"/>
    <mergeCell ref="C12:M12"/>
    <mergeCell ref="B21:B24"/>
    <mergeCell ref="H21:J21"/>
    <mergeCell ref="K9:M9"/>
    <mergeCell ref="K10:M10"/>
    <mergeCell ref="C11:D11"/>
    <mergeCell ref="H22:J23"/>
    <mergeCell ref="F11:G11"/>
    <mergeCell ref="B25:C25"/>
    <mergeCell ref="D28:F28"/>
    <mergeCell ref="B28:C28"/>
    <mergeCell ref="G28:J28"/>
    <mergeCell ref="H25:K25"/>
    <mergeCell ref="D29:F29"/>
    <mergeCell ref="B29:B30"/>
    <mergeCell ref="B36:C36"/>
    <mergeCell ref="D36:F36"/>
    <mergeCell ref="G36:H36"/>
    <mergeCell ref="B35:C35"/>
    <mergeCell ref="G30:H30"/>
    <mergeCell ref="D35:F35"/>
    <mergeCell ref="D32:F32"/>
    <mergeCell ref="G29:H29"/>
    <mergeCell ref="D30:F30"/>
    <mergeCell ref="K32:M32"/>
    <mergeCell ref="K35:M35"/>
    <mergeCell ref="K36:M36"/>
    <mergeCell ref="B37:C37"/>
    <mergeCell ref="D37:F37"/>
    <mergeCell ref="G37:H37"/>
    <mergeCell ref="I37:J37"/>
    <mergeCell ref="B31:B32"/>
    <mergeCell ref="D31:F31"/>
    <mergeCell ref="I36:J36"/>
    <mergeCell ref="G31:H31"/>
    <mergeCell ref="I31:J31"/>
  </mergeCells>
  <phoneticPr fontId="7" type="noConversion"/>
  <dataValidations count="2">
    <dataValidation type="list" allowBlank="1" showInputMessage="1" showErrorMessage="1" sqref="I9">
      <formula1>"주계약, 도급계약"</formula1>
    </dataValidation>
    <dataValidation type="list" allowBlank="1" showInputMessage="1" showErrorMessage="1" sqref="I10">
      <formula1>"ISP, 컨설팅, 컨설팅+SI, SI, SM, 기타"</formula1>
    </dataValidation>
  </dataValidations>
  <printOptions horizontalCentered="1"/>
  <pageMargins left="0.39370078740157483" right="0.39370078740157483" top="0.39370078740157483" bottom="0.39370078740157483" header="0.39370078740157483" footer="0.39370078740157483"/>
  <pageSetup paperSize="9" scale="68" fitToWidth="0" fitToHeight="0" orientation="landscape" r:id="rId1"/>
  <ignoredErrors>
    <ignoredError sqref="L20 L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-0.249977111117893"/>
    <pageSetUpPr fitToPage="1"/>
  </sheetPr>
  <dimension ref="A1:T41"/>
  <sheetViews>
    <sheetView showGridLines="0" view="pageBreakPreview" zoomScale="90" zoomScaleNormal="100" zoomScaleSheetLayoutView="90" workbookViewId="0">
      <pane ySplit="4" topLeftCell="A5" activePane="bottomLeft" state="frozen"/>
      <selection pane="bottomLeft" activeCell="D20" sqref="D20"/>
    </sheetView>
  </sheetViews>
  <sheetFormatPr defaultColWidth="9.33203125" defaultRowHeight="12.75"/>
  <cols>
    <col min="1" max="1" width="2.33203125" style="10" customWidth="1"/>
    <col min="2" max="2" width="7.83203125" style="10" customWidth="1"/>
    <col min="3" max="3" width="18.6640625" style="10" bestFit="1" customWidth="1"/>
    <col min="4" max="4" width="49.6640625" style="10" customWidth="1"/>
    <col min="5" max="5" width="6.33203125" style="208" bestFit="1" customWidth="1"/>
    <col min="6" max="6" width="17.1640625" style="209" customWidth="1"/>
    <col min="7" max="7" width="20.83203125" style="209" customWidth="1"/>
    <col min="8" max="8" width="16.83203125" style="10" bestFit="1" customWidth="1"/>
    <col min="9" max="9" width="14" style="210" customWidth="1"/>
    <col min="10" max="10" width="12.33203125" style="10" customWidth="1"/>
    <col min="11" max="11" width="12.33203125" style="10" bestFit="1" customWidth="1"/>
    <col min="12" max="12" width="11.33203125" style="210" bestFit="1" customWidth="1"/>
    <col min="13" max="13" width="8" style="211" bestFit="1" customWidth="1"/>
    <col min="14" max="14" width="10" style="10" bestFit="1" customWidth="1"/>
    <col min="15" max="15" width="14.5" style="10" bestFit="1" customWidth="1"/>
    <col min="16" max="16" width="12.33203125" style="10" bestFit="1" customWidth="1"/>
    <col min="17" max="17" width="11.33203125" style="210" bestFit="1" customWidth="1"/>
    <col min="18" max="19" width="9.33203125" style="10"/>
    <col min="20" max="20" width="20.1640625" style="10" bestFit="1" customWidth="1"/>
    <col min="21" max="16384" width="9.33203125" style="10"/>
  </cols>
  <sheetData>
    <row r="1" spans="1:18" s="173" customFormat="1" ht="18">
      <c r="A1" s="608" t="s">
        <v>343</v>
      </c>
      <c r="B1" s="608"/>
      <c r="C1" s="608"/>
      <c r="D1" s="608"/>
      <c r="E1" s="608"/>
      <c r="F1" s="207"/>
      <c r="G1" s="207"/>
      <c r="H1" s="178"/>
      <c r="M1" s="608" t="s">
        <v>344</v>
      </c>
      <c r="N1" s="608"/>
      <c r="O1" s="608"/>
      <c r="P1" s="608"/>
      <c r="Q1" s="608"/>
      <c r="R1" s="176"/>
    </row>
    <row r="2" spans="1:18" ht="13.5" thickBot="1">
      <c r="J2" s="616" t="s">
        <v>345</v>
      </c>
      <c r="K2" s="616"/>
      <c r="L2" s="616"/>
    </row>
    <row r="3" spans="1:18" ht="14.25" customHeight="1">
      <c r="B3" s="617" t="s">
        <v>212</v>
      </c>
      <c r="C3" s="615" t="s">
        <v>233</v>
      </c>
      <c r="D3" s="615" t="s">
        <v>346</v>
      </c>
      <c r="E3" s="615" t="s">
        <v>347</v>
      </c>
      <c r="F3" s="615"/>
      <c r="G3" s="615"/>
      <c r="H3" s="615"/>
      <c r="I3" s="615"/>
      <c r="J3" s="615" t="s">
        <v>348</v>
      </c>
      <c r="K3" s="615"/>
      <c r="L3" s="615"/>
      <c r="M3" s="613" t="s">
        <v>349</v>
      </c>
      <c r="N3" s="613"/>
      <c r="O3" s="613"/>
      <c r="P3" s="613"/>
      <c r="Q3" s="614"/>
    </row>
    <row r="4" spans="1:18">
      <c r="B4" s="618"/>
      <c r="C4" s="619"/>
      <c r="D4" s="619"/>
      <c r="E4" s="251" t="s">
        <v>350</v>
      </c>
      <c r="F4" s="252" t="s">
        <v>351</v>
      </c>
      <c r="G4" s="252" t="s">
        <v>214</v>
      </c>
      <c r="H4" s="251" t="s">
        <v>215</v>
      </c>
      <c r="I4" s="253" t="s">
        <v>352</v>
      </c>
      <c r="J4" s="251" t="s">
        <v>226</v>
      </c>
      <c r="K4" s="251" t="s">
        <v>353</v>
      </c>
      <c r="L4" s="253" t="s">
        <v>354</v>
      </c>
      <c r="M4" s="254" t="s">
        <v>355</v>
      </c>
      <c r="N4" s="255" t="s">
        <v>356</v>
      </c>
      <c r="O4" s="256" t="s">
        <v>226</v>
      </c>
      <c r="P4" s="256" t="s">
        <v>353</v>
      </c>
      <c r="Q4" s="257" t="s">
        <v>354</v>
      </c>
    </row>
    <row r="5" spans="1:18" ht="17.45" customHeight="1">
      <c r="B5" s="609" t="s">
        <v>487</v>
      </c>
      <c r="C5" s="300"/>
      <c r="D5" s="446"/>
      <c r="E5" s="447"/>
      <c r="F5" s="448"/>
      <c r="G5" s="292"/>
      <c r="H5" s="448"/>
      <c r="I5" s="293"/>
      <c r="J5" s="450"/>
      <c r="K5" s="451"/>
      <c r="L5" s="449"/>
      <c r="M5" s="452"/>
      <c r="N5" s="453"/>
      <c r="O5" s="454"/>
      <c r="P5" s="455"/>
      <c r="Q5" s="296"/>
    </row>
    <row r="6" spans="1:18" ht="17.45" customHeight="1">
      <c r="B6" s="609"/>
      <c r="C6" s="300"/>
      <c r="D6" s="446"/>
      <c r="E6" s="447"/>
      <c r="F6" s="448"/>
      <c r="G6" s="292"/>
      <c r="H6" s="448"/>
      <c r="I6" s="293"/>
      <c r="J6" s="450"/>
      <c r="K6" s="451"/>
      <c r="L6" s="449"/>
      <c r="M6" s="452"/>
      <c r="N6" s="453"/>
      <c r="O6" s="454"/>
      <c r="P6" s="455"/>
      <c r="Q6" s="296"/>
    </row>
    <row r="7" spans="1:18" ht="17.45" customHeight="1">
      <c r="B7" s="609"/>
      <c r="C7" s="300"/>
      <c r="D7" s="446"/>
      <c r="E7" s="447"/>
      <c r="F7" s="448"/>
      <c r="G7" s="292"/>
      <c r="H7" s="298"/>
      <c r="I7" s="293"/>
      <c r="J7" s="450"/>
      <c r="K7" s="451"/>
      <c r="L7" s="449"/>
      <c r="M7" s="452"/>
      <c r="N7" s="453"/>
      <c r="O7" s="454"/>
      <c r="P7" s="455"/>
      <c r="Q7" s="296"/>
    </row>
    <row r="8" spans="1:18" ht="17.45" customHeight="1">
      <c r="B8" s="609"/>
      <c r="C8" s="300"/>
      <c r="D8" s="446"/>
      <c r="E8" s="447"/>
      <c r="F8" s="448"/>
      <c r="G8" s="292"/>
      <c r="H8" s="298"/>
      <c r="I8" s="293"/>
      <c r="J8" s="450"/>
      <c r="K8" s="451"/>
      <c r="L8" s="449"/>
      <c r="M8" s="452"/>
      <c r="N8" s="453"/>
      <c r="O8" s="454"/>
      <c r="P8" s="455"/>
      <c r="Q8" s="296"/>
    </row>
    <row r="9" spans="1:18" ht="17.45" customHeight="1">
      <c r="B9" s="609"/>
      <c r="C9" s="300"/>
      <c r="D9" s="446"/>
      <c r="E9" s="447"/>
      <c r="F9" s="448"/>
      <c r="G9" s="292"/>
      <c r="H9" s="448"/>
      <c r="I9" s="293"/>
      <c r="J9" s="450"/>
      <c r="K9" s="451"/>
      <c r="L9" s="449"/>
      <c r="M9" s="452"/>
      <c r="N9" s="453"/>
      <c r="O9" s="454"/>
      <c r="P9" s="455"/>
      <c r="Q9" s="296"/>
    </row>
    <row r="10" spans="1:18" ht="17.45" customHeight="1">
      <c r="B10" s="609"/>
      <c r="C10" s="300"/>
      <c r="D10" s="446"/>
      <c r="E10" s="447"/>
      <c r="F10" s="448"/>
      <c r="G10" s="292"/>
      <c r="H10" s="298"/>
      <c r="I10" s="293"/>
      <c r="J10" s="450"/>
      <c r="K10" s="451"/>
      <c r="L10" s="449"/>
      <c r="M10" s="452"/>
      <c r="N10" s="453"/>
      <c r="O10" s="454"/>
      <c r="P10" s="455"/>
      <c r="Q10" s="296"/>
    </row>
    <row r="11" spans="1:18" ht="17.45" customHeight="1">
      <c r="B11" s="609"/>
      <c r="C11" s="300"/>
      <c r="D11" s="446"/>
      <c r="E11" s="447"/>
      <c r="F11" s="448"/>
      <c r="G11" s="292"/>
      <c r="H11" s="298"/>
      <c r="I11" s="293"/>
      <c r="J11" s="450"/>
      <c r="K11" s="451"/>
      <c r="L11" s="449"/>
      <c r="M11" s="452"/>
      <c r="N11" s="453"/>
      <c r="O11" s="454"/>
      <c r="P11" s="455"/>
      <c r="Q11" s="296"/>
    </row>
    <row r="12" spans="1:18" ht="17.45" customHeight="1">
      <c r="B12" s="609"/>
      <c r="C12" s="300"/>
      <c r="D12" s="446"/>
      <c r="E12" s="447"/>
      <c r="F12" s="448"/>
      <c r="G12" s="292"/>
      <c r="H12" s="448"/>
      <c r="I12" s="293"/>
      <c r="J12" s="450"/>
      <c r="K12" s="451"/>
      <c r="L12" s="449"/>
      <c r="M12" s="452"/>
      <c r="N12" s="453"/>
      <c r="O12" s="454"/>
      <c r="P12" s="455"/>
      <c r="Q12" s="296"/>
    </row>
    <row r="13" spans="1:18" ht="17.45" customHeight="1">
      <c r="B13" s="609"/>
      <c r="C13" s="300"/>
      <c r="D13" s="446"/>
      <c r="E13" s="447"/>
      <c r="F13" s="448"/>
      <c r="G13" s="292"/>
      <c r="H13" s="298"/>
      <c r="I13" s="293"/>
      <c r="J13" s="450"/>
      <c r="K13" s="451"/>
      <c r="L13" s="449"/>
      <c r="M13" s="452"/>
      <c r="N13" s="453"/>
      <c r="O13" s="454"/>
      <c r="P13" s="455"/>
      <c r="Q13" s="296"/>
    </row>
    <row r="14" spans="1:18" ht="17.45" customHeight="1">
      <c r="B14" s="609"/>
      <c r="C14" s="300"/>
      <c r="D14" s="446"/>
      <c r="E14" s="447"/>
      <c r="F14" s="448"/>
      <c r="G14" s="292"/>
      <c r="H14" s="298"/>
      <c r="I14" s="293"/>
      <c r="J14" s="450"/>
      <c r="K14" s="451"/>
      <c r="L14" s="449"/>
      <c r="M14" s="452"/>
      <c r="N14" s="453"/>
      <c r="O14" s="454"/>
      <c r="P14" s="455"/>
      <c r="Q14" s="296"/>
    </row>
    <row r="15" spans="1:18" ht="17.45" customHeight="1">
      <c r="B15" s="609"/>
      <c r="C15" s="300"/>
      <c r="D15" s="446"/>
      <c r="E15" s="447"/>
      <c r="F15" s="448"/>
      <c r="G15" s="292"/>
      <c r="H15" s="298"/>
      <c r="I15" s="293"/>
      <c r="J15" s="450"/>
      <c r="K15" s="451"/>
      <c r="L15" s="449"/>
      <c r="M15" s="452"/>
      <c r="N15" s="453"/>
      <c r="O15" s="454"/>
      <c r="P15" s="455"/>
      <c r="Q15" s="296"/>
    </row>
    <row r="16" spans="1:18" ht="17.45" customHeight="1">
      <c r="B16" s="609"/>
      <c r="C16" s="300"/>
      <c r="D16" s="446"/>
      <c r="E16" s="447"/>
      <c r="F16" s="448"/>
      <c r="G16" s="292"/>
      <c r="H16" s="448"/>
      <c r="I16" s="293"/>
      <c r="J16" s="450"/>
      <c r="K16" s="451"/>
      <c r="L16" s="449"/>
      <c r="M16" s="452"/>
      <c r="N16" s="453"/>
      <c r="O16" s="454"/>
      <c r="P16" s="455"/>
      <c r="Q16" s="296"/>
    </row>
    <row r="17" spans="2:20" ht="18" customHeight="1">
      <c r="B17" s="610"/>
      <c r="C17" s="611" t="s">
        <v>224</v>
      </c>
      <c r="D17" s="611"/>
      <c r="E17" s="258"/>
      <c r="F17" s="259">
        <f>IF(E17&gt;0,G17/E17,0)</f>
        <v>0</v>
      </c>
      <c r="G17" s="259">
        <f>SUM(G5:G16)</f>
        <v>0</v>
      </c>
      <c r="H17" s="259">
        <f>SUM(H5:H16)</f>
        <v>0</v>
      </c>
      <c r="I17" s="260" t="str">
        <f t="shared" ref="I17" si="0">IFERROR((G17-H17)/G17,"")</f>
        <v/>
      </c>
      <c r="J17" s="259">
        <f>SUM(J5:J16)</f>
        <v>0</v>
      </c>
      <c r="K17" s="259">
        <f>SUM(K5:K16)</f>
        <v>0</v>
      </c>
      <c r="L17" s="260" t="e">
        <f>K17/$H17</f>
        <v>#DIV/0!</v>
      </c>
      <c r="M17" s="261"/>
      <c r="N17" s="262"/>
      <c r="O17" s="259">
        <f>SUM(O5:O16)</f>
        <v>0</v>
      </c>
      <c r="P17" s="259">
        <f>SUM(P5:P16)</f>
        <v>0</v>
      </c>
      <c r="Q17" s="263" t="e">
        <f>P17/$H17</f>
        <v>#DIV/0!</v>
      </c>
    </row>
    <row r="18" spans="2:20" ht="17.25" customHeight="1">
      <c r="B18" s="609" t="s">
        <v>392</v>
      </c>
      <c r="C18" s="483" t="s">
        <v>522</v>
      </c>
      <c r="D18" s="504" t="s">
        <v>535</v>
      </c>
      <c r="E18" s="300"/>
      <c r="F18" s="298"/>
      <c r="G18" s="292"/>
      <c r="H18" s="298"/>
      <c r="I18" s="293"/>
      <c r="J18" s="298">
        <v>4000</v>
      </c>
      <c r="K18" s="294"/>
      <c r="L18" s="293"/>
      <c r="M18" s="301"/>
      <c r="N18" s="302"/>
      <c r="O18" s="297"/>
      <c r="P18" s="295"/>
      <c r="Q18" s="296"/>
      <c r="S18" s="309"/>
      <c r="T18" s="304"/>
    </row>
    <row r="19" spans="2:20" ht="17.45" customHeight="1">
      <c r="B19" s="612"/>
      <c r="C19" s="300"/>
      <c r="D19" s="303"/>
      <c r="E19" s="300"/>
      <c r="F19" s="298"/>
      <c r="G19" s="292"/>
      <c r="H19" s="298"/>
      <c r="I19" s="293"/>
      <c r="J19" s="298"/>
      <c r="K19" s="294"/>
      <c r="L19" s="293"/>
      <c r="M19" s="301"/>
      <c r="N19" s="302"/>
      <c r="O19" s="297"/>
      <c r="P19" s="295"/>
      <c r="Q19" s="296"/>
      <c r="S19" s="310"/>
    </row>
    <row r="20" spans="2:20" ht="17.45" customHeight="1">
      <c r="B20" s="612"/>
      <c r="C20" s="483"/>
      <c r="D20" s="484"/>
      <c r="E20" s="483"/>
      <c r="F20" s="485"/>
      <c r="G20" s="292"/>
      <c r="H20" s="485"/>
      <c r="I20" s="293"/>
      <c r="J20" s="485"/>
      <c r="K20" s="294"/>
      <c r="L20" s="486"/>
      <c r="M20" s="487"/>
      <c r="N20" s="488"/>
      <c r="O20" s="489"/>
      <c r="P20" s="490"/>
      <c r="Q20" s="296"/>
      <c r="S20" s="310"/>
    </row>
    <row r="21" spans="2:20" ht="17.45" customHeight="1">
      <c r="B21" s="612"/>
      <c r="C21" s="483"/>
      <c r="D21" s="484"/>
      <c r="E21" s="483"/>
      <c r="F21" s="485"/>
      <c r="G21" s="292"/>
      <c r="H21" s="485"/>
      <c r="I21" s="293"/>
      <c r="J21" s="485"/>
      <c r="K21" s="294"/>
      <c r="L21" s="486"/>
      <c r="M21" s="487"/>
      <c r="N21" s="488"/>
      <c r="O21" s="489"/>
      <c r="P21" s="490"/>
      <c r="Q21" s="296"/>
      <c r="S21" s="310"/>
    </row>
    <row r="22" spans="2:20" ht="17.45" customHeight="1">
      <c r="B22" s="612"/>
      <c r="C22" s="300"/>
      <c r="D22" s="303"/>
      <c r="E22" s="300"/>
      <c r="F22" s="298"/>
      <c r="G22" s="292" t="str">
        <f t="shared" ref="G22" si="1">IF(ISBLANK(E22),"",E22*F22)</f>
        <v/>
      </c>
      <c r="H22" s="298"/>
      <c r="I22" s="293" t="str">
        <f t="shared" ref="I22" si="2">IF(ISBLANK(H22),"",(G22-H22)/G22)</f>
        <v/>
      </c>
      <c r="J22" s="298"/>
      <c r="K22" s="294" t="str">
        <f t="shared" ref="K22" si="3">IF(H22-J22=0,"",H22-J22)</f>
        <v/>
      </c>
      <c r="L22" s="293" t="str">
        <f t="shared" ref="L22" si="4">IFERROR(K22/$H22,"")</f>
        <v/>
      </c>
      <c r="M22" s="301"/>
      <c r="N22" s="302"/>
      <c r="O22" s="297"/>
      <c r="P22" s="295" t="str">
        <f t="shared" ref="P22" si="5">IF(O22="","",H22-O22)</f>
        <v/>
      </c>
      <c r="Q22" s="296" t="str">
        <f t="shared" ref="Q22" si="6">IFERROR(P22/$H22,"")</f>
        <v/>
      </c>
      <c r="T22" s="281"/>
    </row>
    <row r="23" spans="2:20" ht="18" customHeight="1">
      <c r="B23" s="610"/>
      <c r="C23" s="611" t="s">
        <v>224</v>
      </c>
      <c r="D23" s="611"/>
      <c r="E23" s="258">
        <f>SUM(E18:E22)</f>
        <v>0</v>
      </c>
      <c r="F23" s="259">
        <f>IF(E23&gt;0,G23/E23,0)</f>
        <v>0</v>
      </c>
      <c r="G23" s="259">
        <f>SUM(G18:G22)</f>
        <v>0</v>
      </c>
      <c r="H23" s="259">
        <f>SUM(H18:H22)</f>
        <v>0</v>
      </c>
      <c r="I23" s="260" t="str">
        <f>IFERROR((G23-H23)/G23,"")</f>
        <v/>
      </c>
      <c r="J23" s="259">
        <f>SUM(J18:J22)</f>
        <v>4000</v>
      </c>
      <c r="K23" s="259">
        <f>SUM(K18:K22)</f>
        <v>0</v>
      </c>
      <c r="L23" s="260" t="e">
        <f>K23/$H23</f>
        <v>#DIV/0!</v>
      </c>
      <c r="M23" s="261"/>
      <c r="N23" s="262"/>
      <c r="O23" s="259">
        <f>SUM(O18:O22)</f>
        <v>0</v>
      </c>
      <c r="P23" s="259">
        <f>SUM(P18:P22)</f>
        <v>0</v>
      </c>
      <c r="Q23" s="263" t="e">
        <f>P23/$H23</f>
        <v>#DIV/0!</v>
      </c>
    </row>
    <row r="24" spans="2:20" ht="18" customHeight="1" thickBot="1">
      <c r="B24" s="605" t="s">
        <v>227</v>
      </c>
      <c r="C24" s="606"/>
      <c r="D24" s="607"/>
      <c r="E24" s="264">
        <f>SUM(E23,E17)</f>
        <v>0</v>
      </c>
      <c r="F24" s="265">
        <f>IF(E24&gt;0,G24/E24,0)</f>
        <v>0</v>
      </c>
      <c r="G24" s="266">
        <f>SUM(G17,G23)</f>
        <v>0</v>
      </c>
      <c r="H24" s="265">
        <f>SUM(H23,H17)</f>
        <v>0</v>
      </c>
      <c r="I24" s="267" t="str">
        <f>IFERROR((G24-H24)/G24,"")</f>
        <v/>
      </c>
      <c r="J24" s="265">
        <f>SUM(J23,J17)</f>
        <v>4000</v>
      </c>
      <c r="K24" s="265">
        <f>SUM(K23,K17)</f>
        <v>0</v>
      </c>
      <c r="L24" s="267" t="e">
        <f>K24/H24</f>
        <v>#DIV/0!</v>
      </c>
      <c r="M24" s="268"/>
      <c r="N24" s="269"/>
      <c r="O24" s="265">
        <f>SUM(O23,O17)</f>
        <v>0</v>
      </c>
      <c r="P24" s="265">
        <f>SUM(P23,P17)</f>
        <v>0</v>
      </c>
      <c r="Q24" s="270" t="e">
        <f>P24/$H24</f>
        <v>#DIV/0!</v>
      </c>
    </row>
    <row r="25" spans="2:20" ht="18" customHeight="1" thickBot="1">
      <c r="M25" s="603" t="s">
        <v>357</v>
      </c>
      <c r="N25" s="604"/>
      <c r="O25" s="212">
        <f>O24-J24</f>
        <v>-4000</v>
      </c>
      <c r="P25" s="212">
        <f>P24-K24</f>
        <v>0</v>
      </c>
      <c r="Q25" s="213"/>
    </row>
    <row r="27" spans="2:20">
      <c r="F27" s="208"/>
      <c r="H27" s="305"/>
    </row>
    <row r="28" spans="2:20">
      <c r="F28" s="208"/>
    </row>
    <row r="30" spans="2:20" ht="12.75" customHeight="1"/>
    <row r="31" spans="2:20" ht="12.75" customHeight="1"/>
    <row r="33" ht="12.75" customHeight="1"/>
    <row r="34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</sheetData>
  <mergeCells count="15">
    <mergeCell ref="M25:N25"/>
    <mergeCell ref="B24:D24"/>
    <mergeCell ref="A1:E1"/>
    <mergeCell ref="M1:Q1"/>
    <mergeCell ref="B5:B17"/>
    <mergeCell ref="C17:D17"/>
    <mergeCell ref="B18:B23"/>
    <mergeCell ref="C23:D23"/>
    <mergeCell ref="M3:Q3"/>
    <mergeCell ref="J3:L3"/>
    <mergeCell ref="J2:L2"/>
    <mergeCell ref="B3:B4"/>
    <mergeCell ref="C3:C4"/>
    <mergeCell ref="D3:D4"/>
    <mergeCell ref="E3:I3"/>
  </mergeCells>
  <phoneticPr fontId="7" type="noConversion"/>
  <dataValidations count="1">
    <dataValidation type="list" allowBlank="1" showInputMessage="1" showErrorMessage="1" sqref="N5:N16 N18:N22">
      <formula1>"예정,계약(정상),계약(변경),취소"</formula1>
    </dataValidation>
  </dataValidations>
  <printOptions horizontalCentered="1"/>
  <pageMargins left="0.39370078740157483" right="0.39370078740157483" top="0.39370078740157483" bottom="0.39370078740157483" header="0.39370078740157483" footer="0.39370078740157483"/>
  <pageSetup paperSize="9" scale="55" orientation="landscape" r:id="rId1"/>
  <ignoredErrors>
    <ignoredError sqref="I17 I23:I24 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-0.249977111117893"/>
  </sheetPr>
  <dimension ref="A1:L37"/>
  <sheetViews>
    <sheetView showGridLines="0" tabSelected="1" view="pageBreakPreview" zoomScaleNormal="100" zoomScaleSheetLayoutView="100" workbookViewId="0">
      <pane xSplit="8" ySplit="3" topLeftCell="I4" activePane="bottomRight" state="frozen"/>
      <selection activeCell="H34" sqref="H34:I34"/>
      <selection pane="topRight" activeCell="H34" sqref="H34:I34"/>
      <selection pane="bottomLeft" activeCell="H34" sqref="H34:I34"/>
      <selection pane="bottomRight" activeCell="E14" sqref="E14"/>
    </sheetView>
  </sheetViews>
  <sheetFormatPr defaultColWidth="9.33203125" defaultRowHeight="15.75" customHeight="1"/>
  <cols>
    <col min="1" max="1" width="10" style="172" bestFit="1" customWidth="1"/>
    <col min="2" max="2" width="6" style="172" bestFit="1" customWidth="1"/>
    <col min="3" max="3" width="14.33203125" style="163" bestFit="1" customWidth="1"/>
    <col min="4" max="4" width="19.1640625" style="163" customWidth="1"/>
    <col min="5" max="5" width="16.83203125" style="163" bestFit="1" customWidth="1"/>
    <col min="6" max="6" width="18.6640625" style="163" customWidth="1"/>
    <col min="7" max="7" width="39" style="163" bestFit="1" customWidth="1"/>
    <col min="8" max="8" width="47.33203125" style="163" bestFit="1" customWidth="1"/>
    <col min="9" max="9" width="9.33203125" style="163"/>
    <col min="10" max="10" width="22.33203125" style="164" bestFit="1" customWidth="1"/>
    <col min="11" max="11" width="18.6640625" style="163" bestFit="1" customWidth="1"/>
    <col min="12" max="12" width="20.83203125" style="163" bestFit="1" customWidth="1"/>
    <col min="13" max="16384" width="9.33203125" style="163"/>
  </cols>
  <sheetData>
    <row r="1" spans="1:12" s="2" customFormat="1" ht="29.25" customHeight="1">
      <c r="A1" s="515" t="str">
        <f>수주품의!C10</f>
        <v>KOEN 스마트 도면관리시스템 구축 용역</v>
      </c>
      <c r="B1" s="624"/>
      <c r="C1" s="624"/>
      <c r="D1" s="624"/>
      <c r="E1" s="624"/>
      <c r="F1" s="624"/>
      <c r="G1" s="624"/>
      <c r="H1" s="624"/>
      <c r="J1" s="107"/>
    </row>
    <row r="2" spans="1:12" s="2" customFormat="1" ht="6" customHeight="1" thickBot="1">
      <c r="A2" s="625"/>
      <c r="B2" s="626"/>
      <c r="C2" s="626"/>
      <c r="D2" s="626"/>
      <c r="E2" s="626"/>
      <c r="F2" s="626"/>
      <c r="G2" s="626"/>
      <c r="H2" s="626"/>
      <c r="J2" s="98"/>
    </row>
    <row r="3" spans="1:12" s="102" customFormat="1" ht="21" customHeight="1" thickBot="1">
      <c r="A3" s="627" t="s">
        <v>247</v>
      </c>
      <c r="B3" s="628"/>
      <c r="C3" s="628"/>
      <c r="D3" s="629"/>
      <c r="E3" s="99" t="s">
        <v>248</v>
      </c>
      <c r="F3" s="99" t="s">
        <v>249</v>
      </c>
      <c r="G3" s="100" t="s">
        <v>250</v>
      </c>
      <c r="H3" s="101" t="s">
        <v>251</v>
      </c>
      <c r="I3" s="647" t="s">
        <v>252</v>
      </c>
      <c r="J3" s="648"/>
      <c r="K3" s="648"/>
      <c r="L3" s="649"/>
    </row>
    <row r="4" spans="1:12" s="102" customFormat="1" ht="18" customHeight="1">
      <c r="A4" s="630" t="s">
        <v>253</v>
      </c>
      <c r="B4" s="634" t="s">
        <v>254</v>
      </c>
      <c r="C4" s="637" t="s">
        <v>255</v>
      </c>
      <c r="D4" s="103" t="s">
        <v>256</v>
      </c>
      <c r="E4" s="104">
        <f>인력계획!AK33</f>
        <v>685300</v>
      </c>
      <c r="F4" s="105"/>
      <c r="G4" s="106" t="s">
        <v>257</v>
      </c>
      <c r="H4" s="106" t="s">
        <v>258</v>
      </c>
      <c r="J4" s="107"/>
      <c r="K4" s="107"/>
      <c r="L4" s="107"/>
    </row>
    <row r="5" spans="1:12" s="102" customFormat="1" ht="18" customHeight="1">
      <c r="A5" s="631"/>
      <c r="B5" s="635"/>
      <c r="C5" s="638"/>
      <c r="D5" s="108" t="s">
        <v>259</v>
      </c>
      <c r="E5" s="109">
        <f>인력계획!AK45</f>
        <v>0</v>
      </c>
      <c r="F5" s="110"/>
      <c r="G5" s="111" t="s">
        <v>257</v>
      </c>
      <c r="H5" s="111" t="s">
        <v>260</v>
      </c>
      <c r="J5" s="443"/>
    </row>
    <row r="6" spans="1:12" s="102" customFormat="1" ht="18" customHeight="1">
      <c r="A6" s="631"/>
      <c r="B6" s="635"/>
      <c r="C6" s="639"/>
      <c r="D6" s="112" t="s">
        <v>261</v>
      </c>
      <c r="E6" s="113">
        <f>E4+E5</f>
        <v>685300</v>
      </c>
      <c r="F6" s="110"/>
      <c r="G6" s="111"/>
      <c r="H6" s="111" t="s">
        <v>262</v>
      </c>
      <c r="J6" s="107"/>
    </row>
    <row r="7" spans="1:12" s="102" customFormat="1" ht="18" customHeight="1">
      <c r="A7" s="631"/>
      <c r="B7" s="635"/>
      <c r="C7" s="640" t="s">
        <v>263</v>
      </c>
      <c r="D7" s="114" t="s">
        <v>264</v>
      </c>
      <c r="E7" s="110">
        <f>제품계획!H17</f>
        <v>0</v>
      </c>
      <c r="F7" s="115"/>
      <c r="G7" s="111" t="s">
        <v>257</v>
      </c>
      <c r="H7" s="111"/>
      <c r="J7" s="107"/>
      <c r="K7" s="107"/>
      <c r="L7" s="107"/>
    </row>
    <row r="8" spans="1:12" s="102" customFormat="1" ht="18" customHeight="1">
      <c r="A8" s="631"/>
      <c r="B8" s="635"/>
      <c r="C8" s="641"/>
      <c r="D8" s="114" t="s">
        <v>265</v>
      </c>
      <c r="E8" s="110">
        <f>제품계획!H23</f>
        <v>0</v>
      </c>
      <c r="F8" s="115"/>
      <c r="G8" s="111" t="s">
        <v>266</v>
      </c>
      <c r="H8" s="111"/>
      <c r="J8" s="443"/>
      <c r="L8" s="444"/>
    </row>
    <row r="9" spans="1:12" s="102" customFormat="1" ht="18" customHeight="1">
      <c r="A9" s="631"/>
      <c r="B9" s="635"/>
      <c r="C9" s="642"/>
      <c r="D9" s="112" t="s">
        <v>267</v>
      </c>
      <c r="E9" s="113">
        <f>SUM(E7:E8)</f>
        <v>0</v>
      </c>
      <c r="F9" s="110"/>
      <c r="G9" s="116"/>
      <c r="H9" s="111"/>
      <c r="J9" s="443"/>
      <c r="L9" s="444"/>
    </row>
    <row r="10" spans="1:12" s="102" customFormat="1" ht="18" customHeight="1" thickBot="1">
      <c r="A10" s="631"/>
      <c r="B10" s="636"/>
      <c r="C10" s="643" t="s">
        <v>268</v>
      </c>
      <c r="D10" s="644"/>
      <c r="E10" s="117">
        <f>E6+E9</f>
        <v>685300</v>
      </c>
      <c r="F10" s="118">
        <f>E10*1.1</f>
        <v>753830.00000000012</v>
      </c>
      <c r="G10" s="119"/>
      <c r="H10" s="120" t="s">
        <v>269</v>
      </c>
      <c r="J10" s="107"/>
      <c r="K10" s="121"/>
    </row>
    <row r="11" spans="1:12" s="102" customFormat="1" ht="18" customHeight="1">
      <c r="A11" s="631"/>
      <c r="B11" s="634" t="s">
        <v>270</v>
      </c>
      <c r="C11" s="637" t="s">
        <v>256</v>
      </c>
      <c r="D11" s="122" t="s">
        <v>271</v>
      </c>
      <c r="E11" s="123">
        <f>인력계획!AM34</f>
        <v>392678.5</v>
      </c>
      <c r="F11" s="105"/>
      <c r="G11" s="106"/>
      <c r="H11" s="106" t="s">
        <v>272</v>
      </c>
      <c r="J11" s="107"/>
      <c r="K11" s="121"/>
    </row>
    <row r="12" spans="1:12" s="102" customFormat="1" ht="18" customHeight="1">
      <c r="A12" s="631"/>
      <c r="B12" s="635"/>
      <c r="C12" s="638"/>
      <c r="D12" s="124" t="s">
        <v>273</v>
      </c>
      <c r="E12" s="125">
        <f>E11*F12</f>
        <v>0</v>
      </c>
      <c r="F12" s="126"/>
      <c r="G12" s="127"/>
      <c r="H12" s="127" t="s">
        <v>274</v>
      </c>
      <c r="J12" s="107"/>
      <c r="K12" s="121"/>
    </row>
    <row r="13" spans="1:12" s="102" customFormat="1" ht="18" customHeight="1">
      <c r="A13" s="631"/>
      <c r="B13" s="635"/>
      <c r="C13" s="639"/>
      <c r="D13" s="112" t="s">
        <v>275</v>
      </c>
      <c r="E13" s="128">
        <f>E4-E11-E12</f>
        <v>292621.5</v>
      </c>
      <c r="F13" s="307">
        <f>IF(E4=0,"-",E13/E4)</f>
        <v>0.42699766525609223</v>
      </c>
      <c r="G13" s="116"/>
      <c r="H13" s="111"/>
      <c r="J13" s="107"/>
      <c r="K13" s="121"/>
    </row>
    <row r="14" spans="1:12" s="102" customFormat="1" ht="18" customHeight="1">
      <c r="A14" s="631"/>
      <c r="B14" s="635"/>
      <c r="C14" s="667" t="s">
        <v>276</v>
      </c>
      <c r="D14" s="108" t="s">
        <v>277</v>
      </c>
      <c r="E14" s="130">
        <f>인력계획!AM45</f>
        <v>117980</v>
      </c>
      <c r="F14" s="131"/>
      <c r="G14" s="111"/>
      <c r="H14" s="111" t="s">
        <v>278</v>
      </c>
      <c r="J14" s="107"/>
      <c r="K14" s="121"/>
    </row>
    <row r="15" spans="1:12" s="102" customFormat="1" ht="18" customHeight="1">
      <c r="A15" s="631"/>
      <c r="B15" s="635"/>
      <c r="C15" s="638"/>
      <c r="D15" s="124" t="s">
        <v>273</v>
      </c>
      <c r="E15" s="125">
        <f>E14*F15</f>
        <v>0</v>
      </c>
      <c r="F15" s="126"/>
      <c r="G15" s="127"/>
      <c r="H15" s="127" t="s">
        <v>274</v>
      </c>
      <c r="J15" s="107"/>
    </row>
    <row r="16" spans="1:12" s="102" customFormat="1" ht="18" customHeight="1">
      <c r="A16" s="631"/>
      <c r="B16" s="635"/>
      <c r="C16" s="639"/>
      <c r="D16" s="132" t="s">
        <v>275</v>
      </c>
      <c r="E16" s="133">
        <f>E5-E14-E15</f>
        <v>-117980</v>
      </c>
      <c r="F16" s="129">
        <f>IF(E16&gt;0,E16/E5,0)</f>
        <v>0</v>
      </c>
      <c r="G16" s="134"/>
      <c r="H16" s="111"/>
      <c r="J16" s="107"/>
    </row>
    <row r="17" spans="1:11" s="102" customFormat="1" ht="18" customHeight="1">
      <c r="A17" s="631"/>
      <c r="B17" s="635"/>
      <c r="C17" s="667" t="s">
        <v>279</v>
      </c>
      <c r="D17" s="135" t="s">
        <v>280</v>
      </c>
      <c r="E17" s="130">
        <f>프로젝트경비!C10</f>
        <v>1381.25</v>
      </c>
      <c r="F17" s="129">
        <f>E17/E6</f>
        <v>2.0155406391361447E-3</v>
      </c>
      <c r="G17" s="111"/>
      <c r="H17" s="111"/>
      <c r="J17" s="107"/>
    </row>
    <row r="18" spans="1:11" s="102" customFormat="1" ht="18" customHeight="1">
      <c r="A18" s="631"/>
      <c r="B18" s="635"/>
      <c r="C18" s="638"/>
      <c r="D18" s="114" t="s">
        <v>281</v>
      </c>
      <c r="E18" s="136">
        <f>프로젝트경비!C17</f>
        <v>40000</v>
      </c>
      <c r="F18" s="137">
        <f>E18/E6</f>
        <v>5.8368597694440388E-2</v>
      </c>
      <c r="G18" s="111" t="s">
        <v>530</v>
      </c>
      <c r="H18" s="111"/>
      <c r="J18" s="107"/>
    </row>
    <row r="19" spans="1:11" s="102" customFormat="1" ht="18" customHeight="1">
      <c r="A19" s="631"/>
      <c r="B19" s="635"/>
      <c r="C19" s="639"/>
      <c r="D19" s="112" t="s">
        <v>282</v>
      </c>
      <c r="E19" s="128">
        <f>SUM(E17:E18)</f>
        <v>41381.25</v>
      </c>
      <c r="F19" s="129">
        <f>E19/E10</f>
        <v>6.0384138333576538E-2</v>
      </c>
      <c r="G19" s="116"/>
      <c r="H19" s="111"/>
      <c r="J19" s="107"/>
    </row>
    <row r="20" spans="1:11" s="102" customFormat="1" ht="18" customHeight="1" thickBot="1">
      <c r="A20" s="631"/>
      <c r="B20" s="635"/>
      <c r="C20" s="668" t="s">
        <v>283</v>
      </c>
      <c r="D20" s="669"/>
      <c r="E20" s="138">
        <f>E13+E16-E19</f>
        <v>133260.25</v>
      </c>
      <c r="F20" s="139">
        <f>E20/E10</f>
        <v>0.19445534802276376</v>
      </c>
      <c r="G20" s="140"/>
      <c r="H20" s="141" t="s">
        <v>284</v>
      </c>
      <c r="J20" s="107"/>
    </row>
    <row r="21" spans="1:11" s="102" customFormat="1" ht="18" customHeight="1">
      <c r="A21" s="632"/>
      <c r="B21" s="670" t="s">
        <v>285</v>
      </c>
      <c r="C21" s="623" t="s">
        <v>256</v>
      </c>
      <c r="D21" s="142" t="s">
        <v>286</v>
      </c>
      <c r="E21" s="143">
        <f>제품계획!J17</f>
        <v>0</v>
      </c>
      <c r="F21" s="144">
        <f>IF(E21&gt;0,E21/E7,0)</f>
        <v>0</v>
      </c>
      <c r="G21" s="145"/>
      <c r="H21" s="145" t="s">
        <v>287</v>
      </c>
      <c r="J21" s="107"/>
    </row>
    <row r="22" spans="1:11" s="102" customFormat="1" ht="18" customHeight="1">
      <c r="A22" s="632"/>
      <c r="B22" s="671"/>
      <c r="C22" s="622"/>
      <c r="D22" s="146" t="s">
        <v>275</v>
      </c>
      <c r="E22" s="147">
        <f>E7-E21</f>
        <v>0</v>
      </c>
      <c r="F22" s="129">
        <f>IF(E7&gt;0,E22/E7,0)</f>
        <v>0</v>
      </c>
      <c r="G22" s="148"/>
      <c r="H22" s="148" t="s">
        <v>288</v>
      </c>
      <c r="J22" s="107"/>
    </row>
    <row r="23" spans="1:11" s="102" customFormat="1" ht="18" customHeight="1">
      <c r="A23" s="632"/>
      <c r="B23" s="671"/>
      <c r="C23" s="622" t="s">
        <v>289</v>
      </c>
      <c r="D23" s="149" t="s">
        <v>290</v>
      </c>
      <c r="E23" s="150">
        <f>제품계획!J23</f>
        <v>4000</v>
      </c>
      <c r="F23" s="129" t="e">
        <f>IF(E23&gt;0,E23/E8,0)</f>
        <v>#DIV/0!</v>
      </c>
      <c r="G23" s="151"/>
      <c r="H23" s="151" t="s">
        <v>287</v>
      </c>
      <c r="J23" s="107"/>
    </row>
    <row r="24" spans="1:11" s="102" customFormat="1" ht="18" customHeight="1">
      <c r="A24" s="632"/>
      <c r="B24" s="671"/>
      <c r="C24" s="622"/>
      <c r="D24" s="146" t="s">
        <v>275</v>
      </c>
      <c r="E24" s="147">
        <f>E8-E23</f>
        <v>-4000</v>
      </c>
      <c r="F24" s="129">
        <f>IF(E8&gt;0,E24/E8,0)</f>
        <v>0</v>
      </c>
      <c r="G24" s="152"/>
      <c r="H24" s="148" t="s">
        <v>291</v>
      </c>
      <c r="J24" s="107"/>
    </row>
    <row r="25" spans="1:11" s="102" customFormat="1" ht="18" customHeight="1" thickBot="1">
      <c r="A25" s="632"/>
      <c r="B25" s="672"/>
      <c r="C25" s="620" t="s">
        <v>292</v>
      </c>
      <c r="D25" s="621"/>
      <c r="E25" s="153">
        <f>SUM(E22,E24)</f>
        <v>-4000</v>
      </c>
      <c r="F25" s="139">
        <f>IF(E9&gt;0,E25/E9,0)</f>
        <v>0</v>
      </c>
      <c r="G25" s="154"/>
      <c r="H25" s="155" t="s">
        <v>293</v>
      </c>
      <c r="J25" s="107"/>
    </row>
    <row r="26" spans="1:11" s="102" customFormat="1" ht="18" customHeight="1" thickBot="1">
      <c r="A26" s="633"/>
      <c r="B26" s="664" t="s">
        <v>294</v>
      </c>
      <c r="C26" s="665"/>
      <c r="D26" s="666"/>
      <c r="E26" s="156">
        <f>E20+E25</f>
        <v>129260.25</v>
      </c>
      <c r="F26" s="157">
        <f>E26/E10</f>
        <v>0.18861848825331973</v>
      </c>
      <c r="G26" s="158"/>
      <c r="H26" s="159" t="s">
        <v>295</v>
      </c>
      <c r="J26" s="107"/>
    </row>
    <row r="27" spans="1:11" s="102" customFormat="1" ht="18" customHeight="1">
      <c r="A27" s="630" t="s">
        <v>296</v>
      </c>
      <c r="B27" s="634" t="s">
        <v>297</v>
      </c>
      <c r="C27" s="650" t="s">
        <v>298</v>
      </c>
      <c r="D27" s="651"/>
      <c r="E27" s="283">
        <f>E21</f>
        <v>0</v>
      </c>
      <c r="F27" s="144">
        <f>IF(E7&gt;0,E27/E7,0)</f>
        <v>0</v>
      </c>
      <c r="G27" s="145"/>
      <c r="H27" s="145" t="s">
        <v>287</v>
      </c>
      <c r="J27" s="107"/>
      <c r="K27" s="280"/>
    </row>
    <row r="28" spans="1:11" s="102" customFormat="1" ht="18" customHeight="1">
      <c r="A28" s="631"/>
      <c r="B28" s="635"/>
      <c r="C28" s="645" t="s">
        <v>386</v>
      </c>
      <c r="D28" s="646"/>
      <c r="E28" s="160">
        <f>E10*F28</f>
        <v>0</v>
      </c>
      <c r="F28" s="286"/>
      <c r="G28" s="282"/>
      <c r="H28" s="282" t="s">
        <v>474</v>
      </c>
      <c r="J28" s="107"/>
      <c r="K28" s="280"/>
    </row>
    <row r="29" spans="1:11" s="102" customFormat="1" ht="18" customHeight="1" thickBot="1">
      <c r="A29" s="631"/>
      <c r="B29" s="636"/>
      <c r="C29" s="643" t="s">
        <v>299</v>
      </c>
      <c r="D29" s="644"/>
      <c r="E29" s="161">
        <f>E26-E28</f>
        <v>129260.25</v>
      </c>
      <c r="F29" s="139">
        <f>E29/E10</f>
        <v>0.18861848825331973</v>
      </c>
      <c r="G29" s="155"/>
      <c r="H29" s="155" t="s">
        <v>300</v>
      </c>
      <c r="J29" s="107"/>
      <c r="K29" s="107"/>
    </row>
    <row r="30" spans="1:11" ht="18" customHeight="1">
      <c r="A30" s="631"/>
      <c r="B30" s="652" t="s">
        <v>301</v>
      </c>
      <c r="C30" s="655" t="s">
        <v>302</v>
      </c>
      <c r="D30" s="656"/>
      <c r="E30" s="284">
        <v>0</v>
      </c>
      <c r="F30" s="162"/>
      <c r="G30" s="145"/>
      <c r="H30" s="145"/>
      <c r="K30" s="511"/>
    </row>
    <row r="31" spans="1:11" ht="18" customHeight="1">
      <c r="A31" s="631"/>
      <c r="B31" s="653"/>
      <c r="C31" s="657" t="s">
        <v>303</v>
      </c>
      <c r="D31" s="658"/>
      <c r="E31" s="285">
        <v>0</v>
      </c>
      <c r="F31" s="510"/>
      <c r="G31" s="151" t="s">
        <v>304</v>
      </c>
      <c r="H31" s="151"/>
    </row>
    <row r="32" spans="1:11" ht="18" customHeight="1" thickBot="1">
      <c r="A32" s="631"/>
      <c r="B32" s="654"/>
      <c r="C32" s="659" t="s">
        <v>305</v>
      </c>
      <c r="D32" s="660"/>
      <c r="E32" s="161">
        <f>E30-E31</f>
        <v>0</v>
      </c>
      <c r="F32" s="165"/>
      <c r="G32" s="155"/>
      <c r="H32" s="155"/>
    </row>
    <row r="33" spans="1:10" ht="26.25" customHeight="1" thickBot="1">
      <c r="A33" s="633"/>
      <c r="B33" s="661" t="s">
        <v>306</v>
      </c>
      <c r="C33" s="662"/>
      <c r="D33" s="663"/>
      <c r="E33" s="166">
        <f>E29+E32</f>
        <v>129260.25</v>
      </c>
      <c r="F33" s="167">
        <f>E33/E10</f>
        <v>0.18861848825331973</v>
      </c>
      <c r="G33" s="158"/>
      <c r="H33" s="159" t="s">
        <v>307</v>
      </c>
    </row>
    <row r="34" spans="1:10" s="102" customFormat="1" ht="15.75" customHeight="1">
      <c r="A34" s="168"/>
      <c r="B34" s="169"/>
      <c r="J34" s="107"/>
    </row>
    <row r="35" spans="1:10" s="170" customFormat="1" ht="15.75" customHeight="1">
      <c r="E35" s="377"/>
      <c r="F35" s="378"/>
      <c r="J35" s="171"/>
    </row>
    <row r="36" spans="1:10" ht="15.75" customHeight="1">
      <c r="E36" s="164"/>
      <c r="F36" s="311"/>
    </row>
    <row r="37" spans="1:10" ht="15.75" customHeight="1">
      <c r="E37" s="164"/>
      <c r="F37" s="311"/>
    </row>
  </sheetData>
  <mergeCells count="29">
    <mergeCell ref="C28:D28"/>
    <mergeCell ref="I3:L3"/>
    <mergeCell ref="A27:A33"/>
    <mergeCell ref="B27:B29"/>
    <mergeCell ref="C27:D27"/>
    <mergeCell ref="C29:D29"/>
    <mergeCell ref="B30:B32"/>
    <mergeCell ref="C30:D30"/>
    <mergeCell ref="C31:D31"/>
    <mergeCell ref="C32:D32"/>
    <mergeCell ref="B33:D33"/>
    <mergeCell ref="B26:D26"/>
    <mergeCell ref="C14:C16"/>
    <mergeCell ref="C17:C19"/>
    <mergeCell ref="C20:D20"/>
    <mergeCell ref="B21:B25"/>
    <mergeCell ref="C25:D25"/>
    <mergeCell ref="C23:C24"/>
    <mergeCell ref="C21:C22"/>
    <mergeCell ref="A1:H1"/>
    <mergeCell ref="A2:H2"/>
    <mergeCell ref="A3:D3"/>
    <mergeCell ref="A4:A26"/>
    <mergeCell ref="B4:B10"/>
    <mergeCell ref="C4:C6"/>
    <mergeCell ref="C7:C9"/>
    <mergeCell ref="C10:D10"/>
    <mergeCell ref="B11:B20"/>
    <mergeCell ref="C11:C13"/>
  </mergeCells>
  <phoneticPr fontId="7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79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4" tint="-0.249977111117893"/>
    <pageSetUpPr fitToPage="1"/>
  </sheetPr>
  <dimension ref="A1:AQ48"/>
  <sheetViews>
    <sheetView showGridLines="0" view="pageBreakPreview" zoomScale="85" zoomScaleSheetLayoutView="85" workbookViewId="0">
      <pane xSplit="8" ySplit="5" topLeftCell="S6" activePane="bottomRight" state="frozen"/>
      <selection pane="topRight" activeCell="I1" sqref="I1"/>
      <selection pane="bottomLeft" activeCell="A6" sqref="A6"/>
      <selection pane="bottomRight" activeCell="C10" sqref="C10"/>
    </sheetView>
  </sheetViews>
  <sheetFormatPr defaultColWidth="9.33203125" defaultRowHeight="12.75"/>
  <cols>
    <col min="1" max="1" width="13.33203125" style="10" bestFit="1" customWidth="1"/>
    <col min="2" max="2" width="13.1640625" style="10" customWidth="1"/>
    <col min="3" max="3" width="66.1640625" style="10" customWidth="1"/>
    <col min="4" max="4" width="18.6640625" style="10" bestFit="1" customWidth="1"/>
    <col min="5" max="5" width="15.83203125" style="10" bestFit="1" customWidth="1"/>
    <col min="6" max="7" width="10" style="10" bestFit="1" customWidth="1"/>
    <col min="8" max="8" width="12.83203125" style="10" customWidth="1"/>
    <col min="9" max="12" width="8.1640625" style="10" hidden="1" customWidth="1"/>
    <col min="13" max="14" width="7.83203125" style="10" hidden="1" customWidth="1"/>
    <col min="15" max="15" width="8.1640625" style="10" hidden="1" customWidth="1"/>
    <col min="16" max="16" width="9.1640625" style="10" hidden="1" customWidth="1"/>
    <col min="17" max="17" width="10.5" style="10" hidden="1" customWidth="1"/>
    <col min="18" max="18" width="7.83203125" style="10" hidden="1" customWidth="1"/>
    <col min="19" max="21" width="7.83203125" style="10" bestFit="1" customWidth="1"/>
    <col min="22" max="23" width="8.1640625" style="10" bestFit="1" customWidth="1"/>
    <col min="24" max="24" width="7.83203125" style="10" bestFit="1" customWidth="1"/>
    <col min="25" max="25" width="8.1640625" style="10" bestFit="1" customWidth="1"/>
    <col min="26" max="27" width="7.5" style="10" bestFit="1" customWidth="1"/>
    <col min="28" max="29" width="7.83203125" style="10" bestFit="1" customWidth="1"/>
    <col min="30" max="32" width="7" style="10" bestFit="1" customWidth="1"/>
    <col min="33" max="34" width="9.1640625" style="10" bestFit="1" customWidth="1"/>
    <col min="35" max="35" width="7.83203125" style="10" bestFit="1" customWidth="1"/>
    <col min="36" max="36" width="11.33203125" style="10" bestFit="1" customWidth="1"/>
    <col min="37" max="37" width="17" style="10" bestFit="1" customWidth="1"/>
    <col min="38" max="38" width="12.1640625" style="10" bestFit="1" customWidth="1"/>
    <col min="39" max="39" width="12.6640625" style="10" bestFit="1" customWidth="1"/>
    <col min="40" max="40" width="9.33203125" style="209"/>
    <col min="41" max="41" width="9.6640625" style="209" bestFit="1" customWidth="1"/>
    <col min="42" max="43" width="9.33203125" style="209"/>
    <col min="44" max="16384" width="9.33203125" style="10"/>
  </cols>
  <sheetData>
    <row r="1" spans="1:41" ht="18.75" thickBot="1">
      <c r="A1" s="608" t="s">
        <v>308</v>
      </c>
      <c r="B1" s="608"/>
      <c r="C1" s="608"/>
      <c r="D1" s="689"/>
      <c r="E1" s="689"/>
      <c r="F1" s="689"/>
      <c r="G1" s="689"/>
      <c r="H1" s="689"/>
      <c r="I1" s="647" t="s">
        <v>309</v>
      </c>
      <c r="J1" s="648"/>
      <c r="K1" s="648"/>
      <c r="L1" s="648"/>
      <c r="M1" s="648"/>
      <c r="N1" s="690"/>
      <c r="O1" s="691"/>
      <c r="P1" s="324"/>
      <c r="Q1" s="325"/>
      <c r="R1" s="325"/>
      <c r="S1" s="325"/>
      <c r="T1" s="325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/>
      <c r="AH1" s="173"/>
      <c r="AI1" s="175"/>
      <c r="AJ1" s="306"/>
      <c r="AK1" s="306"/>
      <c r="AL1" s="175"/>
      <c r="AM1" s="175"/>
    </row>
    <row r="2" spans="1:41" ht="13.5" thickBot="1">
      <c r="A2" s="177"/>
      <c r="B2" s="177"/>
      <c r="C2" s="177"/>
      <c r="D2" s="178"/>
      <c r="E2" s="178"/>
      <c r="F2" s="178"/>
      <c r="G2" s="178"/>
      <c r="H2" s="178"/>
      <c r="I2" s="456"/>
      <c r="J2" s="178" t="s">
        <v>484</v>
      </c>
      <c r="K2" s="178"/>
      <c r="L2" s="457"/>
      <c r="M2" s="178" t="s">
        <v>485</v>
      </c>
      <c r="N2" s="178"/>
      <c r="O2" s="178"/>
      <c r="P2" s="322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178"/>
      <c r="AG2" s="179"/>
      <c r="AH2" s="180"/>
      <c r="AI2" s="180"/>
      <c r="AJ2" s="180"/>
      <c r="AK2" s="180"/>
      <c r="AL2" s="180"/>
      <c r="AM2" s="180"/>
    </row>
    <row r="3" spans="1:41" ht="13.15" customHeight="1">
      <c r="A3" s="675" t="s">
        <v>311</v>
      </c>
      <c r="B3" s="683" t="s">
        <v>312</v>
      </c>
      <c r="C3" s="683" t="s">
        <v>313</v>
      </c>
      <c r="D3" s="683" t="s">
        <v>314</v>
      </c>
      <c r="E3" s="683" t="s">
        <v>315</v>
      </c>
      <c r="F3" s="683" t="s">
        <v>45</v>
      </c>
      <c r="G3" s="683" t="s">
        <v>316</v>
      </c>
      <c r="H3" s="683" t="s">
        <v>317</v>
      </c>
      <c r="I3" s="681" t="s">
        <v>494</v>
      </c>
      <c r="J3" s="681"/>
      <c r="K3" s="681"/>
      <c r="L3" s="681"/>
      <c r="M3" s="681"/>
      <c r="N3" s="681"/>
      <c r="O3" s="681"/>
      <c r="P3" s="681"/>
      <c r="Q3" s="681"/>
      <c r="R3" s="681"/>
      <c r="S3" s="682"/>
      <c r="T3" s="682"/>
      <c r="U3" s="681" t="s">
        <v>518</v>
      </c>
      <c r="V3" s="681"/>
      <c r="W3" s="681"/>
      <c r="X3" s="681"/>
      <c r="Y3" s="681"/>
      <c r="Z3" s="681"/>
      <c r="AA3" s="681"/>
      <c r="AB3" s="681"/>
      <c r="AC3" s="681"/>
      <c r="AD3" s="681"/>
      <c r="AE3" s="682"/>
      <c r="AF3" s="682"/>
      <c r="AG3" s="683" t="s">
        <v>318</v>
      </c>
      <c r="AH3" s="684"/>
      <c r="AI3" s="684"/>
      <c r="AJ3" s="687"/>
      <c r="AK3" s="687"/>
      <c r="AL3" s="687"/>
      <c r="AM3" s="688"/>
    </row>
    <row r="4" spans="1:41" ht="12.75" customHeight="1">
      <c r="A4" s="676"/>
      <c r="B4" s="692"/>
      <c r="C4" s="692"/>
      <c r="D4" s="692"/>
      <c r="E4" s="692"/>
      <c r="F4" s="692"/>
      <c r="G4" s="692"/>
      <c r="H4" s="692"/>
      <c r="I4" s="402" t="s">
        <v>320</v>
      </c>
      <c r="J4" s="402" t="s">
        <v>13</v>
      </c>
      <c r="K4" s="402" t="s">
        <v>14</v>
      </c>
      <c r="L4" s="402" t="s">
        <v>15</v>
      </c>
      <c r="M4" s="402" t="s">
        <v>321</v>
      </c>
      <c r="N4" s="402" t="s">
        <v>17</v>
      </c>
      <c r="O4" s="402" t="s">
        <v>514</v>
      </c>
      <c r="P4" s="402" t="s">
        <v>19</v>
      </c>
      <c r="Q4" s="402" t="s">
        <v>20</v>
      </c>
      <c r="R4" s="402" t="s">
        <v>48</v>
      </c>
      <c r="S4" s="402" t="s">
        <v>22</v>
      </c>
      <c r="T4" s="402" t="s">
        <v>23</v>
      </c>
      <c r="U4" s="402" t="s">
        <v>320</v>
      </c>
      <c r="V4" s="402" t="s">
        <v>13</v>
      </c>
      <c r="W4" s="402" t="s">
        <v>14</v>
      </c>
      <c r="X4" s="402" t="s">
        <v>15</v>
      </c>
      <c r="Y4" s="402" t="s">
        <v>321</v>
      </c>
      <c r="Z4" s="402" t="s">
        <v>515</v>
      </c>
      <c r="AA4" s="402" t="s">
        <v>18</v>
      </c>
      <c r="AB4" s="402" t="s">
        <v>19</v>
      </c>
      <c r="AC4" s="402" t="s">
        <v>20</v>
      </c>
      <c r="AD4" s="402" t="s">
        <v>21</v>
      </c>
      <c r="AE4" s="402" t="s">
        <v>516</v>
      </c>
      <c r="AF4" s="402" t="s">
        <v>517</v>
      </c>
      <c r="AG4" s="686" t="s">
        <v>323</v>
      </c>
      <c r="AH4" s="685" t="s">
        <v>324</v>
      </c>
      <c r="AI4" s="685" t="s">
        <v>47</v>
      </c>
      <c r="AJ4" s="673" t="s">
        <v>325</v>
      </c>
      <c r="AK4" s="673"/>
      <c r="AL4" s="673" t="s">
        <v>24</v>
      </c>
      <c r="AM4" s="674"/>
    </row>
    <row r="5" spans="1:41">
      <c r="A5" s="677"/>
      <c r="B5" s="692"/>
      <c r="C5" s="692"/>
      <c r="D5" s="692"/>
      <c r="E5" s="692"/>
      <c r="F5" s="692"/>
      <c r="G5" s="692"/>
      <c r="H5" s="692"/>
      <c r="I5" s="418"/>
      <c r="J5" s="418"/>
      <c r="K5" s="418"/>
      <c r="L5" s="418"/>
      <c r="M5" s="418"/>
      <c r="N5" s="418"/>
      <c r="O5" s="418"/>
      <c r="P5" s="418"/>
      <c r="Q5" s="418"/>
      <c r="R5" s="418"/>
      <c r="S5" s="418"/>
      <c r="T5" s="418"/>
      <c r="U5" s="418"/>
      <c r="V5" s="418"/>
      <c r="W5" s="418"/>
      <c r="X5" s="418"/>
      <c r="Y5" s="418"/>
      <c r="Z5" s="418"/>
      <c r="AA5" s="418"/>
      <c r="AB5" s="418"/>
      <c r="AC5" s="418"/>
      <c r="AD5" s="418"/>
      <c r="AE5" s="418"/>
      <c r="AF5" s="418"/>
      <c r="AG5" s="686"/>
      <c r="AH5" s="685"/>
      <c r="AI5" s="685"/>
      <c r="AJ5" s="419" t="s">
        <v>12</v>
      </c>
      <c r="AK5" s="419" t="s">
        <v>319</v>
      </c>
      <c r="AL5" s="419" t="s">
        <v>12</v>
      </c>
      <c r="AM5" s="420" t="s">
        <v>319</v>
      </c>
    </row>
    <row r="6" spans="1:41" ht="12.75" customHeight="1">
      <c r="A6" s="678" t="str">
        <f>수주품의!C10</f>
        <v>KOEN 스마트 도면관리시스템 구축 용역</v>
      </c>
      <c r="B6" s="415" t="s">
        <v>244</v>
      </c>
      <c r="C6" s="401" t="s">
        <v>513</v>
      </c>
      <c r="D6" s="415" t="s">
        <v>483</v>
      </c>
      <c r="E6" s="415" t="s">
        <v>44</v>
      </c>
      <c r="F6" s="445" t="s">
        <v>4</v>
      </c>
      <c r="G6" s="415" t="s">
        <v>2</v>
      </c>
      <c r="H6" s="415" t="s">
        <v>498</v>
      </c>
      <c r="I6" s="491"/>
      <c r="J6" s="491"/>
      <c r="K6" s="491"/>
      <c r="L6" s="491"/>
      <c r="M6" s="491"/>
      <c r="N6" s="491"/>
      <c r="O6" s="491"/>
      <c r="P6" s="500"/>
      <c r="Q6" s="500"/>
      <c r="R6" s="500"/>
      <c r="S6" s="500">
        <v>0.25</v>
      </c>
      <c r="T6" s="500">
        <v>1</v>
      </c>
      <c r="U6" s="500">
        <v>1</v>
      </c>
      <c r="V6" s="500">
        <v>1</v>
      </c>
      <c r="W6" s="500">
        <v>1</v>
      </c>
      <c r="X6" s="500">
        <v>1</v>
      </c>
      <c r="Y6" s="500">
        <v>1</v>
      </c>
      <c r="Z6" s="500">
        <v>1</v>
      </c>
      <c r="AA6" s="500">
        <v>1</v>
      </c>
      <c r="AB6" s="500">
        <v>1</v>
      </c>
      <c r="AC6" s="502">
        <v>0.5</v>
      </c>
      <c r="AD6" s="379"/>
      <c r="AE6" s="379"/>
      <c r="AF6" s="379"/>
      <c r="AG6" s="421">
        <f t="shared" ref="AG6:AG12" si="0">SUM(I6:AF6)</f>
        <v>9.75</v>
      </c>
      <c r="AH6" s="422">
        <f t="shared" ref="AH6:AH12" si="1">SUM(I6:T6)</f>
        <v>1.25</v>
      </c>
      <c r="AI6" s="422">
        <f t="shared" ref="AI6:AI12" si="2">SUM(U6:AF6)</f>
        <v>8.5</v>
      </c>
      <c r="AJ6" s="355">
        <v>685300</v>
      </c>
      <c r="AK6" s="423">
        <v>685300</v>
      </c>
      <c r="AL6" s="424">
        <f>IF($E6="위엠비_컨설팅",SUMPRODUCT(($F6='기준-단가'!$C$5:$C$11)*('기준-단가'!$H$5:$H$11)),
IF($E6="위엠비_개발",SUMPRODUCT(($F6='기준-단가'!$C$13:$C$19)*('기준-단가'!$H$13:$H$19)),
IF($E6="외주_컨설팅",SUMPRODUCT(($G6='기준-단가'!$D$21:$D$24)*('기준-단가'!$H$21:$H$24)),
IF($E6="외주_개발",SUMPRODUCT(($G6='기준-단가'!$D$26:$D$29)*('기준-단가'!$H$26:$H$29))))))</f>
        <v>14616</v>
      </c>
      <c r="AM6" s="425">
        <f t="shared" ref="AM6" si="3">AG6*AL6</f>
        <v>142506</v>
      </c>
    </row>
    <row r="7" spans="1:41">
      <c r="A7" s="679"/>
      <c r="B7" s="415" t="s">
        <v>369</v>
      </c>
      <c r="C7" s="401" t="s">
        <v>492</v>
      </c>
      <c r="D7" s="415" t="s">
        <v>482</v>
      </c>
      <c r="E7" s="415" t="s">
        <v>44</v>
      </c>
      <c r="F7" s="445" t="s">
        <v>493</v>
      </c>
      <c r="G7" s="415" t="s">
        <v>2</v>
      </c>
      <c r="H7" s="415" t="s">
        <v>499</v>
      </c>
      <c r="I7" s="491"/>
      <c r="J7" s="491"/>
      <c r="K7" s="491"/>
      <c r="L7" s="491"/>
      <c r="M7" s="491"/>
      <c r="N7" s="491"/>
      <c r="O7" s="491"/>
      <c r="P7" s="500"/>
      <c r="Q7" s="500"/>
      <c r="R7" s="500"/>
      <c r="S7" s="500"/>
      <c r="T7" s="500">
        <v>1</v>
      </c>
      <c r="U7" s="500">
        <v>1</v>
      </c>
      <c r="V7" s="500">
        <v>1</v>
      </c>
      <c r="W7" s="500">
        <v>1</v>
      </c>
      <c r="X7" s="500">
        <v>1</v>
      </c>
      <c r="Y7" s="500">
        <v>1</v>
      </c>
      <c r="Z7" s="500">
        <v>1</v>
      </c>
      <c r="AA7" s="500">
        <v>1</v>
      </c>
      <c r="AB7" s="500">
        <v>1</v>
      </c>
      <c r="AC7" s="502">
        <v>0.5</v>
      </c>
      <c r="AD7" s="379"/>
      <c r="AE7" s="379"/>
      <c r="AF7" s="379"/>
      <c r="AG7" s="421">
        <f t="shared" si="0"/>
        <v>9.5</v>
      </c>
      <c r="AH7" s="422">
        <f t="shared" si="1"/>
        <v>1</v>
      </c>
      <c r="AI7" s="422">
        <f t="shared" si="2"/>
        <v>8.5</v>
      </c>
      <c r="AJ7" s="355">
        <v>0</v>
      </c>
      <c r="AK7" s="423">
        <f t="shared" ref="AK7:AK9" si="4">AG7*AJ7</f>
        <v>0</v>
      </c>
      <c r="AL7" s="424">
        <f>IF($E7="위엠비_컨설팅",SUMPRODUCT(($F7='기준-단가'!$C$5:$C$11)*('기준-단가'!$H$5:$H$11)),
IF($E7="위엠비_개발",SUMPRODUCT(($F7='기준-단가'!$C$13:$C$19)*('기준-단가'!$H$13:$H$19)),
IF($E7="외주_컨설팅",SUMPRODUCT(($G7='기준-단가'!$D$21:$D$24)*('기준-단가'!$H$21:$H$24)),
IF($E7="외주_개발",SUMPRODUCT(($G7='기준-단가'!$D$26:$D$29)*('기준-단가'!$H$26:$H$29))))))</f>
        <v>11516</v>
      </c>
      <c r="AM7" s="425">
        <f t="shared" ref="AM7:AM8" si="5">AG7*AL7</f>
        <v>109402</v>
      </c>
    </row>
    <row r="8" spans="1:41">
      <c r="A8" s="679"/>
      <c r="B8" s="415" t="s">
        <v>488</v>
      </c>
      <c r="C8" s="401" t="s">
        <v>519</v>
      </c>
      <c r="D8" s="415" t="s">
        <v>489</v>
      </c>
      <c r="E8" s="415" t="s">
        <v>44</v>
      </c>
      <c r="F8" s="445" t="s">
        <v>496</v>
      </c>
      <c r="G8" s="415" t="s">
        <v>1</v>
      </c>
      <c r="H8" s="415" t="s">
        <v>500</v>
      </c>
      <c r="I8" s="491"/>
      <c r="J8" s="491"/>
      <c r="K8" s="491"/>
      <c r="L8" s="491"/>
      <c r="M8" s="491"/>
      <c r="N8" s="491"/>
      <c r="O8" s="491"/>
      <c r="P8" s="500"/>
      <c r="Q8" s="500"/>
      <c r="R8" s="500"/>
      <c r="S8" s="500"/>
      <c r="T8" s="500">
        <v>1</v>
      </c>
      <c r="U8" s="500">
        <v>1</v>
      </c>
      <c r="V8" s="500">
        <v>1</v>
      </c>
      <c r="W8" s="500">
        <v>1</v>
      </c>
      <c r="X8" s="500">
        <v>1</v>
      </c>
      <c r="Y8" s="500">
        <v>1</v>
      </c>
      <c r="Z8" s="500">
        <v>1</v>
      </c>
      <c r="AA8" s="500">
        <v>1</v>
      </c>
      <c r="AB8" s="500">
        <v>1</v>
      </c>
      <c r="AC8" s="502">
        <v>0.5</v>
      </c>
      <c r="AD8" s="379"/>
      <c r="AE8" s="379"/>
      <c r="AF8" s="379"/>
      <c r="AG8" s="421">
        <f t="shared" si="0"/>
        <v>9.5</v>
      </c>
      <c r="AH8" s="422">
        <f t="shared" si="1"/>
        <v>1</v>
      </c>
      <c r="AI8" s="422">
        <f t="shared" si="2"/>
        <v>8.5</v>
      </c>
      <c r="AJ8" s="355">
        <v>0</v>
      </c>
      <c r="AK8" s="423">
        <f t="shared" si="4"/>
        <v>0</v>
      </c>
      <c r="AL8" s="424">
        <f>IF($E8="위엠비_컨설팅",SUMPRODUCT(($F8='기준-단가'!$C$5:$C$11)*('기준-단가'!$H$5:$H$11)),
IF($E8="위엠비_개발",SUMPRODUCT(($F8='기준-단가'!$C$13:$C$19)*('기준-단가'!$H$13:$H$19)),
IF($E8="외주_컨설팅",SUMPRODUCT(($G8='기준-단가'!$D$21:$D$24)*('기준-단가'!$H$21:$H$24)),
IF($E8="외주_개발",SUMPRODUCT(($G8='기준-단가'!$D$26:$D$29)*('기준-단가'!$H$26:$H$29))))))</f>
        <v>10641</v>
      </c>
      <c r="AM8" s="425">
        <f t="shared" si="5"/>
        <v>101089.5</v>
      </c>
    </row>
    <row r="9" spans="1:41">
      <c r="A9" s="679"/>
      <c r="B9" s="415" t="s">
        <v>369</v>
      </c>
      <c r="C9" s="401" t="s">
        <v>501</v>
      </c>
      <c r="D9" s="415" t="s">
        <v>482</v>
      </c>
      <c r="E9" s="415" t="s">
        <v>44</v>
      </c>
      <c r="F9" s="445" t="s">
        <v>502</v>
      </c>
      <c r="G9" s="415" t="s">
        <v>10</v>
      </c>
      <c r="H9" s="415" t="s">
        <v>503</v>
      </c>
      <c r="I9" s="491"/>
      <c r="J9" s="491"/>
      <c r="K9" s="491"/>
      <c r="L9" s="491"/>
      <c r="M9" s="491"/>
      <c r="N9" s="491"/>
      <c r="O9" s="491"/>
      <c r="P9" s="500"/>
      <c r="Q9" s="500"/>
      <c r="R9" s="500"/>
      <c r="S9" s="500"/>
      <c r="T9" s="500">
        <v>1</v>
      </c>
      <c r="U9" s="500"/>
      <c r="V9" s="500"/>
      <c r="W9" s="500"/>
      <c r="X9" s="500"/>
      <c r="Y9" s="500"/>
      <c r="Z9" s="500"/>
      <c r="AA9" s="500"/>
      <c r="AB9" s="500"/>
      <c r="AC9" s="502"/>
      <c r="AD9" s="379"/>
      <c r="AE9" s="379"/>
      <c r="AF9" s="379"/>
      <c r="AG9" s="421">
        <f t="shared" si="0"/>
        <v>1</v>
      </c>
      <c r="AH9" s="422">
        <f t="shared" si="1"/>
        <v>1</v>
      </c>
      <c r="AI9" s="422">
        <f t="shared" si="2"/>
        <v>0</v>
      </c>
      <c r="AJ9" s="355">
        <v>0</v>
      </c>
      <c r="AK9" s="423">
        <f t="shared" si="4"/>
        <v>0</v>
      </c>
      <c r="AL9" s="424">
        <f>IF($E9="위엠비_컨설팅",SUMPRODUCT(($F9='기준-단가'!$C$5:$C$11)*('기준-단가'!$H$5:$H$11)),
IF($E9="위엠비_개발",SUMPRODUCT(($F9='기준-단가'!$C$13:$C$19)*('기준-단가'!$H$13:$H$19)),
IF($E9="외주_컨설팅",SUMPRODUCT(($G9='기준-단가'!$D$21:$D$24)*('기준-단가'!$H$21:$H$24)),
IF($E9="외주_개발",SUMPRODUCT(($G9='기준-단가'!$D$26:$D$29)*('기준-단가'!$H$26:$H$29))))))</f>
        <v>10016</v>
      </c>
      <c r="AM9" s="425">
        <f t="shared" ref="AM9" si="6">AG9*AL9</f>
        <v>10016</v>
      </c>
    </row>
    <row r="10" spans="1:41">
      <c r="A10" s="679"/>
      <c r="B10" s="415" t="s">
        <v>369</v>
      </c>
      <c r="C10" s="401" t="s">
        <v>501</v>
      </c>
      <c r="D10" s="415" t="s">
        <v>482</v>
      </c>
      <c r="E10" s="415" t="s">
        <v>44</v>
      </c>
      <c r="F10" s="445" t="s">
        <v>528</v>
      </c>
      <c r="G10" s="415" t="s">
        <v>2</v>
      </c>
      <c r="H10" s="415" t="s">
        <v>526</v>
      </c>
      <c r="I10" s="493"/>
      <c r="J10" s="493"/>
      <c r="K10" s="493"/>
      <c r="L10" s="493"/>
      <c r="M10" s="493"/>
      <c r="N10" s="493"/>
      <c r="O10" s="493"/>
      <c r="P10" s="501"/>
      <c r="Q10" s="501"/>
      <c r="R10" s="501"/>
      <c r="S10" s="501"/>
      <c r="T10" s="501"/>
      <c r="U10" s="501"/>
      <c r="V10" s="501">
        <v>1</v>
      </c>
      <c r="W10" s="501"/>
      <c r="X10" s="501"/>
      <c r="Y10" s="501"/>
      <c r="Z10" s="501"/>
      <c r="AA10" s="501"/>
      <c r="AB10" s="501"/>
      <c r="AC10" s="503"/>
      <c r="AD10" s="494"/>
      <c r="AE10" s="494"/>
      <c r="AF10" s="494"/>
      <c r="AG10" s="421">
        <f t="shared" ref="AG10" si="7">SUM(I10:AF10)</f>
        <v>1</v>
      </c>
      <c r="AH10" s="422">
        <f t="shared" ref="AH10" si="8">SUM(I10:T10)</f>
        <v>0</v>
      </c>
      <c r="AI10" s="422">
        <f t="shared" ref="AI10" si="9">SUM(U10:AF10)</f>
        <v>1</v>
      </c>
      <c r="AJ10" s="355">
        <v>0</v>
      </c>
      <c r="AK10" s="423">
        <f t="shared" ref="AK10" si="10">AG10*AJ10</f>
        <v>0</v>
      </c>
      <c r="AL10" s="424">
        <f>IF($E10="위엠비_컨설팅",SUMPRODUCT(($F10='기준-단가'!$C$5:$C$11)*('기준-단가'!$H$5:$H$11)),
IF($E10="위엠비_개발",SUMPRODUCT(($F10='기준-단가'!$C$13:$C$19)*('기준-단가'!$H$13:$H$19)),
IF($E10="외주_컨설팅",SUMPRODUCT(($G10='기준-단가'!$D$21:$D$24)*('기준-단가'!$H$21:$H$24)),
IF($E10="외주_개발",SUMPRODUCT(($G10='기준-단가'!$D$26:$D$29)*('기준-단가'!$H$26:$H$29))))))</f>
        <v>12391</v>
      </c>
      <c r="AM10" s="425">
        <f t="shared" ref="AM10" si="11">AG10*AL10</f>
        <v>12391</v>
      </c>
    </row>
    <row r="11" spans="1:41">
      <c r="A11" s="679"/>
      <c r="B11" s="415" t="s">
        <v>369</v>
      </c>
      <c r="C11" s="401" t="s">
        <v>491</v>
      </c>
      <c r="D11" s="415" t="s">
        <v>482</v>
      </c>
      <c r="E11" s="415" t="s">
        <v>44</v>
      </c>
      <c r="F11" s="445" t="s">
        <v>493</v>
      </c>
      <c r="G11" s="415" t="s">
        <v>2</v>
      </c>
      <c r="H11" s="415" t="s">
        <v>520</v>
      </c>
      <c r="I11" s="493"/>
      <c r="J11" s="493"/>
      <c r="K11" s="493"/>
      <c r="L11" s="493"/>
      <c r="M11" s="493"/>
      <c r="N11" s="493"/>
      <c r="O11" s="493"/>
      <c r="P11" s="501"/>
      <c r="Q11" s="501"/>
      <c r="R11" s="501"/>
      <c r="S11" s="501"/>
      <c r="T11" s="501">
        <v>0.5</v>
      </c>
      <c r="U11" s="501">
        <v>1</v>
      </c>
      <c r="V11" s="501"/>
      <c r="W11" s="501"/>
      <c r="X11" s="501"/>
      <c r="Y11" s="501"/>
      <c r="Z11" s="501"/>
      <c r="AA11" s="501"/>
      <c r="AB11" s="501"/>
      <c r="AC11" s="503"/>
      <c r="AD11" s="494"/>
      <c r="AE11" s="494"/>
      <c r="AF11" s="494"/>
      <c r="AG11" s="421">
        <f t="shared" si="0"/>
        <v>1.5</v>
      </c>
      <c r="AH11" s="422">
        <f t="shared" si="1"/>
        <v>0.5</v>
      </c>
      <c r="AI11" s="422">
        <f t="shared" si="2"/>
        <v>1</v>
      </c>
      <c r="AJ11" s="355">
        <v>0</v>
      </c>
      <c r="AK11" s="423">
        <f t="shared" ref="AK11" si="12">AG11*AJ11</f>
        <v>0</v>
      </c>
      <c r="AL11" s="424">
        <f>IF($E11="위엠비_컨설팅",SUMPRODUCT(($F11='기준-단가'!$C$5:$C$11)*('기준-단가'!$H$5:$H$11)),
IF($E11="위엠비_개발",SUMPRODUCT(($F11='기준-단가'!$C$13:$C$19)*('기준-단가'!$H$13:$H$19)),
IF($E11="외주_컨설팅",SUMPRODUCT(($G11='기준-단가'!$D$21:$D$24)*('기준-단가'!$H$21:$H$24)),
IF($E11="외주_개발",SUMPRODUCT(($G11='기준-단가'!$D$26:$D$29)*('기준-단가'!$H$26:$H$29))))))</f>
        <v>11516</v>
      </c>
      <c r="AM11" s="425">
        <f t="shared" ref="AM11" si="13">AG11*AL11</f>
        <v>17274</v>
      </c>
    </row>
    <row r="12" spans="1:41">
      <c r="A12" s="679"/>
      <c r="B12" s="415" t="s">
        <v>369</v>
      </c>
      <c r="C12" s="401" t="s">
        <v>521</v>
      </c>
      <c r="D12" s="415" t="s">
        <v>482</v>
      </c>
      <c r="E12" s="415" t="s">
        <v>42</v>
      </c>
      <c r="F12" s="445" t="s">
        <v>506</v>
      </c>
      <c r="G12" s="415" t="s">
        <v>10</v>
      </c>
      <c r="H12" s="415" t="s">
        <v>538</v>
      </c>
      <c r="I12" s="491"/>
      <c r="J12" s="491"/>
      <c r="K12" s="491"/>
      <c r="L12" s="491"/>
      <c r="M12" s="491"/>
      <c r="N12" s="491"/>
      <c r="O12" s="491"/>
      <c r="P12" s="501"/>
      <c r="Q12" s="501"/>
      <c r="R12" s="501"/>
      <c r="S12" s="500"/>
      <c r="T12" s="500"/>
      <c r="U12" s="500">
        <v>2</v>
      </c>
      <c r="V12" s="500">
        <v>2</v>
      </c>
      <c r="W12" s="500">
        <v>2</v>
      </c>
      <c r="X12" s="500">
        <v>2</v>
      </c>
      <c r="Y12" s="500">
        <v>3</v>
      </c>
      <c r="Z12" s="500">
        <v>3</v>
      </c>
      <c r="AA12" s="500">
        <v>3</v>
      </c>
      <c r="AB12" s="500">
        <v>3</v>
      </c>
      <c r="AC12" s="503">
        <v>3</v>
      </c>
      <c r="AD12" s="494"/>
      <c r="AE12" s="494"/>
      <c r="AF12" s="494"/>
      <c r="AG12" s="421">
        <f t="shared" si="0"/>
        <v>23</v>
      </c>
      <c r="AH12" s="422">
        <f t="shared" si="1"/>
        <v>0</v>
      </c>
      <c r="AI12" s="422">
        <f t="shared" si="2"/>
        <v>23</v>
      </c>
      <c r="AJ12" s="355">
        <v>0</v>
      </c>
      <c r="AK12" s="423">
        <f t="shared" ref="AK12" si="14">AG12*AJ12</f>
        <v>0</v>
      </c>
      <c r="AL12" s="424">
        <v>2150</v>
      </c>
      <c r="AM12" s="425">
        <f t="shared" ref="AM12" si="15">AG12*AL12</f>
        <v>49450</v>
      </c>
    </row>
    <row r="13" spans="1:41">
      <c r="A13" s="679"/>
      <c r="B13" s="415" t="s">
        <v>523</v>
      </c>
      <c r="C13" s="401" t="s">
        <v>523</v>
      </c>
      <c r="D13" s="415"/>
      <c r="E13" s="415" t="s">
        <v>43</v>
      </c>
      <c r="F13" s="445" t="s">
        <v>537</v>
      </c>
      <c r="G13" s="415" t="s">
        <v>6</v>
      </c>
      <c r="H13" s="415" t="s">
        <v>536</v>
      </c>
      <c r="I13" s="493"/>
      <c r="J13" s="493"/>
      <c r="K13" s="493"/>
      <c r="L13" s="493"/>
      <c r="M13" s="493"/>
      <c r="N13" s="493"/>
      <c r="O13" s="493"/>
      <c r="P13" s="501"/>
      <c r="Q13" s="501"/>
      <c r="R13" s="501"/>
      <c r="S13" s="501"/>
      <c r="T13" s="501"/>
      <c r="U13" s="501"/>
      <c r="V13" s="501"/>
      <c r="W13" s="501"/>
      <c r="X13" s="501"/>
      <c r="Y13" s="501"/>
      <c r="Z13" s="501"/>
      <c r="AA13" s="501"/>
      <c r="AB13" s="501"/>
      <c r="AC13" s="503"/>
      <c r="AD13" s="494"/>
      <c r="AE13" s="494"/>
      <c r="AF13" s="494"/>
      <c r="AG13" s="495"/>
      <c r="AH13" s="496"/>
      <c r="AI13" s="496"/>
      <c r="AJ13" s="497">
        <v>0</v>
      </c>
      <c r="AK13" s="498">
        <v>0</v>
      </c>
      <c r="AL13" s="499"/>
      <c r="AM13" s="425">
        <f>AK6*10%</f>
        <v>68530</v>
      </c>
    </row>
    <row r="14" spans="1:41">
      <c r="A14" s="680"/>
      <c r="B14" s="426" t="s">
        <v>475</v>
      </c>
      <c r="C14" s="427"/>
      <c r="D14" s="427"/>
      <c r="E14" s="427"/>
      <c r="F14" s="427"/>
      <c r="G14" s="427"/>
      <c r="H14" s="427"/>
      <c r="I14" s="428">
        <f t="shared" ref="I14:R14" si="16">SUM(I6:I12)</f>
        <v>0</v>
      </c>
      <c r="J14" s="428">
        <f t="shared" si="16"/>
        <v>0</v>
      </c>
      <c r="K14" s="428">
        <f t="shared" si="16"/>
        <v>0</v>
      </c>
      <c r="L14" s="428">
        <f t="shared" si="16"/>
        <v>0</v>
      </c>
      <c r="M14" s="428">
        <f t="shared" si="16"/>
        <v>0</v>
      </c>
      <c r="N14" s="428">
        <f t="shared" si="16"/>
        <v>0</v>
      </c>
      <c r="O14" s="428">
        <f t="shared" si="16"/>
        <v>0</v>
      </c>
      <c r="P14" s="428">
        <f t="shared" si="16"/>
        <v>0</v>
      </c>
      <c r="Q14" s="428">
        <f t="shared" si="16"/>
        <v>0</v>
      </c>
      <c r="R14" s="428">
        <f t="shared" si="16"/>
        <v>0</v>
      </c>
      <c r="S14" s="428">
        <f t="shared" ref="S14:AB14" si="17">SUM(S6:S13)</f>
        <v>0.25</v>
      </c>
      <c r="T14" s="428">
        <f t="shared" si="17"/>
        <v>4.5</v>
      </c>
      <c r="U14" s="428">
        <f t="shared" si="17"/>
        <v>6</v>
      </c>
      <c r="V14" s="428">
        <f t="shared" si="17"/>
        <v>6</v>
      </c>
      <c r="W14" s="428">
        <f t="shared" si="17"/>
        <v>5</v>
      </c>
      <c r="X14" s="428">
        <f t="shared" si="17"/>
        <v>5</v>
      </c>
      <c r="Y14" s="428">
        <f t="shared" si="17"/>
        <v>6</v>
      </c>
      <c r="Z14" s="428">
        <f t="shared" si="17"/>
        <v>6</v>
      </c>
      <c r="AA14" s="428">
        <f t="shared" si="17"/>
        <v>6</v>
      </c>
      <c r="AB14" s="428">
        <f t="shared" si="17"/>
        <v>6</v>
      </c>
      <c r="AC14" s="428">
        <f>SUM(AC6:AC12)</f>
        <v>4.5</v>
      </c>
      <c r="AD14" s="428">
        <f>SUM(AD6:AD12)</f>
        <v>0</v>
      </c>
      <c r="AE14" s="428">
        <f>SUM(AE6:AE12)</f>
        <v>0</v>
      </c>
      <c r="AF14" s="428">
        <f>SUM(AF6:AF12)</f>
        <v>0</v>
      </c>
      <c r="AG14" s="458">
        <f>SUM(AG6:AG13)</f>
        <v>55.25</v>
      </c>
      <c r="AH14" s="461">
        <f>SUM(AH6:AH13)</f>
        <v>4.75</v>
      </c>
      <c r="AI14" s="463">
        <f>SUM(AI6:AI13)</f>
        <v>50.5</v>
      </c>
      <c r="AJ14" s="429">
        <f>AK14/AG14</f>
        <v>12403.619909502262</v>
      </c>
      <c r="AK14" s="492">
        <f>SUM(AK6:AK12)</f>
        <v>685300</v>
      </c>
      <c r="AL14" s="459">
        <f>AM14/AG14</f>
        <v>9242.6877828054294</v>
      </c>
      <c r="AM14" s="430">
        <f>SUM(AM6:AM13)</f>
        <v>510658.5</v>
      </c>
    </row>
    <row r="15" spans="1:41" ht="13.5" thickBot="1">
      <c r="A15" s="693" t="s">
        <v>327</v>
      </c>
      <c r="B15" s="694"/>
      <c r="C15" s="694"/>
      <c r="D15" s="695"/>
      <c r="E15" s="695"/>
      <c r="F15" s="695"/>
      <c r="G15" s="695"/>
      <c r="H15" s="695"/>
      <c r="I15" s="244">
        <f t="shared" ref="I15:AI15" si="18">SUMPRODUCT(($B$14:$B$14="소계")*(I$14:I$14))</f>
        <v>0</v>
      </c>
      <c r="J15" s="244">
        <f t="shared" si="18"/>
        <v>0</v>
      </c>
      <c r="K15" s="244">
        <f t="shared" si="18"/>
        <v>0</v>
      </c>
      <c r="L15" s="244">
        <f t="shared" si="18"/>
        <v>0</v>
      </c>
      <c r="M15" s="244">
        <f t="shared" si="18"/>
        <v>0</v>
      </c>
      <c r="N15" s="244">
        <f t="shared" si="18"/>
        <v>0</v>
      </c>
      <c r="O15" s="244">
        <f t="shared" si="18"/>
        <v>0</v>
      </c>
      <c r="P15" s="245">
        <f t="shared" si="18"/>
        <v>0</v>
      </c>
      <c r="Q15" s="244">
        <f t="shared" si="18"/>
        <v>0</v>
      </c>
      <c r="R15" s="244">
        <f t="shared" si="18"/>
        <v>0</v>
      </c>
      <c r="S15" s="244">
        <f t="shared" si="18"/>
        <v>0.25</v>
      </c>
      <c r="T15" s="244">
        <f t="shared" si="18"/>
        <v>4.5</v>
      </c>
      <c r="U15" s="244">
        <f t="shared" si="18"/>
        <v>6</v>
      </c>
      <c r="V15" s="244">
        <f t="shared" si="18"/>
        <v>6</v>
      </c>
      <c r="W15" s="244">
        <f t="shared" si="18"/>
        <v>5</v>
      </c>
      <c r="X15" s="244">
        <f t="shared" si="18"/>
        <v>5</v>
      </c>
      <c r="Y15" s="244">
        <f t="shared" si="18"/>
        <v>6</v>
      </c>
      <c r="Z15" s="244">
        <f t="shared" si="18"/>
        <v>6</v>
      </c>
      <c r="AA15" s="244">
        <f t="shared" si="18"/>
        <v>6</v>
      </c>
      <c r="AB15" s="244">
        <f t="shared" si="18"/>
        <v>6</v>
      </c>
      <c r="AC15" s="244">
        <f t="shared" si="18"/>
        <v>4.5</v>
      </c>
      <c r="AD15" s="244">
        <f t="shared" si="18"/>
        <v>0</v>
      </c>
      <c r="AE15" s="244">
        <f t="shared" si="18"/>
        <v>0</v>
      </c>
      <c r="AF15" s="244">
        <f t="shared" si="18"/>
        <v>0</v>
      </c>
      <c r="AG15" s="246">
        <f t="shared" si="18"/>
        <v>55.25</v>
      </c>
      <c r="AH15" s="462">
        <f t="shared" si="18"/>
        <v>4.75</v>
      </c>
      <c r="AI15" s="464">
        <f t="shared" si="18"/>
        <v>50.5</v>
      </c>
      <c r="AJ15" s="247">
        <f>AK15/AG15</f>
        <v>12403.619909502262</v>
      </c>
      <c r="AK15" s="299">
        <f>SUMPRODUCT(($B$14:$B$14="소계")*(AK$14:AK$14))</f>
        <v>685300</v>
      </c>
      <c r="AL15" s="460">
        <f>AM15/AG15</f>
        <v>9242.6877828054294</v>
      </c>
      <c r="AM15" s="431">
        <f>SUMPRODUCT(($B$14:$B$14="소계")*(AM$14:AM$14))</f>
        <v>510658.5</v>
      </c>
    </row>
    <row r="16" spans="1:41" ht="13.5" thickBot="1">
      <c r="A16" s="184"/>
      <c r="B16" s="184"/>
      <c r="C16" s="184"/>
      <c r="D16" s="184"/>
      <c r="E16" s="184"/>
      <c r="F16" s="184"/>
      <c r="G16" s="184"/>
      <c r="H16" s="184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6"/>
      <c r="AH16" s="185"/>
      <c r="AI16" s="185"/>
      <c r="AJ16" s="312"/>
      <c r="AK16" s="188">
        <f>AK15*1.1</f>
        <v>753830.00000000012</v>
      </c>
      <c r="AL16" s="187"/>
      <c r="AM16" s="187"/>
      <c r="AO16" s="380"/>
    </row>
    <row r="17" spans="1:41" ht="18.75" thickBot="1">
      <c r="A17" s="608" t="s">
        <v>328</v>
      </c>
      <c r="B17" s="608"/>
      <c r="C17" s="608"/>
      <c r="D17" s="689"/>
      <c r="E17" s="689"/>
      <c r="F17" s="689"/>
      <c r="G17" s="689"/>
      <c r="H17" s="689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89"/>
      <c r="AH17" s="173"/>
      <c r="AI17" s="173"/>
      <c r="AJ17" s="175"/>
      <c r="AK17" s="175"/>
      <c r="AL17" s="175"/>
      <c r="AM17" s="175"/>
    </row>
    <row r="18" spans="1:41">
      <c r="A18" s="173"/>
      <c r="B18" s="173"/>
      <c r="C18" s="173"/>
      <c r="D18" s="698" t="s">
        <v>329</v>
      </c>
      <c r="E18" s="190" t="s">
        <v>46</v>
      </c>
      <c r="F18" s="191"/>
      <c r="G18" s="191" t="s">
        <v>3</v>
      </c>
      <c r="H18" s="192"/>
      <c r="I18" s="326">
        <f t="shared" ref="I18:R24" si="19">SUMPRODUCT(($E$6:$E$12=$E18)*($G18=$F$6:$F$12)*(I$6:I$12))</f>
        <v>0</v>
      </c>
      <c r="J18" s="327">
        <f t="shared" si="19"/>
        <v>0</v>
      </c>
      <c r="K18" s="327">
        <f t="shared" si="19"/>
        <v>0</v>
      </c>
      <c r="L18" s="327">
        <f t="shared" si="19"/>
        <v>0</v>
      </c>
      <c r="M18" s="327">
        <f t="shared" si="19"/>
        <v>0</v>
      </c>
      <c r="N18" s="327">
        <f t="shared" si="19"/>
        <v>0</v>
      </c>
      <c r="O18" s="327">
        <f t="shared" si="19"/>
        <v>0</v>
      </c>
      <c r="P18" s="327">
        <f t="shared" si="19"/>
        <v>0</v>
      </c>
      <c r="Q18" s="327">
        <f t="shared" si="19"/>
        <v>0</v>
      </c>
      <c r="R18" s="327">
        <f t="shared" si="19"/>
        <v>0</v>
      </c>
      <c r="S18" s="327">
        <f t="shared" ref="S18:AB24" si="20">SUMPRODUCT(($E$6:$E$12=$E18)*($G18=$F$6:$F$12)*(S$6:S$12))</f>
        <v>0</v>
      </c>
      <c r="T18" s="327">
        <f t="shared" si="20"/>
        <v>0</v>
      </c>
      <c r="U18" s="327">
        <f t="shared" si="20"/>
        <v>0</v>
      </c>
      <c r="V18" s="327">
        <f t="shared" si="20"/>
        <v>0</v>
      </c>
      <c r="W18" s="327">
        <f t="shared" si="20"/>
        <v>0</v>
      </c>
      <c r="X18" s="327">
        <f t="shared" si="20"/>
        <v>0</v>
      </c>
      <c r="Y18" s="327">
        <f t="shared" si="20"/>
        <v>0</v>
      </c>
      <c r="Z18" s="327">
        <f t="shared" si="20"/>
        <v>0</v>
      </c>
      <c r="AA18" s="327">
        <f t="shared" si="20"/>
        <v>0</v>
      </c>
      <c r="AB18" s="327">
        <f t="shared" si="20"/>
        <v>0</v>
      </c>
      <c r="AC18" s="327">
        <f t="shared" ref="AC18:AM24" si="21">SUMPRODUCT(($E$6:$E$12=$E18)*($G18=$F$6:$F$12)*(AC$6:AC$12))</f>
        <v>0</v>
      </c>
      <c r="AD18" s="327">
        <f t="shared" si="21"/>
        <v>0</v>
      </c>
      <c r="AE18" s="327">
        <f t="shared" si="21"/>
        <v>0</v>
      </c>
      <c r="AF18" s="328">
        <f t="shared" si="21"/>
        <v>0</v>
      </c>
      <c r="AG18" s="326">
        <f t="shared" si="21"/>
        <v>0</v>
      </c>
      <c r="AH18" s="327">
        <f t="shared" si="21"/>
        <v>0</v>
      </c>
      <c r="AI18" s="328">
        <f t="shared" si="21"/>
        <v>0</v>
      </c>
      <c r="AJ18" s="337">
        <f t="shared" si="21"/>
        <v>0</v>
      </c>
      <c r="AK18" s="338">
        <f t="shared" si="21"/>
        <v>0</v>
      </c>
      <c r="AL18" s="338">
        <f t="shared" si="21"/>
        <v>0</v>
      </c>
      <c r="AM18" s="384">
        <f t="shared" si="21"/>
        <v>0</v>
      </c>
    </row>
    <row r="19" spans="1:41">
      <c r="A19" s="173"/>
      <c r="B19" s="173"/>
      <c r="C19" s="173"/>
      <c r="D19" s="699"/>
      <c r="E19" s="385" t="s">
        <v>46</v>
      </c>
      <c r="F19" s="386"/>
      <c r="G19" s="386" t="s">
        <v>4</v>
      </c>
      <c r="H19" s="387"/>
      <c r="I19" s="329">
        <f t="shared" si="19"/>
        <v>0</v>
      </c>
      <c r="J19" s="388">
        <f t="shared" si="19"/>
        <v>0</v>
      </c>
      <c r="K19" s="388">
        <f t="shared" si="19"/>
        <v>0</v>
      </c>
      <c r="L19" s="388">
        <f t="shared" si="19"/>
        <v>0</v>
      </c>
      <c r="M19" s="388">
        <f t="shared" si="19"/>
        <v>0</v>
      </c>
      <c r="N19" s="388">
        <f t="shared" si="19"/>
        <v>0</v>
      </c>
      <c r="O19" s="388">
        <f t="shared" si="19"/>
        <v>0</v>
      </c>
      <c r="P19" s="388">
        <f t="shared" si="19"/>
        <v>0</v>
      </c>
      <c r="Q19" s="388">
        <f t="shared" si="19"/>
        <v>0</v>
      </c>
      <c r="R19" s="388">
        <f t="shared" si="19"/>
        <v>0</v>
      </c>
      <c r="S19" s="388">
        <f t="shared" si="20"/>
        <v>0</v>
      </c>
      <c r="T19" s="388">
        <f t="shared" si="20"/>
        <v>0</v>
      </c>
      <c r="U19" s="388">
        <f t="shared" si="20"/>
        <v>0</v>
      </c>
      <c r="V19" s="388">
        <f t="shared" si="20"/>
        <v>0</v>
      </c>
      <c r="W19" s="388">
        <f t="shared" si="20"/>
        <v>0</v>
      </c>
      <c r="X19" s="388">
        <f t="shared" si="20"/>
        <v>0</v>
      </c>
      <c r="Y19" s="388">
        <f t="shared" si="20"/>
        <v>0</v>
      </c>
      <c r="Z19" s="388">
        <f t="shared" si="20"/>
        <v>0</v>
      </c>
      <c r="AA19" s="388">
        <f t="shared" si="20"/>
        <v>0</v>
      </c>
      <c r="AB19" s="388">
        <f t="shared" si="20"/>
        <v>0</v>
      </c>
      <c r="AC19" s="388">
        <f t="shared" si="21"/>
        <v>0</v>
      </c>
      <c r="AD19" s="388">
        <f t="shared" si="21"/>
        <v>0</v>
      </c>
      <c r="AE19" s="388">
        <f t="shared" si="21"/>
        <v>0</v>
      </c>
      <c r="AF19" s="330">
        <f t="shared" si="21"/>
        <v>0</v>
      </c>
      <c r="AG19" s="329">
        <f t="shared" si="21"/>
        <v>0</v>
      </c>
      <c r="AH19" s="388">
        <f t="shared" si="21"/>
        <v>0</v>
      </c>
      <c r="AI19" s="330">
        <f t="shared" si="21"/>
        <v>0</v>
      </c>
      <c r="AJ19" s="339">
        <f t="shared" si="21"/>
        <v>0</v>
      </c>
      <c r="AK19" s="389">
        <f t="shared" si="21"/>
        <v>0</v>
      </c>
      <c r="AL19" s="389">
        <f t="shared" si="21"/>
        <v>0</v>
      </c>
      <c r="AM19" s="390">
        <f t="shared" si="21"/>
        <v>0</v>
      </c>
    </row>
    <row r="20" spans="1:41">
      <c r="A20" s="173"/>
      <c r="B20" s="173"/>
      <c r="C20" s="173"/>
      <c r="D20" s="699"/>
      <c r="E20" s="385" t="s">
        <v>46</v>
      </c>
      <c r="F20" s="386"/>
      <c r="G20" s="391" t="s">
        <v>388</v>
      </c>
      <c r="H20" s="387"/>
      <c r="I20" s="329">
        <f t="shared" si="19"/>
        <v>0</v>
      </c>
      <c r="J20" s="388">
        <f t="shared" si="19"/>
        <v>0</v>
      </c>
      <c r="K20" s="388">
        <f t="shared" si="19"/>
        <v>0</v>
      </c>
      <c r="L20" s="388">
        <f t="shared" si="19"/>
        <v>0</v>
      </c>
      <c r="M20" s="388">
        <f t="shared" si="19"/>
        <v>0</v>
      </c>
      <c r="N20" s="388">
        <f t="shared" si="19"/>
        <v>0</v>
      </c>
      <c r="O20" s="388">
        <f t="shared" si="19"/>
        <v>0</v>
      </c>
      <c r="P20" s="388">
        <f t="shared" si="19"/>
        <v>0</v>
      </c>
      <c r="Q20" s="388">
        <f t="shared" si="19"/>
        <v>0</v>
      </c>
      <c r="R20" s="388">
        <f t="shared" si="19"/>
        <v>0</v>
      </c>
      <c r="S20" s="388">
        <f t="shared" si="20"/>
        <v>0</v>
      </c>
      <c r="T20" s="388">
        <f t="shared" si="20"/>
        <v>0</v>
      </c>
      <c r="U20" s="388">
        <f t="shared" si="20"/>
        <v>0</v>
      </c>
      <c r="V20" s="388">
        <f t="shared" si="20"/>
        <v>0</v>
      </c>
      <c r="W20" s="388">
        <f t="shared" si="20"/>
        <v>0</v>
      </c>
      <c r="X20" s="388">
        <f t="shared" si="20"/>
        <v>0</v>
      </c>
      <c r="Y20" s="388">
        <f t="shared" si="20"/>
        <v>0</v>
      </c>
      <c r="Z20" s="388">
        <f t="shared" si="20"/>
        <v>0</v>
      </c>
      <c r="AA20" s="388">
        <f t="shared" si="20"/>
        <v>0</v>
      </c>
      <c r="AB20" s="388">
        <f t="shared" si="20"/>
        <v>0</v>
      </c>
      <c r="AC20" s="388">
        <f t="shared" si="21"/>
        <v>0</v>
      </c>
      <c r="AD20" s="388">
        <f t="shared" si="21"/>
        <v>0</v>
      </c>
      <c r="AE20" s="388">
        <f t="shared" si="21"/>
        <v>0</v>
      </c>
      <c r="AF20" s="330">
        <f t="shared" si="21"/>
        <v>0</v>
      </c>
      <c r="AG20" s="329">
        <f t="shared" si="21"/>
        <v>0</v>
      </c>
      <c r="AH20" s="388">
        <f t="shared" si="21"/>
        <v>0</v>
      </c>
      <c r="AI20" s="330">
        <f t="shared" si="21"/>
        <v>0</v>
      </c>
      <c r="AJ20" s="339">
        <f t="shared" si="21"/>
        <v>0</v>
      </c>
      <c r="AK20" s="389">
        <f t="shared" si="21"/>
        <v>0</v>
      </c>
      <c r="AL20" s="389">
        <f t="shared" si="21"/>
        <v>0</v>
      </c>
      <c r="AM20" s="390">
        <f t="shared" si="21"/>
        <v>0</v>
      </c>
    </row>
    <row r="21" spans="1:41">
      <c r="A21" s="173"/>
      <c r="B21" s="173"/>
      <c r="C21" s="173"/>
      <c r="D21" s="699"/>
      <c r="E21" s="385" t="s">
        <v>46</v>
      </c>
      <c r="F21" s="386"/>
      <c r="G21" s="391" t="s">
        <v>389</v>
      </c>
      <c r="H21" s="387"/>
      <c r="I21" s="329">
        <f t="shared" si="19"/>
        <v>0</v>
      </c>
      <c r="J21" s="388">
        <f t="shared" si="19"/>
        <v>0</v>
      </c>
      <c r="K21" s="388">
        <f t="shared" si="19"/>
        <v>0</v>
      </c>
      <c r="L21" s="388">
        <f t="shared" si="19"/>
        <v>0</v>
      </c>
      <c r="M21" s="388">
        <f t="shared" si="19"/>
        <v>0</v>
      </c>
      <c r="N21" s="388">
        <f t="shared" si="19"/>
        <v>0</v>
      </c>
      <c r="O21" s="388">
        <f t="shared" si="19"/>
        <v>0</v>
      </c>
      <c r="P21" s="388">
        <f t="shared" si="19"/>
        <v>0</v>
      </c>
      <c r="Q21" s="388">
        <f t="shared" si="19"/>
        <v>0</v>
      </c>
      <c r="R21" s="388">
        <f t="shared" si="19"/>
        <v>0</v>
      </c>
      <c r="S21" s="388">
        <f t="shared" si="20"/>
        <v>0</v>
      </c>
      <c r="T21" s="388">
        <f t="shared" si="20"/>
        <v>0</v>
      </c>
      <c r="U21" s="388">
        <f t="shared" si="20"/>
        <v>0</v>
      </c>
      <c r="V21" s="388">
        <f t="shared" si="20"/>
        <v>0</v>
      </c>
      <c r="W21" s="388">
        <f t="shared" si="20"/>
        <v>0</v>
      </c>
      <c r="X21" s="388">
        <f t="shared" si="20"/>
        <v>0</v>
      </c>
      <c r="Y21" s="388">
        <f t="shared" si="20"/>
        <v>0</v>
      </c>
      <c r="Z21" s="388">
        <f t="shared" si="20"/>
        <v>0</v>
      </c>
      <c r="AA21" s="388">
        <f t="shared" si="20"/>
        <v>0</v>
      </c>
      <c r="AB21" s="388">
        <f t="shared" si="20"/>
        <v>0</v>
      </c>
      <c r="AC21" s="388">
        <f t="shared" si="21"/>
        <v>0</v>
      </c>
      <c r="AD21" s="388">
        <f t="shared" si="21"/>
        <v>0</v>
      </c>
      <c r="AE21" s="388">
        <f t="shared" si="21"/>
        <v>0</v>
      </c>
      <c r="AF21" s="330">
        <f t="shared" si="21"/>
        <v>0</v>
      </c>
      <c r="AG21" s="329">
        <f t="shared" si="21"/>
        <v>0</v>
      </c>
      <c r="AH21" s="388">
        <f t="shared" si="21"/>
        <v>0</v>
      </c>
      <c r="AI21" s="330">
        <f t="shared" si="21"/>
        <v>0</v>
      </c>
      <c r="AJ21" s="339">
        <f t="shared" si="21"/>
        <v>0</v>
      </c>
      <c r="AK21" s="389">
        <f t="shared" si="21"/>
        <v>0</v>
      </c>
      <c r="AL21" s="389">
        <f t="shared" si="21"/>
        <v>0</v>
      </c>
      <c r="AM21" s="390">
        <f t="shared" si="21"/>
        <v>0</v>
      </c>
    </row>
    <row r="22" spans="1:41">
      <c r="A22" s="173"/>
      <c r="B22" s="173"/>
      <c r="C22" s="173"/>
      <c r="D22" s="699"/>
      <c r="E22" s="385" t="s">
        <v>46</v>
      </c>
      <c r="F22" s="386"/>
      <c r="G22" s="391" t="s">
        <v>390</v>
      </c>
      <c r="H22" s="387"/>
      <c r="I22" s="329">
        <f t="shared" si="19"/>
        <v>0</v>
      </c>
      <c r="J22" s="388">
        <f t="shared" si="19"/>
        <v>0</v>
      </c>
      <c r="K22" s="388">
        <f t="shared" si="19"/>
        <v>0</v>
      </c>
      <c r="L22" s="388">
        <f t="shared" si="19"/>
        <v>0</v>
      </c>
      <c r="M22" s="388">
        <f t="shared" si="19"/>
        <v>0</v>
      </c>
      <c r="N22" s="388">
        <f t="shared" si="19"/>
        <v>0</v>
      </c>
      <c r="O22" s="388">
        <f t="shared" si="19"/>
        <v>0</v>
      </c>
      <c r="P22" s="388">
        <f t="shared" si="19"/>
        <v>0</v>
      </c>
      <c r="Q22" s="388">
        <f t="shared" si="19"/>
        <v>0</v>
      </c>
      <c r="R22" s="388">
        <f t="shared" si="19"/>
        <v>0</v>
      </c>
      <c r="S22" s="388">
        <f t="shared" si="20"/>
        <v>0</v>
      </c>
      <c r="T22" s="388">
        <f t="shared" si="20"/>
        <v>0</v>
      </c>
      <c r="U22" s="388">
        <f t="shared" si="20"/>
        <v>0</v>
      </c>
      <c r="V22" s="388">
        <f t="shared" si="20"/>
        <v>0</v>
      </c>
      <c r="W22" s="388">
        <f t="shared" si="20"/>
        <v>0</v>
      </c>
      <c r="X22" s="388">
        <f t="shared" si="20"/>
        <v>0</v>
      </c>
      <c r="Y22" s="388">
        <f t="shared" si="20"/>
        <v>0</v>
      </c>
      <c r="Z22" s="388">
        <f t="shared" si="20"/>
        <v>0</v>
      </c>
      <c r="AA22" s="388">
        <f t="shared" si="20"/>
        <v>0</v>
      </c>
      <c r="AB22" s="388">
        <f t="shared" si="20"/>
        <v>0</v>
      </c>
      <c r="AC22" s="388">
        <f t="shared" si="21"/>
        <v>0</v>
      </c>
      <c r="AD22" s="388">
        <f t="shared" si="21"/>
        <v>0</v>
      </c>
      <c r="AE22" s="388">
        <f t="shared" si="21"/>
        <v>0</v>
      </c>
      <c r="AF22" s="330">
        <f t="shared" si="21"/>
        <v>0</v>
      </c>
      <c r="AG22" s="329">
        <f t="shared" si="21"/>
        <v>0</v>
      </c>
      <c r="AH22" s="388">
        <f t="shared" si="21"/>
        <v>0</v>
      </c>
      <c r="AI22" s="330">
        <f t="shared" si="21"/>
        <v>0</v>
      </c>
      <c r="AJ22" s="339">
        <f t="shared" si="21"/>
        <v>0</v>
      </c>
      <c r="AK22" s="389">
        <f t="shared" si="21"/>
        <v>0</v>
      </c>
      <c r="AL22" s="389">
        <f t="shared" si="21"/>
        <v>0</v>
      </c>
      <c r="AM22" s="390">
        <f t="shared" si="21"/>
        <v>0</v>
      </c>
    </row>
    <row r="23" spans="1:41">
      <c r="A23" s="173"/>
      <c r="B23" s="173"/>
      <c r="C23" s="173"/>
      <c r="D23" s="699"/>
      <c r="E23" s="385" t="s">
        <v>46</v>
      </c>
      <c r="F23" s="386"/>
      <c r="G23" s="391" t="s">
        <v>391</v>
      </c>
      <c r="H23" s="387"/>
      <c r="I23" s="329">
        <f t="shared" si="19"/>
        <v>0</v>
      </c>
      <c r="J23" s="388">
        <f t="shared" si="19"/>
        <v>0</v>
      </c>
      <c r="K23" s="388">
        <f t="shared" si="19"/>
        <v>0</v>
      </c>
      <c r="L23" s="388">
        <f t="shared" si="19"/>
        <v>0</v>
      </c>
      <c r="M23" s="388">
        <f t="shared" si="19"/>
        <v>0</v>
      </c>
      <c r="N23" s="388">
        <f t="shared" si="19"/>
        <v>0</v>
      </c>
      <c r="O23" s="388">
        <f t="shared" si="19"/>
        <v>0</v>
      </c>
      <c r="P23" s="388">
        <f t="shared" si="19"/>
        <v>0</v>
      </c>
      <c r="Q23" s="388">
        <f t="shared" si="19"/>
        <v>0</v>
      </c>
      <c r="R23" s="388">
        <f t="shared" si="19"/>
        <v>0</v>
      </c>
      <c r="S23" s="388">
        <f t="shared" si="20"/>
        <v>0</v>
      </c>
      <c r="T23" s="388">
        <f t="shared" si="20"/>
        <v>0</v>
      </c>
      <c r="U23" s="388">
        <f t="shared" si="20"/>
        <v>0</v>
      </c>
      <c r="V23" s="388">
        <f t="shared" si="20"/>
        <v>0</v>
      </c>
      <c r="W23" s="388">
        <f t="shared" si="20"/>
        <v>0</v>
      </c>
      <c r="X23" s="388">
        <f t="shared" si="20"/>
        <v>0</v>
      </c>
      <c r="Y23" s="388">
        <f t="shared" si="20"/>
        <v>0</v>
      </c>
      <c r="Z23" s="388">
        <f t="shared" si="20"/>
        <v>0</v>
      </c>
      <c r="AA23" s="388">
        <f t="shared" si="20"/>
        <v>0</v>
      </c>
      <c r="AB23" s="388">
        <f t="shared" si="20"/>
        <v>0</v>
      </c>
      <c r="AC23" s="388">
        <f t="shared" si="21"/>
        <v>0</v>
      </c>
      <c r="AD23" s="388">
        <f t="shared" si="21"/>
        <v>0</v>
      </c>
      <c r="AE23" s="388">
        <f t="shared" si="21"/>
        <v>0</v>
      </c>
      <c r="AF23" s="330">
        <f t="shared" si="21"/>
        <v>0</v>
      </c>
      <c r="AG23" s="329">
        <f t="shared" si="21"/>
        <v>0</v>
      </c>
      <c r="AH23" s="388">
        <f t="shared" si="21"/>
        <v>0</v>
      </c>
      <c r="AI23" s="330">
        <f t="shared" si="21"/>
        <v>0</v>
      </c>
      <c r="AJ23" s="339">
        <f t="shared" si="21"/>
        <v>0</v>
      </c>
      <c r="AK23" s="389">
        <f t="shared" si="21"/>
        <v>0</v>
      </c>
      <c r="AL23" s="389">
        <f t="shared" si="21"/>
        <v>0</v>
      </c>
      <c r="AM23" s="390">
        <f t="shared" si="21"/>
        <v>0</v>
      </c>
    </row>
    <row r="24" spans="1:41">
      <c r="A24" s="173"/>
      <c r="B24" s="173"/>
      <c r="C24" s="173"/>
      <c r="D24" s="699"/>
      <c r="E24" s="385" t="s">
        <v>46</v>
      </c>
      <c r="F24" s="386"/>
      <c r="G24" s="386" t="s">
        <v>5</v>
      </c>
      <c r="H24" s="387"/>
      <c r="I24" s="329">
        <f t="shared" si="19"/>
        <v>0</v>
      </c>
      <c r="J24" s="388">
        <f t="shared" si="19"/>
        <v>0</v>
      </c>
      <c r="K24" s="388">
        <f t="shared" si="19"/>
        <v>0</v>
      </c>
      <c r="L24" s="388">
        <f t="shared" si="19"/>
        <v>0</v>
      </c>
      <c r="M24" s="388">
        <f t="shared" si="19"/>
        <v>0</v>
      </c>
      <c r="N24" s="388">
        <f t="shared" si="19"/>
        <v>0</v>
      </c>
      <c r="O24" s="388">
        <f t="shared" si="19"/>
        <v>0</v>
      </c>
      <c r="P24" s="388">
        <f t="shared" si="19"/>
        <v>0</v>
      </c>
      <c r="Q24" s="388">
        <f t="shared" si="19"/>
        <v>0</v>
      </c>
      <c r="R24" s="388">
        <f t="shared" si="19"/>
        <v>0</v>
      </c>
      <c r="S24" s="388">
        <f t="shared" si="20"/>
        <v>0</v>
      </c>
      <c r="T24" s="388">
        <f t="shared" si="20"/>
        <v>0</v>
      </c>
      <c r="U24" s="388">
        <f t="shared" si="20"/>
        <v>0</v>
      </c>
      <c r="V24" s="388">
        <f t="shared" si="20"/>
        <v>0</v>
      </c>
      <c r="W24" s="388">
        <f t="shared" si="20"/>
        <v>0</v>
      </c>
      <c r="X24" s="388">
        <f t="shared" si="20"/>
        <v>0</v>
      </c>
      <c r="Y24" s="388">
        <f t="shared" si="20"/>
        <v>0</v>
      </c>
      <c r="Z24" s="388">
        <f t="shared" si="20"/>
        <v>0</v>
      </c>
      <c r="AA24" s="388">
        <f t="shared" si="20"/>
        <v>0</v>
      </c>
      <c r="AB24" s="388">
        <f t="shared" si="20"/>
        <v>0</v>
      </c>
      <c r="AC24" s="388">
        <f t="shared" si="21"/>
        <v>0</v>
      </c>
      <c r="AD24" s="388">
        <f t="shared" si="21"/>
        <v>0</v>
      </c>
      <c r="AE24" s="388">
        <f t="shared" si="21"/>
        <v>0</v>
      </c>
      <c r="AF24" s="330">
        <f t="shared" si="21"/>
        <v>0</v>
      </c>
      <c r="AG24" s="329">
        <f t="shared" si="21"/>
        <v>0</v>
      </c>
      <c r="AH24" s="388">
        <f t="shared" si="21"/>
        <v>0</v>
      </c>
      <c r="AI24" s="330">
        <f t="shared" si="21"/>
        <v>0</v>
      </c>
      <c r="AJ24" s="339">
        <f t="shared" si="21"/>
        <v>0</v>
      </c>
      <c r="AK24" s="389">
        <f t="shared" si="21"/>
        <v>0</v>
      </c>
      <c r="AL24" s="389">
        <f t="shared" si="21"/>
        <v>0</v>
      </c>
      <c r="AM24" s="390">
        <f t="shared" si="21"/>
        <v>0</v>
      </c>
    </row>
    <row r="25" spans="1:41">
      <c r="A25" s="173"/>
      <c r="B25" s="173"/>
      <c r="C25" s="173"/>
      <c r="D25" s="699"/>
      <c r="E25" s="701" t="s">
        <v>326</v>
      </c>
      <c r="F25" s="702"/>
      <c r="G25" s="702"/>
      <c r="H25" s="703"/>
      <c r="I25" s="329">
        <f t="shared" ref="I25:R32" si="22">SUMPRODUCT(($E$6:$E$12=$E25)*($G25=$F$6:$F$12)*(I$6:I$12))</f>
        <v>0</v>
      </c>
      <c r="J25" s="388">
        <f t="shared" si="22"/>
        <v>0</v>
      </c>
      <c r="K25" s="388">
        <f t="shared" si="22"/>
        <v>0</v>
      </c>
      <c r="L25" s="388">
        <f t="shared" si="22"/>
        <v>0</v>
      </c>
      <c r="M25" s="388">
        <f t="shared" si="22"/>
        <v>0</v>
      </c>
      <c r="N25" s="388">
        <f t="shared" si="22"/>
        <v>0</v>
      </c>
      <c r="O25" s="388">
        <f t="shared" si="22"/>
        <v>0</v>
      </c>
      <c r="P25" s="388">
        <f t="shared" si="22"/>
        <v>0</v>
      </c>
      <c r="Q25" s="388">
        <f t="shared" si="22"/>
        <v>0</v>
      </c>
      <c r="R25" s="388">
        <f t="shared" si="22"/>
        <v>0</v>
      </c>
      <c r="S25" s="388">
        <f t="shared" ref="S25:AF32" si="23">SUMPRODUCT(($E$6:$E$12=$E25)*($G25=$F$6:$F$12)*(S$6:S$12))</f>
        <v>0</v>
      </c>
      <c r="T25" s="388">
        <f t="shared" si="23"/>
        <v>0</v>
      </c>
      <c r="U25" s="388">
        <f t="shared" si="23"/>
        <v>0</v>
      </c>
      <c r="V25" s="388">
        <f t="shared" si="23"/>
        <v>0</v>
      </c>
      <c r="W25" s="388">
        <f t="shared" si="23"/>
        <v>0</v>
      </c>
      <c r="X25" s="388">
        <f t="shared" si="23"/>
        <v>0</v>
      </c>
      <c r="Y25" s="388">
        <f t="shared" si="23"/>
        <v>0</v>
      </c>
      <c r="Z25" s="388">
        <f t="shared" si="23"/>
        <v>0</v>
      </c>
      <c r="AA25" s="388">
        <f t="shared" si="23"/>
        <v>0</v>
      </c>
      <c r="AB25" s="388">
        <f t="shared" si="23"/>
        <v>0</v>
      </c>
      <c r="AC25" s="388">
        <f t="shared" si="23"/>
        <v>0</v>
      </c>
      <c r="AD25" s="388">
        <f t="shared" si="23"/>
        <v>0</v>
      </c>
      <c r="AE25" s="388">
        <f t="shared" si="23"/>
        <v>0</v>
      </c>
      <c r="AF25" s="330">
        <f t="shared" si="23"/>
        <v>0</v>
      </c>
      <c r="AG25" s="331">
        <f>SUM(AG18:AG24)</f>
        <v>0</v>
      </c>
      <c r="AH25" s="392">
        <f>SUM(AH18:AH24)</f>
        <v>0</v>
      </c>
      <c r="AI25" s="336">
        <f>SUM(AI18:AI24)</f>
        <v>0</v>
      </c>
      <c r="AJ25" s="340">
        <f>IF(AK25&gt;0, AK25/AG25, 0)</f>
        <v>0</v>
      </c>
      <c r="AK25" s="394">
        <f>SUM(AK18:AK24)</f>
        <v>0</v>
      </c>
      <c r="AL25" s="394">
        <f>IF(AM25&gt;0, AM25/AG25, 0)</f>
        <v>0</v>
      </c>
      <c r="AM25" s="395">
        <f>SUM(AM18:AM24)</f>
        <v>0</v>
      </c>
      <c r="AO25" s="381"/>
    </row>
    <row r="26" spans="1:41">
      <c r="A26" s="173"/>
      <c r="B26" s="173"/>
      <c r="C26" s="173"/>
      <c r="D26" s="699"/>
      <c r="E26" s="385" t="s">
        <v>44</v>
      </c>
      <c r="F26" s="386"/>
      <c r="G26" s="386" t="s">
        <v>3</v>
      </c>
      <c r="H26" s="387"/>
      <c r="I26" s="329">
        <f t="shared" si="22"/>
        <v>0</v>
      </c>
      <c r="J26" s="388">
        <f t="shared" si="22"/>
        <v>0</v>
      </c>
      <c r="K26" s="388">
        <f t="shared" si="22"/>
        <v>0</v>
      </c>
      <c r="L26" s="388">
        <f t="shared" si="22"/>
        <v>0</v>
      </c>
      <c r="M26" s="388">
        <f t="shared" si="22"/>
        <v>0</v>
      </c>
      <c r="N26" s="388">
        <f t="shared" si="22"/>
        <v>0</v>
      </c>
      <c r="O26" s="388">
        <f t="shared" si="22"/>
        <v>0</v>
      </c>
      <c r="P26" s="388">
        <f t="shared" si="22"/>
        <v>0</v>
      </c>
      <c r="Q26" s="388">
        <f t="shared" si="22"/>
        <v>0</v>
      </c>
      <c r="R26" s="388">
        <f t="shared" si="22"/>
        <v>0</v>
      </c>
      <c r="S26" s="388">
        <f t="shared" si="23"/>
        <v>0</v>
      </c>
      <c r="T26" s="388">
        <f t="shared" si="23"/>
        <v>0</v>
      </c>
      <c r="U26" s="388">
        <f t="shared" si="23"/>
        <v>0</v>
      </c>
      <c r="V26" s="388">
        <f t="shared" si="23"/>
        <v>0</v>
      </c>
      <c r="W26" s="388">
        <f t="shared" si="23"/>
        <v>0</v>
      </c>
      <c r="X26" s="388">
        <f t="shared" si="23"/>
        <v>0</v>
      </c>
      <c r="Y26" s="388">
        <f t="shared" si="23"/>
        <v>0</v>
      </c>
      <c r="Z26" s="388">
        <f t="shared" si="23"/>
        <v>0</v>
      </c>
      <c r="AA26" s="388">
        <f t="shared" si="23"/>
        <v>0</v>
      </c>
      <c r="AB26" s="388">
        <f t="shared" si="23"/>
        <v>0</v>
      </c>
      <c r="AC26" s="388">
        <f t="shared" si="23"/>
        <v>0</v>
      </c>
      <c r="AD26" s="388">
        <f t="shared" si="23"/>
        <v>0</v>
      </c>
      <c r="AE26" s="388">
        <f t="shared" si="23"/>
        <v>0</v>
      </c>
      <c r="AF26" s="330">
        <f t="shared" si="23"/>
        <v>0</v>
      </c>
      <c r="AG26" s="329">
        <f t="shared" ref="AG26:AM32" si="24">SUMPRODUCT(($E$6:$E$12=$E26)*($G26=$F$6:$F$12)*(AG$6:AG$12))</f>
        <v>0</v>
      </c>
      <c r="AH26" s="388">
        <f t="shared" si="24"/>
        <v>0</v>
      </c>
      <c r="AI26" s="330">
        <f t="shared" si="24"/>
        <v>0</v>
      </c>
      <c r="AJ26" s="339">
        <f t="shared" si="24"/>
        <v>0</v>
      </c>
      <c r="AK26" s="389">
        <f t="shared" si="24"/>
        <v>0</v>
      </c>
      <c r="AL26" s="389">
        <f t="shared" si="24"/>
        <v>0</v>
      </c>
      <c r="AM26" s="390">
        <f t="shared" si="24"/>
        <v>0</v>
      </c>
    </row>
    <row r="27" spans="1:41">
      <c r="A27" s="173"/>
      <c r="B27" s="173"/>
      <c r="C27" s="173"/>
      <c r="D27" s="699"/>
      <c r="E27" s="385" t="s">
        <v>44</v>
      </c>
      <c r="F27" s="386"/>
      <c r="G27" s="386" t="s">
        <v>4</v>
      </c>
      <c r="H27" s="387"/>
      <c r="I27" s="329">
        <f t="shared" si="22"/>
        <v>0</v>
      </c>
      <c r="J27" s="388">
        <f t="shared" si="22"/>
        <v>0</v>
      </c>
      <c r="K27" s="388">
        <f t="shared" si="22"/>
        <v>0</v>
      </c>
      <c r="L27" s="388">
        <f t="shared" si="22"/>
        <v>0</v>
      </c>
      <c r="M27" s="388">
        <f t="shared" si="22"/>
        <v>0</v>
      </c>
      <c r="N27" s="388">
        <f t="shared" si="22"/>
        <v>0</v>
      </c>
      <c r="O27" s="388">
        <f t="shared" si="22"/>
        <v>0</v>
      </c>
      <c r="P27" s="388">
        <f t="shared" si="22"/>
        <v>0</v>
      </c>
      <c r="Q27" s="388">
        <f t="shared" si="22"/>
        <v>0</v>
      </c>
      <c r="R27" s="388">
        <f t="shared" si="22"/>
        <v>0</v>
      </c>
      <c r="S27" s="388">
        <f t="shared" si="23"/>
        <v>0.25</v>
      </c>
      <c r="T27" s="388">
        <f t="shared" si="23"/>
        <v>1</v>
      </c>
      <c r="U27" s="388">
        <f t="shared" si="23"/>
        <v>1</v>
      </c>
      <c r="V27" s="388">
        <f t="shared" si="23"/>
        <v>1</v>
      </c>
      <c r="W27" s="388">
        <f t="shared" si="23"/>
        <v>1</v>
      </c>
      <c r="X27" s="388">
        <f t="shared" si="23"/>
        <v>1</v>
      </c>
      <c r="Y27" s="388">
        <f t="shared" si="23"/>
        <v>1</v>
      </c>
      <c r="Z27" s="388">
        <f t="shared" si="23"/>
        <v>1</v>
      </c>
      <c r="AA27" s="388">
        <f t="shared" si="23"/>
        <v>1</v>
      </c>
      <c r="AB27" s="388">
        <f t="shared" si="23"/>
        <v>1</v>
      </c>
      <c r="AC27" s="388">
        <f t="shared" si="23"/>
        <v>0.5</v>
      </c>
      <c r="AD27" s="388">
        <f t="shared" si="23"/>
        <v>0</v>
      </c>
      <c r="AE27" s="388">
        <f t="shared" si="23"/>
        <v>0</v>
      </c>
      <c r="AF27" s="330">
        <f t="shared" si="23"/>
        <v>0</v>
      </c>
      <c r="AG27" s="329">
        <f t="shared" si="24"/>
        <v>9.75</v>
      </c>
      <c r="AH27" s="388">
        <f t="shared" si="24"/>
        <v>1.25</v>
      </c>
      <c r="AI27" s="330">
        <f t="shared" si="24"/>
        <v>8.5</v>
      </c>
      <c r="AJ27" s="339">
        <f t="shared" si="24"/>
        <v>685300</v>
      </c>
      <c r="AK27" s="389">
        <f t="shared" si="24"/>
        <v>685300</v>
      </c>
      <c r="AL27" s="389">
        <f t="shared" si="24"/>
        <v>14616</v>
      </c>
      <c r="AM27" s="390">
        <f t="shared" si="24"/>
        <v>142506</v>
      </c>
    </row>
    <row r="28" spans="1:41">
      <c r="A28" s="173"/>
      <c r="B28" s="173"/>
      <c r="C28" s="173"/>
      <c r="D28" s="699"/>
      <c r="E28" s="385" t="s">
        <v>44</v>
      </c>
      <c r="F28" s="386"/>
      <c r="G28" s="391" t="s">
        <v>388</v>
      </c>
      <c r="H28" s="387"/>
      <c r="I28" s="329">
        <f t="shared" si="22"/>
        <v>0</v>
      </c>
      <c r="J28" s="388">
        <f t="shared" si="22"/>
        <v>0</v>
      </c>
      <c r="K28" s="388">
        <f t="shared" si="22"/>
        <v>0</v>
      </c>
      <c r="L28" s="388">
        <f t="shared" si="22"/>
        <v>0</v>
      </c>
      <c r="M28" s="388">
        <f t="shared" si="22"/>
        <v>0</v>
      </c>
      <c r="N28" s="388">
        <f t="shared" si="22"/>
        <v>0</v>
      </c>
      <c r="O28" s="388">
        <f t="shared" si="22"/>
        <v>0</v>
      </c>
      <c r="P28" s="388">
        <f t="shared" si="22"/>
        <v>0</v>
      </c>
      <c r="Q28" s="388">
        <f t="shared" si="22"/>
        <v>0</v>
      </c>
      <c r="R28" s="388">
        <f t="shared" si="22"/>
        <v>0</v>
      </c>
      <c r="S28" s="388">
        <f t="shared" si="23"/>
        <v>0</v>
      </c>
      <c r="T28" s="388">
        <f t="shared" si="23"/>
        <v>0</v>
      </c>
      <c r="U28" s="388">
        <f t="shared" si="23"/>
        <v>0</v>
      </c>
      <c r="V28" s="388">
        <f t="shared" si="23"/>
        <v>1</v>
      </c>
      <c r="W28" s="388">
        <f t="shared" si="23"/>
        <v>0</v>
      </c>
      <c r="X28" s="388">
        <f t="shared" si="23"/>
        <v>0</v>
      </c>
      <c r="Y28" s="388">
        <f t="shared" si="23"/>
        <v>0</v>
      </c>
      <c r="Z28" s="388">
        <f t="shared" si="23"/>
        <v>0</v>
      </c>
      <c r="AA28" s="388">
        <f t="shared" si="23"/>
        <v>0</v>
      </c>
      <c r="AB28" s="388">
        <f t="shared" si="23"/>
        <v>0</v>
      </c>
      <c r="AC28" s="388">
        <f t="shared" si="23"/>
        <v>0</v>
      </c>
      <c r="AD28" s="388">
        <f t="shared" si="23"/>
        <v>0</v>
      </c>
      <c r="AE28" s="388">
        <f t="shared" si="23"/>
        <v>0</v>
      </c>
      <c r="AF28" s="330">
        <f t="shared" si="23"/>
        <v>0</v>
      </c>
      <c r="AG28" s="329">
        <f t="shared" si="24"/>
        <v>1</v>
      </c>
      <c r="AH28" s="329">
        <f t="shared" si="24"/>
        <v>0</v>
      </c>
      <c r="AI28" s="329">
        <f t="shared" si="24"/>
        <v>1</v>
      </c>
      <c r="AJ28" s="339">
        <f t="shared" si="24"/>
        <v>0</v>
      </c>
      <c r="AK28" s="389">
        <f t="shared" si="24"/>
        <v>0</v>
      </c>
      <c r="AL28" s="389">
        <f t="shared" si="24"/>
        <v>12391</v>
      </c>
      <c r="AM28" s="390">
        <f t="shared" si="24"/>
        <v>12391</v>
      </c>
    </row>
    <row r="29" spans="1:41">
      <c r="A29" s="173"/>
      <c r="B29" s="173"/>
      <c r="C29" s="173"/>
      <c r="D29" s="699"/>
      <c r="E29" s="385" t="s">
        <v>44</v>
      </c>
      <c r="F29" s="386"/>
      <c r="G29" s="391" t="s">
        <v>389</v>
      </c>
      <c r="H29" s="387"/>
      <c r="I29" s="329">
        <f t="shared" si="22"/>
        <v>0</v>
      </c>
      <c r="J29" s="388">
        <f t="shared" si="22"/>
        <v>0</v>
      </c>
      <c r="K29" s="388">
        <f t="shared" si="22"/>
        <v>0</v>
      </c>
      <c r="L29" s="388">
        <f t="shared" si="22"/>
        <v>0</v>
      </c>
      <c r="M29" s="388">
        <f t="shared" si="22"/>
        <v>0</v>
      </c>
      <c r="N29" s="388">
        <f t="shared" si="22"/>
        <v>0</v>
      </c>
      <c r="O29" s="388">
        <f t="shared" si="22"/>
        <v>0</v>
      </c>
      <c r="P29" s="388">
        <f t="shared" si="22"/>
        <v>0</v>
      </c>
      <c r="Q29" s="388">
        <f t="shared" si="22"/>
        <v>0</v>
      </c>
      <c r="R29" s="388">
        <f t="shared" si="22"/>
        <v>0</v>
      </c>
      <c r="S29" s="388">
        <f t="shared" si="23"/>
        <v>0</v>
      </c>
      <c r="T29" s="388">
        <f t="shared" si="23"/>
        <v>1.5</v>
      </c>
      <c r="U29" s="388">
        <f t="shared" si="23"/>
        <v>2</v>
      </c>
      <c r="V29" s="388">
        <f t="shared" si="23"/>
        <v>1</v>
      </c>
      <c r="W29" s="388">
        <f t="shared" si="23"/>
        <v>1</v>
      </c>
      <c r="X29" s="388">
        <f t="shared" si="23"/>
        <v>1</v>
      </c>
      <c r="Y29" s="388">
        <f t="shared" si="23"/>
        <v>1</v>
      </c>
      <c r="Z29" s="388">
        <f t="shared" si="23"/>
        <v>1</v>
      </c>
      <c r="AA29" s="388">
        <f t="shared" si="23"/>
        <v>1</v>
      </c>
      <c r="AB29" s="388">
        <f t="shared" si="23"/>
        <v>1</v>
      </c>
      <c r="AC29" s="388">
        <f t="shared" si="23"/>
        <v>0.5</v>
      </c>
      <c r="AD29" s="388">
        <f t="shared" si="23"/>
        <v>0</v>
      </c>
      <c r="AE29" s="388">
        <f t="shared" si="23"/>
        <v>0</v>
      </c>
      <c r="AF29" s="330">
        <f t="shared" si="23"/>
        <v>0</v>
      </c>
      <c r="AG29" s="329">
        <f t="shared" si="24"/>
        <v>11</v>
      </c>
      <c r="AH29" s="329">
        <f t="shared" si="24"/>
        <v>1.5</v>
      </c>
      <c r="AI29" s="329">
        <f t="shared" si="24"/>
        <v>9.5</v>
      </c>
      <c r="AJ29" s="339">
        <f t="shared" si="24"/>
        <v>0</v>
      </c>
      <c r="AK29" s="389">
        <f t="shared" si="24"/>
        <v>0</v>
      </c>
      <c r="AL29" s="389">
        <f t="shared" si="24"/>
        <v>23032</v>
      </c>
      <c r="AM29" s="390">
        <f t="shared" si="24"/>
        <v>126676</v>
      </c>
    </row>
    <row r="30" spans="1:41">
      <c r="A30" s="173"/>
      <c r="B30" s="173"/>
      <c r="C30" s="173"/>
      <c r="D30" s="699"/>
      <c r="E30" s="385" t="s">
        <v>44</v>
      </c>
      <c r="F30" s="386"/>
      <c r="G30" s="391" t="s">
        <v>390</v>
      </c>
      <c r="H30" s="387"/>
      <c r="I30" s="329">
        <f t="shared" si="22"/>
        <v>0</v>
      </c>
      <c r="J30" s="388">
        <f t="shared" si="22"/>
        <v>0</v>
      </c>
      <c r="K30" s="388">
        <f t="shared" si="22"/>
        <v>0</v>
      </c>
      <c r="L30" s="388">
        <f t="shared" si="22"/>
        <v>0</v>
      </c>
      <c r="M30" s="388">
        <f t="shared" si="22"/>
        <v>0</v>
      </c>
      <c r="N30" s="388">
        <f t="shared" si="22"/>
        <v>0</v>
      </c>
      <c r="O30" s="388">
        <f t="shared" si="22"/>
        <v>0</v>
      </c>
      <c r="P30" s="388">
        <f t="shared" si="22"/>
        <v>0</v>
      </c>
      <c r="Q30" s="388">
        <f t="shared" si="22"/>
        <v>0</v>
      </c>
      <c r="R30" s="388">
        <f t="shared" si="22"/>
        <v>0</v>
      </c>
      <c r="S30" s="388">
        <f t="shared" si="23"/>
        <v>0</v>
      </c>
      <c r="T30" s="388">
        <f t="shared" si="23"/>
        <v>1</v>
      </c>
      <c r="U30" s="388">
        <f t="shared" si="23"/>
        <v>1</v>
      </c>
      <c r="V30" s="388">
        <f t="shared" si="23"/>
        <v>1</v>
      </c>
      <c r="W30" s="388">
        <f t="shared" si="23"/>
        <v>1</v>
      </c>
      <c r="X30" s="388">
        <f t="shared" si="23"/>
        <v>1</v>
      </c>
      <c r="Y30" s="388">
        <f t="shared" si="23"/>
        <v>1</v>
      </c>
      <c r="Z30" s="388">
        <f t="shared" si="23"/>
        <v>1</v>
      </c>
      <c r="AA30" s="388">
        <f t="shared" si="23"/>
        <v>1</v>
      </c>
      <c r="AB30" s="388">
        <f t="shared" si="23"/>
        <v>1</v>
      </c>
      <c r="AC30" s="388">
        <f t="shared" si="23"/>
        <v>0.5</v>
      </c>
      <c r="AD30" s="388">
        <f t="shared" si="23"/>
        <v>0</v>
      </c>
      <c r="AE30" s="388">
        <f t="shared" si="23"/>
        <v>0</v>
      </c>
      <c r="AF30" s="330">
        <f t="shared" si="23"/>
        <v>0</v>
      </c>
      <c r="AG30" s="329">
        <f t="shared" si="24"/>
        <v>9.5</v>
      </c>
      <c r="AH30" s="329">
        <f t="shared" si="24"/>
        <v>1</v>
      </c>
      <c r="AI30" s="329">
        <f t="shared" si="24"/>
        <v>8.5</v>
      </c>
      <c r="AJ30" s="339">
        <f t="shared" si="24"/>
        <v>0</v>
      </c>
      <c r="AK30" s="389">
        <f t="shared" si="24"/>
        <v>0</v>
      </c>
      <c r="AL30" s="389">
        <f t="shared" si="24"/>
        <v>10641</v>
      </c>
      <c r="AM30" s="390">
        <f t="shared" si="24"/>
        <v>101089.5</v>
      </c>
    </row>
    <row r="31" spans="1:41">
      <c r="A31" s="173"/>
      <c r="B31" s="173"/>
      <c r="C31" s="173"/>
      <c r="D31" s="699"/>
      <c r="E31" s="385" t="s">
        <v>44</v>
      </c>
      <c r="F31" s="386"/>
      <c r="G31" s="391" t="s">
        <v>391</v>
      </c>
      <c r="H31" s="387"/>
      <c r="I31" s="329">
        <f t="shared" si="22"/>
        <v>0</v>
      </c>
      <c r="J31" s="388">
        <f t="shared" si="22"/>
        <v>0</v>
      </c>
      <c r="K31" s="388">
        <f t="shared" si="22"/>
        <v>0</v>
      </c>
      <c r="L31" s="388">
        <f t="shared" si="22"/>
        <v>0</v>
      </c>
      <c r="M31" s="388">
        <f t="shared" si="22"/>
        <v>0</v>
      </c>
      <c r="N31" s="388">
        <f t="shared" si="22"/>
        <v>0</v>
      </c>
      <c r="O31" s="388">
        <f t="shared" si="22"/>
        <v>0</v>
      </c>
      <c r="P31" s="388">
        <f t="shared" si="22"/>
        <v>0</v>
      </c>
      <c r="Q31" s="388">
        <f t="shared" si="22"/>
        <v>0</v>
      </c>
      <c r="R31" s="388">
        <f t="shared" si="22"/>
        <v>0</v>
      </c>
      <c r="S31" s="388">
        <f t="shared" si="23"/>
        <v>0</v>
      </c>
      <c r="T31" s="388">
        <f t="shared" si="23"/>
        <v>1</v>
      </c>
      <c r="U31" s="388">
        <f t="shared" si="23"/>
        <v>0</v>
      </c>
      <c r="V31" s="388">
        <f t="shared" si="23"/>
        <v>0</v>
      </c>
      <c r="W31" s="388">
        <f t="shared" si="23"/>
        <v>0</v>
      </c>
      <c r="X31" s="388">
        <f t="shared" si="23"/>
        <v>0</v>
      </c>
      <c r="Y31" s="388">
        <f t="shared" si="23"/>
        <v>0</v>
      </c>
      <c r="Z31" s="388">
        <f t="shared" si="23"/>
        <v>0</v>
      </c>
      <c r="AA31" s="388">
        <f t="shared" si="23"/>
        <v>0</v>
      </c>
      <c r="AB31" s="388">
        <f t="shared" si="23"/>
        <v>0</v>
      </c>
      <c r="AC31" s="388">
        <f t="shared" si="23"/>
        <v>0</v>
      </c>
      <c r="AD31" s="388">
        <f t="shared" si="23"/>
        <v>0</v>
      </c>
      <c r="AE31" s="388">
        <f t="shared" si="23"/>
        <v>0</v>
      </c>
      <c r="AF31" s="330">
        <f t="shared" si="23"/>
        <v>0</v>
      </c>
      <c r="AG31" s="329">
        <f t="shared" si="24"/>
        <v>1</v>
      </c>
      <c r="AH31" s="329">
        <f t="shared" si="24"/>
        <v>1</v>
      </c>
      <c r="AI31" s="329">
        <f t="shared" si="24"/>
        <v>0</v>
      </c>
      <c r="AJ31" s="339">
        <f t="shared" si="24"/>
        <v>0</v>
      </c>
      <c r="AK31" s="389">
        <f t="shared" si="24"/>
        <v>0</v>
      </c>
      <c r="AL31" s="389">
        <f t="shared" si="24"/>
        <v>10016</v>
      </c>
      <c r="AM31" s="390">
        <f t="shared" si="24"/>
        <v>10016</v>
      </c>
    </row>
    <row r="32" spans="1:41">
      <c r="A32" s="173"/>
      <c r="B32" s="173"/>
      <c r="C32" s="173"/>
      <c r="D32" s="699"/>
      <c r="E32" s="385" t="s">
        <v>44</v>
      </c>
      <c r="F32" s="386"/>
      <c r="G32" s="386" t="s">
        <v>5</v>
      </c>
      <c r="H32" s="387"/>
      <c r="I32" s="329">
        <f t="shared" si="22"/>
        <v>0</v>
      </c>
      <c r="J32" s="388">
        <f t="shared" si="22"/>
        <v>0</v>
      </c>
      <c r="K32" s="388">
        <f t="shared" si="22"/>
        <v>0</v>
      </c>
      <c r="L32" s="388">
        <f t="shared" si="22"/>
        <v>0</v>
      </c>
      <c r="M32" s="388">
        <f t="shared" si="22"/>
        <v>0</v>
      </c>
      <c r="N32" s="388">
        <f t="shared" si="22"/>
        <v>0</v>
      </c>
      <c r="O32" s="388">
        <f t="shared" si="22"/>
        <v>0</v>
      </c>
      <c r="P32" s="388">
        <f t="shared" si="22"/>
        <v>0</v>
      </c>
      <c r="Q32" s="388">
        <f t="shared" si="22"/>
        <v>0</v>
      </c>
      <c r="R32" s="388">
        <f t="shared" si="22"/>
        <v>0</v>
      </c>
      <c r="S32" s="388">
        <f t="shared" si="23"/>
        <v>0</v>
      </c>
      <c r="T32" s="388">
        <f t="shared" si="23"/>
        <v>0</v>
      </c>
      <c r="U32" s="388">
        <f t="shared" si="23"/>
        <v>0</v>
      </c>
      <c r="V32" s="388">
        <f t="shared" si="23"/>
        <v>0</v>
      </c>
      <c r="W32" s="388">
        <f t="shared" si="23"/>
        <v>0</v>
      </c>
      <c r="X32" s="388">
        <f t="shared" si="23"/>
        <v>0</v>
      </c>
      <c r="Y32" s="388">
        <f t="shared" si="23"/>
        <v>0</v>
      </c>
      <c r="Z32" s="388">
        <f t="shared" si="23"/>
        <v>0</v>
      </c>
      <c r="AA32" s="388">
        <f t="shared" si="23"/>
        <v>0</v>
      </c>
      <c r="AB32" s="388">
        <f t="shared" si="23"/>
        <v>0</v>
      </c>
      <c r="AC32" s="388">
        <f t="shared" si="23"/>
        <v>0</v>
      </c>
      <c r="AD32" s="388">
        <f t="shared" si="23"/>
        <v>0</v>
      </c>
      <c r="AE32" s="388">
        <f t="shared" si="23"/>
        <v>0</v>
      </c>
      <c r="AF32" s="330">
        <f t="shared" si="23"/>
        <v>0</v>
      </c>
      <c r="AG32" s="329">
        <f t="shared" si="24"/>
        <v>0</v>
      </c>
      <c r="AH32" s="329">
        <f t="shared" si="24"/>
        <v>0</v>
      </c>
      <c r="AI32" s="329">
        <f t="shared" si="24"/>
        <v>0</v>
      </c>
      <c r="AJ32" s="339">
        <f t="shared" si="24"/>
        <v>0</v>
      </c>
      <c r="AK32" s="389">
        <f t="shared" si="24"/>
        <v>0</v>
      </c>
      <c r="AL32" s="389">
        <f t="shared" si="24"/>
        <v>0</v>
      </c>
      <c r="AM32" s="390">
        <f t="shared" si="24"/>
        <v>0</v>
      </c>
    </row>
    <row r="33" spans="1:39">
      <c r="A33" s="173"/>
      <c r="B33" s="173"/>
      <c r="C33" s="173"/>
      <c r="D33" s="699"/>
      <c r="E33" s="704" t="s">
        <v>326</v>
      </c>
      <c r="F33" s="705"/>
      <c r="G33" s="705"/>
      <c r="H33" s="706"/>
      <c r="I33" s="331">
        <f t="shared" ref="I33:AF33" si="25">SUM(I26:I32)</f>
        <v>0</v>
      </c>
      <c r="J33" s="392">
        <f t="shared" si="25"/>
        <v>0</v>
      </c>
      <c r="K33" s="392">
        <f t="shared" si="25"/>
        <v>0</v>
      </c>
      <c r="L33" s="392">
        <f t="shared" si="25"/>
        <v>0</v>
      </c>
      <c r="M33" s="392">
        <f t="shared" si="25"/>
        <v>0</v>
      </c>
      <c r="N33" s="392">
        <f t="shared" si="25"/>
        <v>0</v>
      </c>
      <c r="O33" s="392">
        <f t="shared" si="25"/>
        <v>0</v>
      </c>
      <c r="P33" s="392">
        <f t="shared" si="25"/>
        <v>0</v>
      </c>
      <c r="Q33" s="392">
        <f t="shared" si="25"/>
        <v>0</v>
      </c>
      <c r="R33" s="392">
        <f t="shared" si="25"/>
        <v>0</v>
      </c>
      <c r="S33" s="392">
        <f t="shared" si="25"/>
        <v>0.25</v>
      </c>
      <c r="T33" s="392">
        <f t="shared" si="25"/>
        <v>4.5</v>
      </c>
      <c r="U33" s="392">
        <f t="shared" si="25"/>
        <v>4</v>
      </c>
      <c r="V33" s="392">
        <f t="shared" si="25"/>
        <v>4</v>
      </c>
      <c r="W33" s="392">
        <f t="shared" si="25"/>
        <v>3</v>
      </c>
      <c r="X33" s="392">
        <f t="shared" si="25"/>
        <v>3</v>
      </c>
      <c r="Y33" s="392">
        <f t="shared" si="25"/>
        <v>3</v>
      </c>
      <c r="Z33" s="392">
        <f t="shared" si="25"/>
        <v>3</v>
      </c>
      <c r="AA33" s="392">
        <f t="shared" si="25"/>
        <v>3</v>
      </c>
      <c r="AB33" s="392">
        <f t="shared" si="25"/>
        <v>3</v>
      </c>
      <c r="AC33" s="392">
        <f t="shared" si="25"/>
        <v>1.5</v>
      </c>
      <c r="AD33" s="392">
        <f t="shared" si="25"/>
        <v>0</v>
      </c>
      <c r="AE33" s="392">
        <f t="shared" si="25"/>
        <v>0</v>
      </c>
      <c r="AF33" s="393">
        <f t="shared" si="25"/>
        <v>0</v>
      </c>
      <c r="AG33" s="331">
        <f>SUM(AG26:AG32)</f>
        <v>32.25</v>
      </c>
      <c r="AH33" s="392">
        <f>SUM(AH26:AH32)</f>
        <v>4.75</v>
      </c>
      <c r="AI33" s="336">
        <f>SUM(AI26:AI32)</f>
        <v>27.5</v>
      </c>
      <c r="AJ33" s="340">
        <f>IF(AK33&gt;0, AK33/AG33, 0)</f>
        <v>21249.612403100775</v>
      </c>
      <c r="AK33" s="394">
        <f>SUM(AK26:AK32)</f>
        <v>685300</v>
      </c>
      <c r="AL33" s="394">
        <f>IF(AM33&gt;0, AM33/AG33, 0)</f>
        <v>12176.077519379845</v>
      </c>
      <c r="AM33" s="395">
        <f>SUM(AM26:AM32)</f>
        <v>392678.5</v>
      </c>
    </row>
    <row r="34" spans="1:39" ht="13.5" thickBot="1">
      <c r="A34" s="173"/>
      <c r="B34" s="173"/>
      <c r="C34" s="173"/>
      <c r="D34" s="700"/>
      <c r="E34" s="707" t="s">
        <v>330</v>
      </c>
      <c r="F34" s="707"/>
      <c r="G34" s="707"/>
      <c r="H34" s="708"/>
      <c r="I34" s="332">
        <f>SUM(I33,I25)</f>
        <v>0</v>
      </c>
      <c r="J34" s="333">
        <f>SUM(J33,J25)</f>
        <v>0</v>
      </c>
      <c r="K34" s="333">
        <f>SUM(K33,K25)</f>
        <v>0</v>
      </c>
      <c r="L34" s="333">
        <f>SUM(L33,L25)</f>
        <v>0</v>
      </c>
      <c r="M34" s="333">
        <f>SUM(M33,M25)</f>
        <v>0</v>
      </c>
      <c r="N34" s="333">
        <f t="shared" ref="N34:AL34" si="26">SUM(N33,N25)</f>
        <v>0</v>
      </c>
      <c r="O34" s="333">
        <f t="shared" si="26"/>
        <v>0</v>
      </c>
      <c r="P34" s="333">
        <f t="shared" si="26"/>
        <v>0</v>
      </c>
      <c r="Q34" s="333">
        <f t="shared" si="26"/>
        <v>0</v>
      </c>
      <c r="R34" s="333">
        <f t="shared" si="26"/>
        <v>0</v>
      </c>
      <c r="S34" s="333">
        <f t="shared" si="26"/>
        <v>0.25</v>
      </c>
      <c r="T34" s="333">
        <f t="shared" si="26"/>
        <v>4.5</v>
      </c>
      <c r="U34" s="333">
        <f t="shared" si="26"/>
        <v>4</v>
      </c>
      <c r="V34" s="333">
        <f t="shared" si="26"/>
        <v>4</v>
      </c>
      <c r="W34" s="333">
        <f t="shared" si="26"/>
        <v>3</v>
      </c>
      <c r="X34" s="333">
        <f t="shared" si="26"/>
        <v>3</v>
      </c>
      <c r="Y34" s="333">
        <f t="shared" si="26"/>
        <v>3</v>
      </c>
      <c r="Z34" s="333">
        <f t="shared" si="26"/>
        <v>3</v>
      </c>
      <c r="AA34" s="333">
        <f t="shared" si="26"/>
        <v>3</v>
      </c>
      <c r="AB34" s="333">
        <f t="shared" si="26"/>
        <v>3</v>
      </c>
      <c r="AC34" s="333">
        <f t="shared" si="26"/>
        <v>1.5</v>
      </c>
      <c r="AD34" s="333">
        <f t="shared" si="26"/>
        <v>0</v>
      </c>
      <c r="AE34" s="333">
        <f t="shared" si="26"/>
        <v>0</v>
      </c>
      <c r="AF34" s="334">
        <f t="shared" si="26"/>
        <v>0</v>
      </c>
      <c r="AG34" s="332">
        <f t="shared" si="26"/>
        <v>32.25</v>
      </c>
      <c r="AH34" s="333">
        <f t="shared" si="26"/>
        <v>4.75</v>
      </c>
      <c r="AI34" s="335">
        <f t="shared" si="26"/>
        <v>27.5</v>
      </c>
      <c r="AJ34" s="341">
        <f t="shared" si="26"/>
        <v>21249.612403100775</v>
      </c>
      <c r="AK34" s="432">
        <f t="shared" si="26"/>
        <v>685300</v>
      </c>
      <c r="AL34" s="342">
        <f t="shared" si="26"/>
        <v>12176.077519379845</v>
      </c>
      <c r="AM34" s="396">
        <f>SUM(AM33,AM25)</f>
        <v>392678.5</v>
      </c>
    </row>
    <row r="35" spans="1:39">
      <c r="A35" s="173"/>
      <c r="B35" s="173"/>
      <c r="C35" s="173"/>
      <c r="D35" s="698" t="s">
        <v>331</v>
      </c>
      <c r="E35" s="193" t="s">
        <v>332</v>
      </c>
      <c r="F35" s="191"/>
      <c r="G35" s="194" t="s">
        <v>6</v>
      </c>
      <c r="H35" s="192"/>
      <c r="I35" s="326">
        <f t="shared" ref="I35:R38" si="27">SUMPRODUCT(($E$6:$E$12=$E35)*($G35=$G$6:$G$12)*(I$6:I$12))</f>
        <v>0</v>
      </c>
      <c r="J35" s="327">
        <f t="shared" si="27"/>
        <v>0</v>
      </c>
      <c r="K35" s="327">
        <f t="shared" si="27"/>
        <v>0</v>
      </c>
      <c r="L35" s="327">
        <f t="shared" si="27"/>
        <v>0</v>
      </c>
      <c r="M35" s="327">
        <f t="shared" si="27"/>
        <v>0</v>
      </c>
      <c r="N35" s="327">
        <f t="shared" si="27"/>
        <v>0</v>
      </c>
      <c r="O35" s="327">
        <f t="shared" si="27"/>
        <v>0</v>
      </c>
      <c r="P35" s="327">
        <f t="shared" si="27"/>
        <v>0</v>
      </c>
      <c r="Q35" s="327">
        <f t="shared" si="27"/>
        <v>0</v>
      </c>
      <c r="R35" s="327">
        <f t="shared" si="27"/>
        <v>0</v>
      </c>
      <c r="S35" s="327">
        <f t="shared" ref="S35:AF38" si="28">SUMPRODUCT(($E$6:$E$12=$E35)*($G35=$G$6:$G$12)*(S$6:S$12))</f>
        <v>0</v>
      </c>
      <c r="T35" s="327">
        <f t="shared" si="28"/>
        <v>0</v>
      </c>
      <c r="U35" s="327">
        <f t="shared" si="28"/>
        <v>0</v>
      </c>
      <c r="V35" s="327">
        <f t="shared" si="28"/>
        <v>0</v>
      </c>
      <c r="W35" s="327">
        <f t="shared" si="28"/>
        <v>0</v>
      </c>
      <c r="X35" s="327">
        <f t="shared" si="28"/>
        <v>0</v>
      </c>
      <c r="Y35" s="327">
        <f t="shared" si="28"/>
        <v>0</v>
      </c>
      <c r="Z35" s="327">
        <f t="shared" si="28"/>
        <v>0</v>
      </c>
      <c r="AA35" s="327">
        <f t="shared" si="28"/>
        <v>0</v>
      </c>
      <c r="AB35" s="327">
        <f t="shared" si="28"/>
        <v>0</v>
      </c>
      <c r="AC35" s="327">
        <f t="shared" si="28"/>
        <v>0</v>
      </c>
      <c r="AD35" s="327">
        <f t="shared" si="28"/>
        <v>0</v>
      </c>
      <c r="AE35" s="327">
        <f t="shared" si="28"/>
        <v>0</v>
      </c>
      <c r="AF35" s="328">
        <f t="shared" si="28"/>
        <v>0</v>
      </c>
      <c r="AG35" s="507">
        <f>SUMPRODUCT(($E$6:$E$13=$E35)*($G35=$G$6:$G$13)*(AG$6:AG$13))</f>
        <v>0</v>
      </c>
      <c r="AH35" s="327">
        <f t="shared" ref="AH35:AL38" si="29">SUMPRODUCT(($E$6:$E$12=$E35)*($G35=$G$6:$G$12)*(AH$6:AH$12))</f>
        <v>0</v>
      </c>
      <c r="AI35" s="328">
        <f t="shared" si="29"/>
        <v>0</v>
      </c>
      <c r="AJ35" s="337">
        <f t="shared" si="29"/>
        <v>0</v>
      </c>
      <c r="AK35" s="338">
        <f t="shared" si="29"/>
        <v>0</v>
      </c>
      <c r="AL35" s="338">
        <f t="shared" si="29"/>
        <v>0</v>
      </c>
      <c r="AM35" s="505">
        <f>SUMPRODUCT(($E$6:$E$13=$E35)*($G35=$G$6:$G$13)*(AM$6:AM$13))</f>
        <v>68530</v>
      </c>
    </row>
    <row r="36" spans="1:39">
      <c r="A36" s="173"/>
      <c r="B36" s="173"/>
      <c r="C36" s="173"/>
      <c r="D36" s="699"/>
      <c r="E36" s="397" t="s">
        <v>43</v>
      </c>
      <c r="F36" s="386"/>
      <c r="G36" s="398" t="s">
        <v>7</v>
      </c>
      <c r="H36" s="387"/>
      <c r="I36" s="329">
        <f t="shared" si="27"/>
        <v>0</v>
      </c>
      <c r="J36" s="388">
        <f t="shared" si="27"/>
        <v>0</v>
      </c>
      <c r="K36" s="388">
        <f t="shared" si="27"/>
        <v>0</v>
      </c>
      <c r="L36" s="388">
        <f t="shared" si="27"/>
        <v>0</v>
      </c>
      <c r="M36" s="388">
        <f t="shared" si="27"/>
        <v>0</v>
      </c>
      <c r="N36" s="388">
        <f t="shared" si="27"/>
        <v>0</v>
      </c>
      <c r="O36" s="388">
        <f t="shared" si="27"/>
        <v>0</v>
      </c>
      <c r="P36" s="388">
        <f t="shared" si="27"/>
        <v>0</v>
      </c>
      <c r="Q36" s="388">
        <f t="shared" si="27"/>
        <v>0</v>
      </c>
      <c r="R36" s="388">
        <f t="shared" si="27"/>
        <v>0</v>
      </c>
      <c r="S36" s="388">
        <f t="shared" si="28"/>
        <v>0</v>
      </c>
      <c r="T36" s="388">
        <f t="shared" si="28"/>
        <v>0</v>
      </c>
      <c r="U36" s="388">
        <f t="shared" si="28"/>
        <v>0</v>
      </c>
      <c r="V36" s="388">
        <f t="shared" si="28"/>
        <v>0</v>
      </c>
      <c r="W36" s="388">
        <f t="shared" si="28"/>
        <v>0</v>
      </c>
      <c r="X36" s="388">
        <f t="shared" si="28"/>
        <v>0</v>
      </c>
      <c r="Y36" s="388">
        <f t="shared" si="28"/>
        <v>0</v>
      </c>
      <c r="Z36" s="388">
        <f t="shared" si="28"/>
        <v>0</v>
      </c>
      <c r="AA36" s="388">
        <f t="shared" si="28"/>
        <v>0</v>
      </c>
      <c r="AB36" s="388">
        <f t="shared" si="28"/>
        <v>0</v>
      </c>
      <c r="AC36" s="388">
        <f t="shared" si="28"/>
        <v>0</v>
      </c>
      <c r="AD36" s="388">
        <f t="shared" si="28"/>
        <v>0</v>
      </c>
      <c r="AE36" s="388">
        <f t="shared" si="28"/>
        <v>0</v>
      </c>
      <c r="AF36" s="330">
        <f t="shared" si="28"/>
        <v>0</v>
      </c>
      <c r="AG36" s="508">
        <f>SUMPRODUCT(($E$6:$E$13=$E36)*($G36=$G$6:$G$13)*(AG$6:AG$13))</f>
        <v>0</v>
      </c>
      <c r="AH36" s="388">
        <f t="shared" si="29"/>
        <v>0</v>
      </c>
      <c r="AI36" s="330">
        <f t="shared" si="29"/>
        <v>0</v>
      </c>
      <c r="AJ36" s="339">
        <f t="shared" si="29"/>
        <v>0</v>
      </c>
      <c r="AK36" s="389">
        <f t="shared" si="29"/>
        <v>0</v>
      </c>
      <c r="AL36" s="389">
        <f t="shared" si="29"/>
        <v>0</v>
      </c>
      <c r="AM36" s="390">
        <f>SUMPRODUCT(($E$6:$E$13=$E36)*($G36=$G$6:$G$13)*(AM$6:AM$13))</f>
        <v>0</v>
      </c>
    </row>
    <row r="37" spans="1:39">
      <c r="A37" s="173"/>
      <c r="B37" s="173"/>
      <c r="C37" s="173"/>
      <c r="D37" s="699"/>
      <c r="E37" s="397" t="s">
        <v>43</v>
      </c>
      <c r="F37" s="386"/>
      <c r="G37" s="398" t="s">
        <v>8</v>
      </c>
      <c r="H37" s="387"/>
      <c r="I37" s="329">
        <f t="shared" si="27"/>
        <v>0</v>
      </c>
      <c r="J37" s="388">
        <f t="shared" si="27"/>
        <v>0</v>
      </c>
      <c r="K37" s="388">
        <f t="shared" si="27"/>
        <v>0</v>
      </c>
      <c r="L37" s="388">
        <f t="shared" si="27"/>
        <v>0</v>
      </c>
      <c r="M37" s="388">
        <f t="shared" si="27"/>
        <v>0</v>
      </c>
      <c r="N37" s="388">
        <f t="shared" si="27"/>
        <v>0</v>
      </c>
      <c r="O37" s="388">
        <f t="shared" si="27"/>
        <v>0</v>
      </c>
      <c r="P37" s="388">
        <f t="shared" si="27"/>
        <v>0</v>
      </c>
      <c r="Q37" s="388">
        <f t="shared" si="27"/>
        <v>0</v>
      </c>
      <c r="R37" s="388">
        <f t="shared" si="27"/>
        <v>0</v>
      </c>
      <c r="S37" s="388">
        <f t="shared" si="28"/>
        <v>0</v>
      </c>
      <c r="T37" s="388">
        <f t="shared" si="28"/>
        <v>0</v>
      </c>
      <c r="U37" s="388">
        <f t="shared" si="28"/>
        <v>0</v>
      </c>
      <c r="V37" s="388">
        <f t="shared" si="28"/>
        <v>0</v>
      </c>
      <c r="W37" s="388">
        <f t="shared" si="28"/>
        <v>0</v>
      </c>
      <c r="X37" s="388">
        <f t="shared" si="28"/>
        <v>0</v>
      </c>
      <c r="Y37" s="388">
        <f t="shared" si="28"/>
        <v>0</v>
      </c>
      <c r="Z37" s="388">
        <f t="shared" si="28"/>
        <v>0</v>
      </c>
      <c r="AA37" s="388">
        <f t="shared" si="28"/>
        <v>0</v>
      </c>
      <c r="AB37" s="388">
        <f t="shared" si="28"/>
        <v>0</v>
      </c>
      <c r="AC37" s="388">
        <f t="shared" si="28"/>
        <v>0</v>
      </c>
      <c r="AD37" s="388">
        <f t="shared" si="28"/>
        <v>0</v>
      </c>
      <c r="AE37" s="388">
        <f t="shared" si="28"/>
        <v>0</v>
      </c>
      <c r="AF37" s="330">
        <f t="shared" si="28"/>
        <v>0</v>
      </c>
      <c r="AG37" s="329">
        <f>SUMPRODUCT(($E$6:$E$13=$E37)*($G37=$G$6:$G$13)*(AG$6:AG$13))</f>
        <v>0</v>
      </c>
      <c r="AH37" s="388">
        <f t="shared" si="29"/>
        <v>0</v>
      </c>
      <c r="AI37" s="330">
        <f t="shared" si="29"/>
        <v>0</v>
      </c>
      <c r="AJ37" s="339">
        <f t="shared" si="29"/>
        <v>0</v>
      </c>
      <c r="AK37" s="389">
        <f t="shared" si="29"/>
        <v>0</v>
      </c>
      <c r="AL37" s="389">
        <f t="shared" si="29"/>
        <v>0</v>
      </c>
      <c r="AM37" s="506">
        <f>SUMPRODUCT(($E$6:$E$13=$E37)*($G37=$G$6:$G$13)*(AM$6:AM$13))</f>
        <v>0</v>
      </c>
    </row>
    <row r="38" spans="1:39">
      <c r="A38" s="173"/>
      <c r="B38" s="173"/>
      <c r="C38" s="173"/>
      <c r="D38" s="699"/>
      <c r="E38" s="397" t="s">
        <v>43</v>
      </c>
      <c r="F38" s="386"/>
      <c r="G38" s="398" t="s">
        <v>9</v>
      </c>
      <c r="H38" s="387"/>
      <c r="I38" s="329">
        <f t="shared" si="27"/>
        <v>0</v>
      </c>
      <c r="J38" s="388">
        <f t="shared" si="27"/>
        <v>0</v>
      </c>
      <c r="K38" s="388">
        <f t="shared" si="27"/>
        <v>0</v>
      </c>
      <c r="L38" s="388">
        <f t="shared" si="27"/>
        <v>0</v>
      </c>
      <c r="M38" s="388">
        <f t="shared" si="27"/>
        <v>0</v>
      </c>
      <c r="N38" s="388">
        <f t="shared" si="27"/>
        <v>0</v>
      </c>
      <c r="O38" s="388">
        <f t="shared" si="27"/>
        <v>0</v>
      </c>
      <c r="P38" s="388">
        <f t="shared" si="27"/>
        <v>0</v>
      </c>
      <c r="Q38" s="388">
        <f t="shared" si="27"/>
        <v>0</v>
      </c>
      <c r="R38" s="388">
        <f t="shared" si="27"/>
        <v>0</v>
      </c>
      <c r="S38" s="388">
        <f t="shared" si="28"/>
        <v>0</v>
      </c>
      <c r="T38" s="388">
        <f t="shared" si="28"/>
        <v>0</v>
      </c>
      <c r="U38" s="388">
        <f t="shared" si="28"/>
        <v>0</v>
      </c>
      <c r="V38" s="388">
        <f t="shared" si="28"/>
        <v>0</v>
      </c>
      <c r="W38" s="388">
        <f t="shared" si="28"/>
        <v>0</v>
      </c>
      <c r="X38" s="388">
        <f t="shared" si="28"/>
        <v>0</v>
      </c>
      <c r="Y38" s="388">
        <f t="shared" si="28"/>
        <v>0</v>
      </c>
      <c r="Z38" s="388">
        <f t="shared" si="28"/>
        <v>0</v>
      </c>
      <c r="AA38" s="388">
        <f t="shared" si="28"/>
        <v>0</v>
      </c>
      <c r="AB38" s="388">
        <f t="shared" si="28"/>
        <v>0</v>
      </c>
      <c r="AC38" s="388">
        <f t="shared" si="28"/>
        <v>0</v>
      </c>
      <c r="AD38" s="388">
        <f t="shared" si="28"/>
        <v>0</v>
      </c>
      <c r="AE38" s="388">
        <f t="shared" si="28"/>
        <v>0</v>
      </c>
      <c r="AF38" s="330">
        <f t="shared" si="28"/>
        <v>0</v>
      </c>
      <c r="AG38" s="509">
        <f>SUMPRODUCT(($E$6:$E$13=$E38)*($G38=$G$6:$G$13)*(AG$6:AG$13))</f>
        <v>0</v>
      </c>
      <c r="AH38" s="388">
        <f t="shared" si="29"/>
        <v>0</v>
      </c>
      <c r="AI38" s="330">
        <f t="shared" si="29"/>
        <v>0</v>
      </c>
      <c r="AJ38" s="339">
        <f t="shared" si="29"/>
        <v>0</v>
      </c>
      <c r="AK38" s="389">
        <f t="shared" si="29"/>
        <v>0</v>
      </c>
      <c r="AL38" s="389">
        <f t="shared" si="29"/>
        <v>0</v>
      </c>
      <c r="AM38" s="506">
        <f>SUMPRODUCT(($E$6:$E$13=$E38)*($G38=$G$6:$G$13)*(AM$6:AM$13))</f>
        <v>0</v>
      </c>
    </row>
    <row r="39" spans="1:39">
      <c r="A39" s="173"/>
      <c r="B39" s="173"/>
      <c r="C39" s="173"/>
      <c r="D39" s="699"/>
      <c r="E39" s="701" t="s">
        <v>333</v>
      </c>
      <c r="F39" s="702"/>
      <c r="G39" s="702"/>
      <c r="H39" s="703"/>
      <c r="I39" s="331">
        <f>SUM(I35:I38)</f>
        <v>0</v>
      </c>
      <c r="J39" s="392">
        <f t="shared" ref="J39:AF39" si="30">SUM(J35:J38)</f>
        <v>0</v>
      </c>
      <c r="K39" s="392">
        <f t="shared" si="30"/>
        <v>0</v>
      </c>
      <c r="L39" s="392">
        <f t="shared" si="30"/>
        <v>0</v>
      </c>
      <c r="M39" s="392">
        <f t="shared" si="30"/>
        <v>0</v>
      </c>
      <c r="N39" s="392">
        <f t="shared" si="30"/>
        <v>0</v>
      </c>
      <c r="O39" s="392">
        <f t="shared" si="30"/>
        <v>0</v>
      </c>
      <c r="P39" s="392">
        <f t="shared" si="30"/>
        <v>0</v>
      </c>
      <c r="Q39" s="392">
        <f t="shared" si="30"/>
        <v>0</v>
      </c>
      <c r="R39" s="392">
        <f t="shared" si="30"/>
        <v>0</v>
      </c>
      <c r="S39" s="392">
        <f t="shared" si="30"/>
        <v>0</v>
      </c>
      <c r="T39" s="392">
        <f t="shared" si="30"/>
        <v>0</v>
      </c>
      <c r="U39" s="392">
        <f t="shared" si="30"/>
        <v>0</v>
      </c>
      <c r="V39" s="392">
        <f t="shared" si="30"/>
        <v>0</v>
      </c>
      <c r="W39" s="392">
        <f t="shared" si="30"/>
        <v>0</v>
      </c>
      <c r="X39" s="392">
        <f t="shared" si="30"/>
        <v>0</v>
      </c>
      <c r="Y39" s="392">
        <f t="shared" si="30"/>
        <v>0</v>
      </c>
      <c r="Z39" s="392">
        <f t="shared" si="30"/>
        <v>0</v>
      </c>
      <c r="AA39" s="392">
        <f t="shared" si="30"/>
        <v>0</v>
      </c>
      <c r="AB39" s="392">
        <f t="shared" si="30"/>
        <v>0</v>
      </c>
      <c r="AC39" s="392">
        <f t="shared" si="30"/>
        <v>0</v>
      </c>
      <c r="AD39" s="392">
        <f t="shared" si="30"/>
        <v>0</v>
      </c>
      <c r="AE39" s="392">
        <f t="shared" si="30"/>
        <v>0</v>
      </c>
      <c r="AF39" s="393">
        <f t="shared" si="30"/>
        <v>0</v>
      </c>
      <c r="AG39" s="331">
        <f>SUM(AG35:AG38)</f>
        <v>0</v>
      </c>
      <c r="AH39" s="392">
        <f>SUM(AH35:AH38)</f>
        <v>0</v>
      </c>
      <c r="AI39" s="336">
        <f>SUM(AI35:AI38)</f>
        <v>0</v>
      </c>
      <c r="AJ39" s="340">
        <f>IF(AK39&gt;0, AK39/AG39, 0)</f>
        <v>0</v>
      </c>
      <c r="AK39" s="394">
        <f>SUM(AK35:AK38)</f>
        <v>0</v>
      </c>
      <c r="AL39" s="394" t="s">
        <v>524</v>
      </c>
      <c r="AM39" s="395">
        <f>SUM(AM35:AM38)</f>
        <v>68530</v>
      </c>
    </row>
    <row r="40" spans="1:39">
      <c r="A40" s="173"/>
      <c r="B40" s="173"/>
      <c r="C40" s="173"/>
      <c r="D40" s="699"/>
      <c r="E40" s="397" t="s">
        <v>334</v>
      </c>
      <c r="F40" s="386"/>
      <c r="G40" s="398" t="s">
        <v>335</v>
      </c>
      <c r="H40" s="399"/>
      <c r="I40" s="329">
        <f t="shared" ref="I40:R43" si="31">SUMPRODUCT(($E$6:$E$12=$E40)*($G40=$G$6:$G$12)*(I$6:I$12))</f>
        <v>0</v>
      </c>
      <c r="J40" s="388">
        <f t="shared" si="31"/>
        <v>0</v>
      </c>
      <c r="K40" s="388">
        <f t="shared" si="31"/>
        <v>0</v>
      </c>
      <c r="L40" s="388">
        <f t="shared" si="31"/>
        <v>0</v>
      </c>
      <c r="M40" s="388">
        <f t="shared" si="31"/>
        <v>0</v>
      </c>
      <c r="N40" s="388">
        <f t="shared" si="31"/>
        <v>0</v>
      </c>
      <c r="O40" s="388">
        <f t="shared" si="31"/>
        <v>0</v>
      </c>
      <c r="P40" s="388">
        <f t="shared" si="31"/>
        <v>0</v>
      </c>
      <c r="Q40" s="388">
        <f t="shared" si="31"/>
        <v>0</v>
      </c>
      <c r="R40" s="388">
        <f t="shared" si="31"/>
        <v>0</v>
      </c>
      <c r="S40" s="388">
        <f t="shared" ref="S40:AB43" si="32">SUMPRODUCT(($E$6:$E$12=$E40)*($G40=$G$6:$G$12)*(S$6:S$12))</f>
        <v>0</v>
      </c>
      <c r="T40" s="388">
        <f t="shared" si="32"/>
        <v>0</v>
      </c>
      <c r="U40" s="388">
        <f t="shared" si="32"/>
        <v>0</v>
      </c>
      <c r="V40" s="388">
        <f t="shared" si="32"/>
        <v>0</v>
      </c>
      <c r="W40" s="388">
        <f t="shared" si="32"/>
        <v>0</v>
      </c>
      <c r="X40" s="388">
        <f t="shared" si="32"/>
        <v>0</v>
      </c>
      <c r="Y40" s="388">
        <f t="shared" si="32"/>
        <v>0</v>
      </c>
      <c r="Z40" s="388">
        <f t="shared" si="32"/>
        <v>0</v>
      </c>
      <c r="AA40" s="388">
        <f t="shared" si="32"/>
        <v>0</v>
      </c>
      <c r="AB40" s="388">
        <f t="shared" si="32"/>
        <v>0</v>
      </c>
      <c r="AC40" s="388">
        <f t="shared" ref="AC40:AM43" si="33">SUMPRODUCT(($E$6:$E$12=$E40)*($G40=$G$6:$G$12)*(AC$6:AC$12))</f>
        <v>0</v>
      </c>
      <c r="AD40" s="388">
        <f t="shared" si="33"/>
        <v>0</v>
      </c>
      <c r="AE40" s="388">
        <f t="shared" si="33"/>
        <v>0</v>
      </c>
      <c r="AF40" s="330">
        <f t="shared" si="33"/>
        <v>0</v>
      </c>
      <c r="AG40" s="329">
        <f t="shared" si="33"/>
        <v>0</v>
      </c>
      <c r="AH40" s="388">
        <f t="shared" si="33"/>
        <v>0</v>
      </c>
      <c r="AI40" s="330">
        <f t="shared" si="33"/>
        <v>0</v>
      </c>
      <c r="AJ40" s="339">
        <f t="shared" si="33"/>
        <v>0</v>
      </c>
      <c r="AK40" s="389">
        <f t="shared" si="33"/>
        <v>0</v>
      </c>
      <c r="AL40" s="389">
        <f t="shared" si="33"/>
        <v>0</v>
      </c>
      <c r="AM40" s="390">
        <f t="shared" si="33"/>
        <v>0</v>
      </c>
    </row>
    <row r="41" spans="1:39">
      <c r="A41" s="173"/>
      <c r="B41" s="173"/>
      <c r="C41" s="173"/>
      <c r="D41" s="699"/>
      <c r="E41" s="397" t="s">
        <v>42</v>
      </c>
      <c r="F41" s="386"/>
      <c r="G41" s="386" t="s">
        <v>336</v>
      </c>
      <c r="H41" s="399"/>
      <c r="I41" s="329">
        <f t="shared" si="31"/>
        <v>0</v>
      </c>
      <c r="J41" s="388">
        <f t="shared" si="31"/>
        <v>0</v>
      </c>
      <c r="K41" s="388">
        <f t="shared" si="31"/>
        <v>0</v>
      </c>
      <c r="L41" s="388">
        <f t="shared" si="31"/>
        <v>0</v>
      </c>
      <c r="M41" s="388">
        <f t="shared" si="31"/>
        <v>0</v>
      </c>
      <c r="N41" s="388">
        <f t="shared" si="31"/>
        <v>0</v>
      </c>
      <c r="O41" s="388">
        <f t="shared" si="31"/>
        <v>0</v>
      </c>
      <c r="P41" s="388">
        <f t="shared" si="31"/>
        <v>0</v>
      </c>
      <c r="Q41" s="388">
        <f t="shared" si="31"/>
        <v>0</v>
      </c>
      <c r="R41" s="388">
        <f t="shared" si="31"/>
        <v>0</v>
      </c>
      <c r="S41" s="388">
        <f t="shared" si="32"/>
        <v>0</v>
      </c>
      <c r="T41" s="388">
        <f t="shared" si="32"/>
        <v>0</v>
      </c>
      <c r="U41" s="388">
        <f t="shared" si="32"/>
        <v>0</v>
      </c>
      <c r="V41" s="388">
        <f t="shared" si="32"/>
        <v>0</v>
      </c>
      <c r="W41" s="388">
        <f t="shared" si="32"/>
        <v>0</v>
      </c>
      <c r="X41" s="388">
        <f t="shared" si="32"/>
        <v>0</v>
      </c>
      <c r="Y41" s="388">
        <f t="shared" si="32"/>
        <v>0</v>
      </c>
      <c r="Z41" s="388">
        <f t="shared" si="32"/>
        <v>0</v>
      </c>
      <c r="AA41" s="388">
        <f t="shared" si="32"/>
        <v>0</v>
      </c>
      <c r="AB41" s="388">
        <f t="shared" si="32"/>
        <v>0</v>
      </c>
      <c r="AC41" s="388">
        <f t="shared" si="33"/>
        <v>0</v>
      </c>
      <c r="AD41" s="388">
        <f t="shared" si="33"/>
        <v>0</v>
      </c>
      <c r="AE41" s="388">
        <f t="shared" si="33"/>
        <v>0</v>
      </c>
      <c r="AF41" s="330">
        <f t="shared" si="33"/>
        <v>0</v>
      </c>
      <c r="AG41" s="329">
        <f t="shared" si="33"/>
        <v>0</v>
      </c>
      <c r="AH41" s="329">
        <f t="shared" si="33"/>
        <v>0</v>
      </c>
      <c r="AI41" s="329">
        <f t="shared" si="33"/>
        <v>0</v>
      </c>
      <c r="AJ41" s="339">
        <f t="shared" si="33"/>
        <v>0</v>
      </c>
      <c r="AK41" s="389">
        <f t="shared" si="33"/>
        <v>0</v>
      </c>
      <c r="AL41" s="389">
        <f t="shared" si="33"/>
        <v>0</v>
      </c>
      <c r="AM41" s="390">
        <f t="shared" si="33"/>
        <v>0</v>
      </c>
    </row>
    <row r="42" spans="1:39">
      <c r="A42" s="173"/>
      <c r="B42" s="173"/>
      <c r="C42" s="173"/>
      <c r="D42" s="699"/>
      <c r="E42" s="397" t="s">
        <v>42</v>
      </c>
      <c r="F42" s="386"/>
      <c r="G42" s="386" t="s">
        <v>337</v>
      </c>
      <c r="H42" s="399"/>
      <c r="I42" s="329">
        <f t="shared" si="31"/>
        <v>0</v>
      </c>
      <c r="J42" s="388">
        <f t="shared" si="31"/>
        <v>0</v>
      </c>
      <c r="K42" s="388">
        <f t="shared" si="31"/>
        <v>0</v>
      </c>
      <c r="L42" s="388">
        <f t="shared" si="31"/>
        <v>0</v>
      </c>
      <c r="M42" s="388">
        <f t="shared" si="31"/>
        <v>0</v>
      </c>
      <c r="N42" s="388">
        <f t="shared" si="31"/>
        <v>0</v>
      </c>
      <c r="O42" s="388">
        <f t="shared" si="31"/>
        <v>0</v>
      </c>
      <c r="P42" s="388">
        <f t="shared" si="31"/>
        <v>0</v>
      </c>
      <c r="Q42" s="388">
        <f t="shared" si="31"/>
        <v>0</v>
      </c>
      <c r="R42" s="388">
        <f t="shared" si="31"/>
        <v>0</v>
      </c>
      <c r="S42" s="388">
        <f t="shared" si="32"/>
        <v>0</v>
      </c>
      <c r="T42" s="388">
        <f t="shared" si="32"/>
        <v>0</v>
      </c>
      <c r="U42" s="388">
        <f t="shared" si="32"/>
        <v>0</v>
      </c>
      <c r="V42" s="388">
        <f t="shared" si="32"/>
        <v>0</v>
      </c>
      <c r="W42" s="388">
        <f t="shared" si="32"/>
        <v>0</v>
      </c>
      <c r="X42" s="388">
        <f t="shared" si="32"/>
        <v>0</v>
      </c>
      <c r="Y42" s="388">
        <f t="shared" si="32"/>
        <v>0</v>
      </c>
      <c r="Z42" s="388">
        <f t="shared" si="32"/>
        <v>0</v>
      </c>
      <c r="AA42" s="388">
        <f t="shared" si="32"/>
        <v>0</v>
      </c>
      <c r="AB42" s="388">
        <f t="shared" si="32"/>
        <v>0</v>
      </c>
      <c r="AC42" s="388">
        <f t="shared" si="33"/>
        <v>0</v>
      </c>
      <c r="AD42" s="388">
        <f t="shared" si="33"/>
        <v>0</v>
      </c>
      <c r="AE42" s="388">
        <f t="shared" si="33"/>
        <v>0</v>
      </c>
      <c r="AF42" s="330">
        <f t="shared" si="33"/>
        <v>0</v>
      </c>
      <c r="AG42" s="329">
        <f t="shared" si="33"/>
        <v>0</v>
      </c>
      <c r="AH42" s="329">
        <f t="shared" si="33"/>
        <v>0</v>
      </c>
      <c r="AI42" s="329">
        <f t="shared" si="33"/>
        <v>0</v>
      </c>
      <c r="AJ42" s="339">
        <f t="shared" si="33"/>
        <v>0</v>
      </c>
      <c r="AK42" s="389">
        <f t="shared" si="33"/>
        <v>0</v>
      </c>
      <c r="AL42" s="389">
        <f t="shared" si="33"/>
        <v>0</v>
      </c>
      <c r="AM42" s="390">
        <f t="shared" si="33"/>
        <v>0</v>
      </c>
    </row>
    <row r="43" spans="1:39">
      <c r="A43" s="173"/>
      <c r="B43" s="173"/>
      <c r="C43" s="173"/>
      <c r="D43" s="699"/>
      <c r="E43" s="397" t="s">
        <v>42</v>
      </c>
      <c r="F43" s="386"/>
      <c r="G43" s="386" t="s">
        <v>338</v>
      </c>
      <c r="H43" s="399"/>
      <c r="I43" s="329">
        <f t="shared" si="31"/>
        <v>0</v>
      </c>
      <c r="J43" s="388">
        <f t="shared" si="31"/>
        <v>0</v>
      </c>
      <c r="K43" s="388">
        <f t="shared" si="31"/>
        <v>0</v>
      </c>
      <c r="L43" s="388">
        <f t="shared" si="31"/>
        <v>0</v>
      </c>
      <c r="M43" s="388">
        <f t="shared" si="31"/>
        <v>0</v>
      </c>
      <c r="N43" s="388">
        <f t="shared" si="31"/>
        <v>0</v>
      </c>
      <c r="O43" s="388">
        <f t="shared" si="31"/>
        <v>0</v>
      </c>
      <c r="P43" s="388">
        <f t="shared" si="31"/>
        <v>0</v>
      </c>
      <c r="Q43" s="388">
        <f t="shared" si="31"/>
        <v>0</v>
      </c>
      <c r="R43" s="388">
        <f t="shared" si="31"/>
        <v>0</v>
      </c>
      <c r="S43" s="388">
        <f t="shared" si="32"/>
        <v>0</v>
      </c>
      <c r="T43" s="388">
        <f t="shared" si="32"/>
        <v>0</v>
      </c>
      <c r="U43" s="388">
        <f t="shared" si="32"/>
        <v>2</v>
      </c>
      <c r="V43" s="388">
        <f t="shared" si="32"/>
        <v>2</v>
      </c>
      <c r="W43" s="388">
        <f t="shared" si="32"/>
        <v>2</v>
      </c>
      <c r="X43" s="388">
        <f t="shared" si="32"/>
        <v>2</v>
      </c>
      <c r="Y43" s="388">
        <f t="shared" si="32"/>
        <v>3</v>
      </c>
      <c r="Z43" s="388">
        <f t="shared" si="32"/>
        <v>3</v>
      </c>
      <c r="AA43" s="388">
        <f t="shared" si="32"/>
        <v>3</v>
      </c>
      <c r="AB43" s="388">
        <f t="shared" si="32"/>
        <v>3</v>
      </c>
      <c r="AC43" s="388">
        <f t="shared" si="33"/>
        <v>3</v>
      </c>
      <c r="AD43" s="388">
        <f t="shared" si="33"/>
        <v>0</v>
      </c>
      <c r="AE43" s="388">
        <f t="shared" si="33"/>
        <v>0</v>
      </c>
      <c r="AF43" s="330">
        <f t="shared" si="33"/>
        <v>0</v>
      </c>
      <c r="AG43" s="329">
        <f t="shared" si="33"/>
        <v>23</v>
      </c>
      <c r="AH43" s="329">
        <f t="shared" si="33"/>
        <v>0</v>
      </c>
      <c r="AI43" s="329">
        <f t="shared" si="33"/>
        <v>23</v>
      </c>
      <c r="AJ43" s="339">
        <f t="shared" si="33"/>
        <v>0</v>
      </c>
      <c r="AK43" s="389">
        <f t="shared" si="33"/>
        <v>0</v>
      </c>
      <c r="AL43" s="389">
        <f t="shared" si="33"/>
        <v>2150</v>
      </c>
      <c r="AM43" s="390">
        <f t="shared" si="33"/>
        <v>49450</v>
      </c>
    </row>
    <row r="44" spans="1:39">
      <c r="A44" s="173"/>
      <c r="B44" s="173"/>
      <c r="C44" s="173"/>
      <c r="D44" s="699"/>
      <c r="E44" s="701" t="s">
        <v>333</v>
      </c>
      <c r="F44" s="702"/>
      <c r="G44" s="702"/>
      <c r="H44" s="703"/>
      <c r="I44" s="331">
        <f>SUM(I40:I43)</f>
        <v>0</v>
      </c>
      <c r="J44" s="392">
        <f t="shared" ref="J44:AF44" si="34">SUM(J40:J43)</f>
        <v>0</v>
      </c>
      <c r="K44" s="392">
        <f t="shared" si="34"/>
        <v>0</v>
      </c>
      <c r="L44" s="392">
        <f t="shared" si="34"/>
        <v>0</v>
      </c>
      <c r="M44" s="392">
        <f t="shared" si="34"/>
        <v>0</v>
      </c>
      <c r="N44" s="392">
        <f t="shared" si="34"/>
        <v>0</v>
      </c>
      <c r="O44" s="392">
        <f t="shared" si="34"/>
        <v>0</v>
      </c>
      <c r="P44" s="392">
        <f t="shared" si="34"/>
        <v>0</v>
      </c>
      <c r="Q44" s="392">
        <f t="shared" si="34"/>
        <v>0</v>
      </c>
      <c r="R44" s="392">
        <f t="shared" si="34"/>
        <v>0</v>
      </c>
      <c r="S44" s="392">
        <f t="shared" si="34"/>
        <v>0</v>
      </c>
      <c r="T44" s="392">
        <f t="shared" si="34"/>
        <v>0</v>
      </c>
      <c r="U44" s="392">
        <f t="shared" si="34"/>
        <v>2</v>
      </c>
      <c r="V44" s="392">
        <f t="shared" si="34"/>
        <v>2</v>
      </c>
      <c r="W44" s="392">
        <f t="shared" si="34"/>
        <v>2</v>
      </c>
      <c r="X44" s="392">
        <f t="shared" si="34"/>
        <v>2</v>
      </c>
      <c r="Y44" s="392">
        <f t="shared" si="34"/>
        <v>3</v>
      </c>
      <c r="Z44" s="392">
        <f t="shared" si="34"/>
        <v>3</v>
      </c>
      <c r="AA44" s="392">
        <f t="shared" si="34"/>
        <v>3</v>
      </c>
      <c r="AB44" s="392">
        <f t="shared" si="34"/>
        <v>3</v>
      </c>
      <c r="AC44" s="392">
        <f t="shared" si="34"/>
        <v>3</v>
      </c>
      <c r="AD44" s="392">
        <f t="shared" si="34"/>
        <v>0</v>
      </c>
      <c r="AE44" s="392">
        <f t="shared" si="34"/>
        <v>0</v>
      </c>
      <c r="AF44" s="392">
        <f t="shared" si="34"/>
        <v>0</v>
      </c>
      <c r="AG44" s="331">
        <f>SUM(AG40:AG43)</f>
        <v>23</v>
      </c>
      <c r="AH44" s="392">
        <f>SUM(AH40:AH43)</f>
        <v>0</v>
      </c>
      <c r="AI44" s="336">
        <f>SUM(AI40:AI43)</f>
        <v>23</v>
      </c>
      <c r="AJ44" s="340">
        <f>IF(AK44&gt;0, AK44/AG44, 0)</f>
        <v>0</v>
      </c>
      <c r="AK44" s="394">
        <f>SUM(AK40:AK43)</f>
        <v>0</v>
      </c>
      <c r="AL44" s="394">
        <f>IF(AM44&gt;0, AM44/AG44, 0)</f>
        <v>2150</v>
      </c>
      <c r="AM44" s="395">
        <f>SUM(AM40:AM43)</f>
        <v>49450</v>
      </c>
    </row>
    <row r="45" spans="1:39" ht="13.5" thickBot="1">
      <c r="A45" s="173"/>
      <c r="B45" s="173"/>
      <c r="C45" s="173"/>
      <c r="D45" s="700"/>
      <c r="E45" s="707" t="s">
        <v>339</v>
      </c>
      <c r="F45" s="707"/>
      <c r="G45" s="707"/>
      <c r="H45" s="708"/>
      <c r="I45" s="332">
        <f t="shared" ref="I45:AF45" si="35">SUM(I44,I39)</f>
        <v>0</v>
      </c>
      <c r="J45" s="333">
        <f t="shared" si="35"/>
        <v>0</v>
      </c>
      <c r="K45" s="333">
        <f t="shared" si="35"/>
        <v>0</v>
      </c>
      <c r="L45" s="333">
        <f t="shared" si="35"/>
        <v>0</v>
      </c>
      <c r="M45" s="333">
        <f t="shared" si="35"/>
        <v>0</v>
      </c>
      <c r="N45" s="333">
        <f t="shared" si="35"/>
        <v>0</v>
      </c>
      <c r="O45" s="333">
        <f t="shared" si="35"/>
        <v>0</v>
      </c>
      <c r="P45" s="333">
        <f t="shared" si="35"/>
        <v>0</v>
      </c>
      <c r="Q45" s="333">
        <f t="shared" si="35"/>
        <v>0</v>
      </c>
      <c r="R45" s="333">
        <f t="shared" si="35"/>
        <v>0</v>
      </c>
      <c r="S45" s="333">
        <f t="shared" si="35"/>
        <v>0</v>
      </c>
      <c r="T45" s="333">
        <f t="shared" si="35"/>
        <v>0</v>
      </c>
      <c r="U45" s="333">
        <f t="shared" si="35"/>
        <v>2</v>
      </c>
      <c r="V45" s="333">
        <f t="shared" si="35"/>
        <v>2</v>
      </c>
      <c r="W45" s="333">
        <f t="shared" si="35"/>
        <v>2</v>
      </c>
      <c r="X45" s="333">
        <f t="shared" si="35"/>
        <v>2</v>
      </c>
      <c r="Y45" s="333">
        <f t="shared" si="35"/>
        <v>3</v>
      </c>
      <c r="Z45" s="333">
        <f t="shared" si="35"/>
        <v>3</v>
      </c>
      <c r="AA45" s="333">
        <f t="shared" si="35"/>
        <v>3</v>
      </c>
      <c r="AB45" s="333">
        <f t="shared" si="35"/>
        <v>3</v>
      </c>
      <c r="AC45" s="333">
        <f t="shared" si="35"/>
        <v>3</v>
      </c>
      <c r="AD45" s="333">
        <f t="shared" si="35"/>
        <v>0</v>
      </c>
      <c r="AE45" s="333">
        <f t="shared" si="35"/>
        <v>0</v>
      </c>
      <c r="AF45" s="334">
        <f t="shared" si="35"/>
        <v>0</v>
      </c>
      <c r="AG45" s="332">
        <f>SUM(AG44,AG39)</f>
        <v>23</v>
      </c>
      <c r="AH45" s="333">
        <f>SUM(AH44,AH39)</f>
        <v>0</v>
      </c>
      <c r="AI45" s="335">
        <f>SUM(AI44,AI39)</f>
        <v>23</v>
      </c>
      <c r="AJ45" s="341">
        <f>IF(AK45&gt;0, AK45/AG45, 0)</f>
        <v>0</v>
      </c>
      <c r="AK45" s="343">
        <f>SUM(AK44,AK39)</f>
        <v>0</v>
      </c>
      <c r="AL45" s="344">
        <f>IF(AM45&gt;0, AM45/AG45, 0)</f>
        <v>5129.565217391304</v>
      </c>
      <c r="AM45" s="396">
        <f>SUM(AM44,AM39)</f>
        <v>117980</v>
      </c>
    </row>
    <row r="46" spans="1:39" ht="13.5" thickBot="1">
      <c r="A46" s="173"/>
      <c r="B46" s="173"/>
      <c r="C46" s="173"/>
      <c r="D46" s="709" t="s">
        <v>340</v>
      </c>
      <c r="E46" s="710"/>
      <c r="F46" s="710"/>
      <c r="G46" s="710"/>
      <c r="H46" s="711"/>
      <c r="I46" s="195">
        <f t="shared" ref="I46:AF46" si="36">SUM(I34,I45)</f>
        <v>0</v>
      </c>
      <c r="J46" s="196">
        <f t="shared" si="36"/>
        <v>0</v>
      </c>
      <c r="K46" s="196">
        <f t="shared" si="36"/>
        <v>0</v>
      </c>
      <c r="L46" s="196">
        <f t="shared" si="36"/>
        <v>0</v>
      </c>
      <c r="M46" s="196">
        <f t="shared" si="36"/>
        <v>0</v>
      </c>
      <c r="N46" s="196">
        <f t="shared" si="36"/>
        <v>0</v>
      </c>
      <c r="O46" s="196">
        <f t="shared" si="36"/>
        <v>0</v>
      </c>
      <c r="P46" s="196">
        <f t="shared" si="36"/>
        <v>0</v>
      </c>
      <c r="Q46" s="196">
        <f t="shared" si="36"/>
        <v>0</v>
      </c>
      <c r="R46" s="196">
        <f t="shared" si="36"/>
        <v>0</v>
      </c>
      <c r="S46" s="196">
        <f t="shared" si="36"/>
        <v>0.25</v>
      </c>
      <c r="T46" s="196">
        <f t="shared" si="36"/>
        <v>4.5</v>
      </c>
      <c r="U46" s="196">
        <f t="shared" si="36"/>
        <v>6</v>
      </c>
      <c r="V46" s="196">
        <f t="shared" si="36"/>
        <v>6</v>
      </c>
      <c r="W46" s="196">
        <f t="shared" si="36"/>
        <v>5</v>
      </c>
      <c r="X46" s="197">
        <f t="shared" si="36"/>
        <v>5</v>
      </c>
      <c r="Y46" s="196">
        <f t="shared" si="36"/>
        <v>6</v>
      </c>
      <c r="Z46" s="196">
        <f t="shared" si="36"/>
        <v>6</v>
      </c>
      <c r="AA46" s="196">
        <f t="shared" si="36"/>
        <v>6</v>
      </c>
      <c r="AB46" s="197">
        <f t="shared" si="36"/>
        <v>6</v>
      </c>
      <c r="AC46" s="196">
        <f t="shared" si="36"/>
        <v>4.5</v>
      </c>
      <c r="AD46" s="196">
        <f t="shared" si="36"/>
        <v>0</v>
      </c>
      <c r="AE46" s="196">
        <f t="shared" si="36"/>
        <v>0</v>
      </c>
      <c r="AF46" s="182">
        <f t="shared" si="36"/>
        <v>0</v>
      </c>
      <c r="AG46" s="195">
        <f>SUM(AG34,AG45)</f>
        <v>55.25</v>
      </c>
      <c r="AH46" s="196">
        <f>SUM(AH34,AH45)</f>
        <v>4.75</v>
      </c>
      <c r="AI46" s="197">
        <f>SUM(AI34,AI45)</f>
        <v>50.5</v>
      </c>
      <c r="AJ46" s="183">
        <f>IF(AK46&gt;0, AK46/AG46, 0)</f>
        <v>12403.619909502262</v>
      </c>
      <c r="AK46" s="199">
        <f>SUM(AK34,AK45)</f>
        <v>685300</v>
      </c>
      <c r="AL46" s="198">
        <f>IF(AM46&gt;0, AM46/AG46, 0)</f>
        <v>9242.6877828054294</v>
      </c>
      <c r="AM46" s="199">
        <f>SUM(AM34,AM45)</f>
        <v>510658.5</v>
      </c>
    </row>
    <row r="47" spans="1:39" ht="13.5" thickBot="1">
      <c r="A47" s="173"/>
      <c r="B47" s="173"/>
      <c r="C47" s="173"/>
      <c r="D47" s="200"/>
      <c r="E47" s="200"/>
      <c r="F47" s="200"/>
      <c r="G47" s="200"/>
      <c r="H47" s="200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2"/>
      <c r="AH47" s="203"/>
      <c r="AI47" s="200"/>
      <c r="AJ47" s="201"/>
      <c r="AK47" s="201"/>
      <c r="AL47" s="204"/>
      <c r="AM47" s="204"/>
    </row>
    <row r="48" spans="1:39" ht="13.5" thickBot="1">
      <c r="A48" s="173"/>
      <c r="B48" s="173"/>
      <c r="C48" s="173"/>
      <c r="D48" s="696" t="s">
        <v>341</v>
      </c>
      <c r="E48" s="697"/>
      <c r="F48" s="697"/>
      <c r="G48" s="697"/>
      <c r="H48" s="697"/>
      <c r="I48" s="205">
        <f t="shared" ref="I48:AM48" si="37">I15-I46</f>
        <v>0</v>
      </c>
      <c r="J48" s="205">
        <f t="shared" si="37"/>
        <v>0</v>
      </c>
      <c r="K48" s="205">
        <f t="shared" si="37"/>
        <v>0</v>
      </c>
      <c r="L48" s="205">
        <f t="shared" si="37"/>
        <v>0</v>
      </c>
      <c r="M48" s="205">
        <f t="shared" si="37"/>
        <v>0</v>
      </c>
      <c r="N48" s="205">
        <f t="shared" si="37"/>
        <v>0</v>
      </c>
      <c r="O48" s="205">
        <f t="shared" si="37"/>
        <v>0</v>
      </c>
      <c r="P48" s="205">
        <f t="shared" si="37"/>
        <v>0</v>
      </c>
      <c r="Q48" s="205">
        <f t="shared" si="37"/>
        <v>0</v>
      </c>
      <c r="R48" s="205">
        <f t="shared" si="37"/>
        <v>0</v>
      </c>
      <c r="S48" s="205">
        <f t="shared" si="37"/>
        <v>0</v>
      </c>
      <c r="T48" s="205">
        <f t="shared" si="37"/>
        <v>0</v>
      </c>
      <c r="U48" s="205">
        <f t="shared" si="37"/>
        <v>0</v>
      </c>
      <c r="V48" s="205">
        <f t="shared" si="37"/>
        <v>0</v>
      </c>
      <c r="W48" s="205">
        <f t="shared" si="37"/>
        <v>0</v>
      </c>
      <c r="X48" s="205">
        <f t="shared" si="37"/>
        <v>0</v>
      </c>
      <c r="Y48" s="205">
        <f t="shared" si="37"/>
        <v>0</v>
      </c>
      <c r="Z48" s="205">
        <f t="shared" si="37"/>
        <v>0</v>
      </c>
      <c r="AA48" s="205">
        <f t="shared" si="37"/>
        <v>0</v>
      </c>
      <c r="AB48" s="205">
        <f t="shared" si="37"/>
        <v>0</v>
      </c>
      <c r="AC48" s="205">
        <f t="shared" si="37"/>
        <v>0</v>
      </c>
      <c r="AD48" s="205">
        <f t="shared" si="37"/>
        <v>0</v>
      </c>
      <c r="AE48" s="205">
        <f t="shared" si="37"/>
        <v>0</v>
      </c>
      <c r="AF48" s="205">
        <f t="shared" si="37"/>
        <v>0</v>
      </c>
      <c r="AG48" s="205">
        <f t="shared" si="37"/>
        <v>0</v>
      </c>
      <c r="AH48" s="205">
        <f t="shared" si="37"/>
        <v>0</v>
      </c>
      <c r="AI48" s="205">
        <f t="shared" si="37"/>
        <v>0</v>
      </c>
      <c r="AJ48" s="433">
        <f t="shared" si="37"/>
        <v>0</v>
      </c>
      <c r="AK48" s="433">
        <f t="shared" si="37"/>
        <v>0</v>
      </c>
      <c r="AL48" s="433">
        <f t="shared" si="37"/>
        <v>0</v>
      </c>
      <c r="AM48" s="206">
        <f t="shared" si="37"/>
        <v>0</v>
      </c>
    </row>
  </sheetData>
  <mergeCells count="32">
    <mergeCell ref="A15:H15"/>
    <mergeCell ref="D48:H48"/>
    <mergeCell ref="A17:H17"/>
    <mergeCell ref="D18:D34"/>
    <mergeCell ref="E25:H25"/>
    <mergeCell ref="E33:H33"/>
    <mergeCell ref="E34:H34"/>
    <mergeCell ref="D35:D45"/>
    <mergeCell ref="E39:H39"/>
    <mergeCell ref="E44:H44"/>
    <mergeCell ref="E45:H45"/>
    <mergeCell ref="D46:H46"/>
    <mergeCell ref="A1:H1"/>
    <mergeCell ref="I1:O1"/>
    <mergeCell ref="B3:B5"/>
    <mergeCell ref="C3:C5"/>
    <mergeCell ref="D3:D5"/>
    <mergeCell ref="E3:E5"/>
    <mergeCell ref="F3:F5"/>
    <mergeCell ref="G3:G5"/>
    <mergeCell ref="H3:H5"/>
    <mergeCell ref="I3:T3"/>
    <mergeCell ref="AJ4:AK4"/>
    <mergeCell ref="AL4:AM4"/>
    <mergeCell ref="A3:A5"/>
    <mergeCell ref="A6:A14"/>
    <mergeCell ref="U3:AF3"/>
    <mergeCell ref="AG3:AI3"/>
    <mergeCell ref="AH4:AH5"/>
    <mergeCell ref="AI4:AI5"/>
    <mergeCell ref="AG4:AG5"/>
    <mergeCell ref="AJ3:AM3"/>
  </mergeCells>
  <phoneticPr fontId="7" type="noConversion"/>
  <dataValidations count="3">
    <dataValidation type="list" allowBlank="1" showInputMessage="1" showErrorMessage="1" sqref="G6:G13">
      <formula1>"개_특,개_고,개_중,개_초,컨_특,컨_고,컨_중,컨_초"</formula1>
    </dataValidation>
    <dataValidation type="list" allowBlank="1" showInputMessage="1" showErrorMessage="1" sqref="E6:E13">
      <formula1>"위엠비_컨설팅,위엠비_개발,외주_컨설팅,외주_개발"</formula1>
    </dataValidation>
    <dataValidation type="list" allowBlank="1" showInputMessage="1" showErrorMessage="1" sqref="F6:F13">
      <formula1>"상무,이사,수석(L),수석(S),책임(M),책임(A),사원,부장,차장,과장,대리,X"</formula1>
    </dataValidation>
  </dataValidations>
  <printOptions horizontalCentered="1"/>
  <pageMargins left="0.39370078740157483" right="0.39370078740157483" top="0.39370078740157483" bottom="0.39370078740157483" header="0.39370078740157483" footer="0.39370078740157483"/>
  <pageSetup paperSize="9" scale="39" orientation="landscape" r:id="rId1"/>
  <ignoredErrors>
    <ignoredError sqref="AJ48" unlockedFormula="1"/>
    <ignoredError sqref="AJ25 AJ15 AJ33 AJ39 AJ44:AJ46 AL14:AL15" formula="1" unlockedFormula="1"/>
    <ignoredError sqref="AJ14 AG25:AI25 AL33 AK25:AM25 AG39:AI39 AK39 AK45:AM45 I39:T39 U39:AF39 AK44:AL44 AK46:AL46" formula="1"/>
    <ignoredError sqref="AH6:AI6 AI7 AH9:AI9" formulaRang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4" tint="-0.249977111117893"/>
    <pageSetUpPr fitToPage="1"/>
  </sheetPr>
  <dimension ref="A1:AO19"/>
  <sheetViews>
    <sheetView showGridLines="0" view="pageBreakPreview" zoomScaleNormal="100" zoomScaleSheetLayoutView="100" workbookViewId="0">
      <pane xSplit="5" ySplit="4" topLeftCell="F5" activePane="bottomRight" state="frozen"/>
      <selection activeCell="H34" sqref="H34:I34"/>
      <selection pane="topRight" activeCell="H34" sqref="H34:I34"/>
      <selection pane="bottomLeft" activeCell="H34" sqref="H34:I34"/>
      <selection pane="bottomRight" activeCell="B15" sqref="B15"/>
    </sheetView>
  </sheetViews>
  <sheetFormatPr defaultColWidth="9.33203125" defaultRowHeight="12.6" customHeight="1"/>
  <cols>
    <col min="1" max="1" width="10" style="224" bestFit="1" customWidth="1"/>
    <col min="2" max="2" width="23.33203125" style="225" bestFit="1" customWidth="1"/>
    <col min="3" max="3" width="9.33203125" style="226" bestFit="1" customWidth="1"/>
    <col min="4" max="4" width="9" style="226" bestFit="1" customWidth="1"/>
    <col min="5" max="5" width="8.1640625" style="226" customWidth="1"/>
    <col min="6" max="9" width="8.1640625" style="225" customWidth="1"/>
    <col min="10" max="11" width="9.1640625" style="225" bestFit="1" customWidth="1"/>
    <col min="12" max="17" width="8.1640625" style="225" customWidth="1"/>
    <col min="18" max="19" width="7.5" style="225" customWidth="1"/>
    <col min="20" max="20" width="8.6640625" style="225" bestFit="1" customWidth="1"/>
    <col min="21" max="29" width="7.5" style="225" customWidth="1"/>
    <col min="30" max="30" width="8" style="227" customWidth="1"/>
    <col min="31" max="32" width="9.33203125" style="225"/>
    <col min="33" max="33" width="14" style="225" bestFit="1" customWidth="1"/>
    <col min="34" max="34" width="10.1640625" style="225" bestFit="1" customWidth="1"/>
    <col min="35" max="35" width="14" style="225" bestFit="1" customWidth="1"/>
    <col min="36" max="16384" width="9.33203125" style="225"/>
  </cols>
  <sheetData>
    <row r="1" spans="1:41" s="173" customFormat="1" ht="18.75" thickBot="1">
      <c r="A1" s="713" t="s">
        <v>358</v>
      </c>
      <c r="B1" s="714"/>
      <c r="C1" s="714"/>
      <c r="D1" s="714"/>
      <c r="E1" s="714"/>
      <c r="F1" s="647" t="s">
        <v>309</v>
      </c>
      <c r="G1" s="648"/>
      <c r="H1" s="648"/>
      <c r="I1" s="648"/>
      <c r="J1" s="648"/>
      <c r="K1" s="690"/>
      <c r="L1" s="691"/>
      <c r="T1" s="214"/>
      <c r="U1" s="214"/>
      <c r="X1" s="214"/>
      <c r="Y1" s="214"/>
      <c r="AB1" s="214"/>
      <c r="AC1" s="214"/>
      <c r="AD1" s="175"/>
      <c r="AE1" s="175"/>
      <c r="AF1" s="175"/>
      <c r="AG1" s="175"/>
      <c r="AH1" s="175"/>
      <c r="AI1" s="175"/>
    </row>
    <row r="2" spans="1:41" s="180" customFormat="1" ht="13.5" thickBot="1">
      <c r="A2" s="177"/>
      <c r="B2" s="215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616" t="s">
        <v>310</v>
      </c>
      <c r="S2" s="616"/>
      <c r="T2" s="616"/>
      <c r="U2" s="616"/>
      <c r="V2" s="616"/>
      <c r="W2" s="616"/>
      <c r="X2" s="616"/>
      <c r="Y2" s="616"/>
      <c r="Z2" s="616"/>
      <c r="AA2" s="616"/>
      <c r="AB2" s="616"/>
      <c r="AC2" s="616"/>
      <c r="AD2" s="179"/>
      <c r="AE2" s="216"/>
      <c r="AO2" s="181"/>
    </row>
    <row r="3" spans="1:41" s="218" customFormat="1" ht="18" customHeight="1">
      <c r="A3" s="715" t="s">
        <v>0</v>
      </c>
      <c r="B3" s="716"/>
      <c r="C3" s="683" t="s">
        <v>318</v>
      </c>
      <c r="D3" s="684"/>
      <c r="E3" s="684"/>
      <c r="F3" s="681" t="s">
        <v>324</v>
      </c>
      <c r="G3" s="681"/>
      <c r="H3" s="681"/>
      <c r="I3" s="681"/>
      <c r="J3" s="681"/>
      <c r="K3" s="681"/>
      <c r="L3" s="681"/>
      <c r="M3" s="681"/>
      <c r="N3" s="681"/>
      <c r="O3" s="681"/>
      <c r="P3" s="681"/>
      <c r="Q3" s="719"/>
      <c r="R3" s="726" t="s">
        <v>47</v>
      </c>
      <c r="S3" s="681"/>
      <c r="T3" s="681"/>
      <c r="U3" s="681"/>
      <c r="V3" s="681"/>
      <c r="W3" s="681"/>
      <c r="X3" s="681"/>
      <c r="Y3" s="681"/>
      <c r="Z3" s="681"/>
      <c r="AA3" s="681"/>
      <c r="AB3" s="681"/>
      <c r="AC3" s="727"/>
      <c r="AD3" s="217"/>
    </row>
    <row r="4" spans="1:41" s="218" customFormat="1" ht="12.75" customHeight="1">
      <c r="A4" s="717"/>
      <c r="B4" s="718"/>
      <c r="C4" s="416" t="s">
        <v>323</v>
      </c>
      <c r="D4" s="417" t="s">
        <v>324</v>
      </c>
      <c r="E4" s="417" t="s">
        <v>47</v>
      </c>
      <c r="F4" s="402" t="s">
        <v>320</v>
      </c>
      <c r="G4" s="402" t="s">
        <v>13</v>
      </c>
      <c r="H4" s="402" t="s">
        <v>14</v>
      </c>
      <c r="I4" s="402" t="s">
        <v>15</v>
      </c>
      <c r="J4" s="402" t="s">
        <v>16</v>
      </c>
      <c r="K4" s="402" t="s">
        <v>17</v>
      </c>
      <c r="L4" s="402" t="s">
        <v>18</v>
      </c>
      <c r="M4" s="402" t="s">
        <v>19</v>
      </c>
      <c r="N4" s="402" t="s">
        <v>20</v>
      </c>
      <c r="O4" s="402" t="s">
        <v>21</v>
      </c>
      <c r="P4" s="402" t="s">
        <v>22</v>
      </c>
      <c r="Q4" s="474" t="s">
        <v>23</v>
      </c>
      <c r="R4" s="465" t="s">
        <v>322</v>
      </c>
      <c r="S4" s="402" t="s">
        <v>13</v>
      </c>
      <c r="T4" s="402" t="s">
        <v>14</v>
      </c>
      <c r="U4" s="402" t="s">
        <v>15</v>
      </c>
      <c r="V4" s="402" t="s">
        <v>16</v>
      </c>
      <c r="W4" s="402" t="s">
        <v>17</v>
      </c>
      <c r="X4" s="402" t="s">
        <v>18</v>
      </c>
      <c r="Y4" s="402" t="s">
        <v>19</v>
      </c>
      <c r="Z4" s="402" t="s">
        <v>20</v>
      </c>
      <c r="AA4" s="402" t="s">
        <v>21</v>
      </c>
      <c r="AB4" s="402" t="s">
        <v>22</v>
      </c>
      <c r="AC4" s="403" t="s">
        <v>23</v>
      </c>
      <c r="AD4" s="217"/>
    </row>
    <row r="5" spans="1:41" s="218" customFormat="1" ht="22.15" customHeight="1">
      <c r="A5" s="724" t="s">
        <v>359</v>
      </c>
      <c r="B5" s="441" t="s">
        <v>481</v>
      </c>
      <c r="C5" s="404">
        <f>SUM(D5:E5)</f>
        <v>32.25</v>
      </c>
      <c r="D5" s="405">
        <f t="shared" ref="D5:D9" si="0">SUM(F5:Q5)</f>
        <v>4.75</v>
      </c>
      <c r="E5" s="405">
        <f>SUM(R5:AC5)</f>
        <v>27.5</v>
      </c>
      <c r="F5" s="406">
        <f>인력계획!I34</f>
        <v>0</v>
      </c>
      <c r="G5" s="406">
        <f>인력계획!J34</f>
        <v>0</v>
      </c>
      <c r="H5" s="406">
        <f>인력계획!K34</f>
        <v>0</v>
      </c>
      <c r="I5" s="406">
        <f>인력계획!L34</f>
        <v>0</v>
      </c>
      <c r="J5" s="406">
        <f>인력계획!M34</f>
        <v>0</v>
      </c>
      <c r="K5" s="406">
        <f>인력계획!N34</f>
        <v>0</v>
      </c>
      <c r="L5" s="406">
        <f>인력계획!O34</f>
        <v>0</v>
      </c>
      <c r="M5" s="406">
        <f>인력계획!P34</f>
        <v>0</v>
      </c>
      <c r="N5" s="406">
        <f>인력계획!Q34</f>
        <v>0</v>
      </c>
      <c r="O5" s="406">
        <f>인력계획!R34</f>
        <v>0</v>
      </c>
      <c r="P5" s="406">
        <f>인력계획!S34</f>
        <v>0.25</v>
      </c>
      <c r="Q5" s="475">
        <f>인력계획!T34</f>
        <v>4.5</v>
      </c>
      <c r="R5" s="466">
        <f>인력계획!U34</f>
        <v>4</v>
      </c>
      <c r="S5" s="406">
        <f>인력계획!V34</f>
        <v>4</v>
      </c>
      <c r="T5" s="406">
        <f>인력계획!W34</f>
        <v>3</v>
      </c>
      <c r="U5" s="406">
        <f>인력계획!X34</f>
        <v>3</v>
      </c>
      <c r="V5" s="406">
        <f>인력계획!Y34</f>
        <v>3</v>
      </c>
      <c r="W5" s="406">
        <f>인력계획!Z34</f>
        <v>3</v>
      </c>
      <c r="X5" s="406">
        <f>인력계획!AA34</f>
        <v>3</v>
      </c>
      <c r="Y5" s="406">
        <f>인력계획!AB34</f>
        <v>3</v>
      </c>
      <c r="Z5" s="406">
        <f>인력계획!AC34</f>
        <v>1.5</v>
      </c>
      <c r="AA5" s="406">
        <f>인력계획!AD34</f>
        <v>0</v>
      </c>
      <c r="AB5" s="406">
        <f>인력계획!AE34</f>
        <v>0</v>
      </c>
      <c r="AC5" s="348">
        <f>인력계획!AF34</f>
        <v>0</v>
      </c>
      <c r="AD5" s="217"/>
    </row>
    <row r="6" spans="1:41" s="218" customFormat="1" ht="22.15" customHeight="1" thickBot="1">
      <c r="A6" s="725"/>
      <c r="B6" s="349" t="s">
        <v>360</v>
      </c>
      <c r="C6" s="350">
        <f t="shared" ref="C6:C18" si="1">SUM(D6:E6)</f>
        <v>23</v>
      </c>
      <c r="D6" s="351">
        <f t="shared" si="0"/>
        <v>0</v>
      </c>
      <c r="E6" s="351">
        <f>SUM(R6:AC6)</f>
        <v>23</v>
      </c>
      <c r="F6" s="352">
        <f>인력계획!I45</f>
        <v>0</v>
      </c>
      <c r="G6" s="352">
        <f>인력계획!J45</f>
        <v>0</v>
      </c>
      <c r="H6" s="352">
        <f>인력계획!K45</f>
        <v>0</v>
      </c>
      <c r="I6" s="352">
        <f>인력계획!L45</f>
        <v>0</v>
      </c>
      <c r="J6" s="352">
        <f>인력계획!M45</f>
        <v>0</v>
      </c>
      <c r="K6" s="352">
        <f>인력계획!N45</f>
        <v>0</v>
      </c>
      <c r="L6" s="352">
        <f>인력계획!O45</f>
        <v>0</v>
      </c>
      <c r="M6" s="352">
        <f>인력계획!P45</f>
        <v>0</v>
      </c>
      <c r="N6" s="352">
        <f>인력계획!Q45</f>
        <v>0</v>
      </c>
      <c r="O6" s="352">
        <f>인력계획!R45</f>
        <v>0</v>
      </c>
      <c r="P6" s="352">
        <f>인력계획!S45</f>
        <v>0</v>
      </c>
      <c r="Q6" s="476">
        <f>인력계획!T45</f>
        <v>0</v>
      </c>
      <c r="R6" s="467">
        <f>인력계획!U45</f>
        <v>2</v>
      </c>
      <c r="S6" s="352">
        <f>인력계획!V45</f>
        <v>2</v>
      </c>
      <c r="T6" s="352">
        <f>인력계획!W45</f>
        <v>2</v>
      </c>
      <c r="U6" s="352">
        <f>인력계획!X45</f>
        <v>2</v>
      </c>
      <c r="V6" s="352">
        <f>인력계획!Y45</f>
        <v>3</v>
      </c>
      <c r="W6" s="352">
        <f>인력계획!Z45</f>
        <v>3</v>
      </c>
      <c r="X6" s="352">
        <f>인력계획!AA45</f>
        <v>3</v>
      </c>
      <c r="Y6" s="352">
        <f>인력계획!AB45</f>
        <v>3</v>
      </c>
      <c r="Z6" s="352">
        <f>인력계획!AC45</f>
        <v>3</v>
      </c>
      <c r="AA6" s="352">
        <f>인력계획!AD45</f>
        <v>0</v>
      </c>
      <c r="AB6" s="352">
        <f>인력계획!AE45</f>
        <v>0</v>
      </c>
      <c r="AC6" s="353">
        <f>인력계획!AF45</f>
        <v>0</v>
      </c>
      <c r="AD6" s="217"/>
    </row>
    <row r="7" spans="1:41" s="218" customFormat="1" ht="22.15" customHeight="1" thickTop="1">
      <c r="A7" s="722" t="s">
        <v>361</v>
      </c>
      <c r="B7" s="383" t="s">
        <v>362</v>
      </c>
      <c r="C7" s="346">
        <f t="shared" si="1"/>
        <v>0</v>
      </c>
      <c r="D7" s="346">
        <f>SUM(F7:Q7)</f>
        <v>0</v>
      </c>
      <c r="E7" s="346">
        <f>SUM(R7:AC7)</f>
        <v>0</v>
      </c>
      <c r="F7" s="346">
        <f>'기준-경비'!$G$4*F5</f>
        <v>0</v>
      </c>
      <c r="G7" s="346">
        <f>'기준-경비'!$G$4*G5</f>
        <v>0</v>
      </c>
      <c r="H7" s="346">
        <f>'기준-경비'!$G$4*H5</f>
        <v>0</v>
      </c>
      <c r="I7" s="346">
        <f>'기준-경비'!$G$4*I5</f>
        <v>0</v>
      </c>
      <c r="J7" s="346">
        <f>'기준-경비'!$G$4*J5</f>
        <v>0</v>
      </c>
      <c r="K7" s="346">
        <f>'기준-경비'!$G$4*K5</f>
        <v>0</v>
      </c>
      <c r="L7" s="346">
        <f>'기준-경비'!$G$4*L5</f>
        <v>0</v>
      </c>
      <c r="M7" s="346">
        <f>'기준-경비'!$G$4*M5</f>
        <v>0</v>
      </c>
      <c r="N7" s="346">
        <f>'기준-경비'!$G$4*N5</f>
        <v>0</v>
      </c>
      <c r="O7" s="346">
        <f>'기준-경비'!$G$4*O5</f>
        <v>0</v>
      </c>
      <c r="P7" s="346">
        <f>'기준-경비'!$G$4*P5</f>
        <v>0</v>
      </c>
      <c r="Q7" s="477">
        <f>'기준-경비'!$G$4*Q5</f>
        <v>0</v>
      </c>
      <c r="R7" s="468">
        <f>'기준-경비'!$G$4*R5</f>
        <v>0</v>
      </c>
      <c r="S7" s="346">
        <f>'기준-경비'!$G$4*S5</f>
        <v>0</v>
      </c>
      <c r="T7" s="346">
        <f>'기준-경비'!$G$4*T5</f>
        <v>0</v>
      </c>
      <c r="U7" s="346">
        <f>'기준-경비'!$G$4*U5</f>
        <v>0</v>
      </c>
      <c r="V7" s="346">
        <f>'기준-경비'!$G$4*V5</f>
        <v>0</v>
      </c>
      <c r="W7" s="346">
        <f>'기준-경비'!$G$4*W5</f>
        <v>0</v>
      </c>
      <c r="X7" s="346">
        <f>'기준-경비'!$G$4*X5</f>
        <v>0</v>
      </c>
      <c r="Y7" s="346">
        <f>'기준-경비'!$G$4*Y5</f>
        <v>0</v>
      </c>
      <c r="Z7" s="346">
        <f>'기준-경비'!$G$4*Z5</f>
        <v>0</v>
      </c>
      <c r="AA7" s="346">
        <f>'기준-경비'!$G$4*AA5</f>
        <v>0</v>
      </c>
      <c r="AB7" s="346">
        <f>'기준-경비'!$G$4*AB5</f>
        <v>0</v>
      </c>
      <c r="AC7" s="347">
        <f>'기준-경비'!$G$4*AC5</f>
        <v>0</v>
      </c>
      <c r="AD7" s="217"/>
    </row>
    <row r="8" spans="1:41" s="218" customFormat="1" ht="22.15" customHeight="1">
      <c r="A8" s="722"/>
      <c r="B8" s="441" t="s">
        <v>479</v>
      </c>
      <c r="C8" s="404">
        <f>SUM(D8:E8)</f>
        <v>806.25</v>
      </c>
      <c r="D8" s="404">
        <f>SUM(F8:Q8)</f>
        <v>118.75</v>
      </c>
      <c r="E8" s="405">
        <f>SUM(R8:AC8)</f>
        <v>687.5</v>
      </c>
      <c r="F8" s="404">
        <f>'기준-경비'!$G$5*F5</f>
        <v>0</v>
      </c>
      <c r="G8" s="404">
        <f>'기준-경비'!$G$5*G5</f>
        <v>0</v>
      </c>
      <c r="H8" s="404">
        <f>'기준-경비'!$G$5*H5</f>
        <v>0</v>
      </c>
      <c r="I8" s="404">
        <f>'기준-경비'!$G$5*I5</f>
        <v>0</v>
      </c>
      <c r="J8" s="404">
        <f>'기준-경비'!$G$5*J5</f>
        <v>0</v>
      </c>
      <c r="K8" s="404">
        <f>'기준-경비'!$G$5*K5</f>
        <v>0</v>
      </c>
      <c r="L8" s="404">
        <f>'기준-경비'!$G$5*L5</f>
        <v>0</v>
      </c>
      <c r="M8" s="404">
        <f>'기준-경비'!$G$5*M5</f>
        <v>0</v>
      </c>
      <c r="N8" s="404">
        <f>'기준-경비'!$G$5*N5</f>
        <v>0</v>
      </c>
      <c r="O8" s="404">
        <f>'기준-경비'!$G$5*O5</f>
        <v>0</v>
      </c>
      <c r="P8" s="404">
        <f>'기준-경비'!$G$5*P5</f>
        <v>6.25</v>
      </c>
      <c r="Q8" s="478">
        <f>'기준-경비'!$G$5*Q5</f>
        <v>112.5</v>
      </c>
      <c r="R8" s="469">
        <f>'기준-경비'!$G$5*R5</f>
        <v>100</v>
      </c>
      <c r="S8" s="404">
        <f>'기준-경비'!$G$5*S5</f>
        <v>100</v>
      </c>
      <c r="T8" s="404">
        <f>'기준-경비'!$G$5*T5</f>
        <v>75</v>
      </c>
      <c r="U8" s="404">
        <f>'기준-경비'!$G$5*U5</f>
        <v>75</v>
      </c>
      <c r="V8" s="404">
        <f>'기준-경비'!$G$5*V5</f>
        <v>75</v>
      </c>
      <c r="W8" s="404">
        <f>'기준-경비'!$G$5*W5</f>
        <v>75</v>
      </c>
      <c r="X8" s="404">
        <f>'기준-경비'!$G$5*X5</f>
        <v>75</v>
      </c>
      <c r="Y8" s="404">
        <f>'기준-경비'!$G$5*Y5</f>
        <v>75</v>
      </c>
      <c r="Z8" s="404">
        <f>'기준-경비'!$G$5*Z5</f>
        <v>37.5</v>
      </c>
      <c r="AA8" s="404">
        <f>'기준-경비'!$G$5*AA5</f>
        <v>0</v>
      </c>
      <c r="AB8" s="404">
        <f>'기준-경비'!$G$5*AB5</f>
        <v>0</v>
      </c>
      <c r="AC8" s="407">
        <f>'기준-경비'!$G$5*AC5</f>
        <v>0</v>
      </c>
      <c r="AD8" s="217"/>
    </row>
    <row r="9" spans="1:41" s="218" customFormat="1" ht="22.15" customHeight="1">
      <c r="A9" s="722"/>
      <c r="B9" s="440" t="s">
        <v>478</v>
      </c>
      <c r="C9" s="405">
        <f t="shared" si="1"/>
        <v>575</v>
      </c>
      <c r="D9" s="405">
        <f t="shared" si="0"/>
        <v>0</v>
      </c>
      <c r="E9" s="405">
        <f t="shared" ref="E9" si="2">SUM(R9:AC9)</f>
        <v>575</v>
      </c>
      <c r="F9" s="405">
        <f>F6*'기준-경비'!$G$6</f>
        <v>0</v>
      </c>
      <c r="G9" s="405">
        <f>G6*'기준-경비'!$G$6</f>
        <v>0</v>
      </c>
      <c r="H9" s="405">
        <f>H6*'기준-경비'!$G$6</f>
        <v>0</v>
      </c>
      <c r="I9" s="405">
        <f>I6*'기준-경비'!$G$6</f>
        <v>0</v>
      </c>
      <c r="J9" s="405">
        <f>J6*'기준-경비'!$G$6</f>
        <v>0</v>
      </c>
      <c r="K9" s="405">
        <f>K6*'기준-경비'!$G$6</f>
        <v>0</v>
      </c>
      <c r="L9" s="405">
        <f>L6*'기준-경비'!$G$6</f>
        <v>0</v>
      </c>
      <c r="M9" s="405">
        <f>M6*'기준-경비'!$G$6</f>
        <v>0</v>
      </c>
      <c r="N9" s="405">
        <f>N6*'기준-경비'!$G$6</f>
        <v>0</v>
      </c>
      <c r="O9" s="405">
        <f>O6*'기준-경비'!$G$6</f>
        <v>0</v>
      </c>
      <c r="P9" s="405">
        <f>P6*'기준-경비'!$G$6</f>
        <v>0</v>
      </c>
      <c r="Q9" s="479">
        <f>Q6*'기준-경비'!$G$6</f>
        <v>0</v>
      </c>
      <c r="R9" s="470">
        <f>R6*'기준-경비'!$G$6</f>
        <v>50</v>
      </c>
      <c r="S9" s="405">
        <f>S6*'기준-경비'!$G$6</f>
        <v>50</v>
      </c>
      <c r="T9" s="405">
        <f>T6*'기준-경비'!$G$6</f>
        <v>50</v>
      </c>
      <c r="U9" s="405">
        <f>U6*'기준-경비'!$G$6</f>
        <v>50</v>
      </c>
      <c r="V9" s="405">
        <f>V6*'기준-경비'!$G$6</f>
        <v>75</v>
      </c>
      <c r="W9" s="405">
        <f>W6*'기준-경비'!$G$6</f>
        <v>75</v>
      </c>
      <c r="X9" s="405">
        <f>X6*'기준-경비'!$G$6</f>
        <v>75</v>
      </c>
      <c r="Y9" s="405">
        <f>Y6*'기준-경비'!$G$6</f>
        <v>75</v>
      </c>
      <c r="Z9" s="405">
        <f>Z6*'기준-경비'!$G$6</f>
        <v>75</v>
      </c>
      <c r="AA9" s="405">
        <f>AA6*'기준-경비'!$G$6</f>
        <v>0</v>
      </c>
      <c r="AB9" s="405">
        <f>AB6*'기준-경비'!$G$6</f>
        <v>0</v>
      </c>
      <c r="AC9" s="408">
        <f>AC6*'기준-경비'!$G$6</f>
        <v>0</v>
      </c>
      <c r="AD9" s="217"/>
      <c r="AE9" s="219"/>
    </row>
    <row r="10" spans="1:41" s="218" customFormat="1" ht="22.15" customHeight="1">
      <c r="A10" s="723"/>
      <c r="B10" s="409" t="s">
        <v>342</v>
      </c>
      <c r="C10" s="410">
        <f t="shared" si="1"/>
        <v>1381.25</v>
      </c>
      <c r="D10" s="410">
        <f t="shared" ref="D10:AC10" si="3">SUM(D7:D9)</f>
        <v>118.75</v>
      </c>
      <c r="E10" s="410">
        <f t="shared" si="3"/>
        <v>1262.5</v>
      </c>
      <c r="F10" s="410">
        <f t="shared" si="3"/>
        <v>0</v>
      </c>
      <c r="G10" s="410">
        <f t="shared" si="3"/>
        <v>0</v>
      </c>
      <c r="H10" s="410">
        <f t="shared" si="3"/>
        <v>0</v>
      </c>
      <c r="I10" s="410">
        <f t="shared" si="3"/>
        <v>0</v>
      </c>
      <c r="J10" s="410">
        <f t="shared" si="3"/>
        <v>0</v>
      </c>
      <c r="K10" s="410">
        <f t="shared" si="3"/>
        <v>0</v>
      </c>
      <c r="L10" s="410">
        <f t="shared" si="3"/>
        <v>0</v>
      </c>
      <c r="M10" s="410">
        <f t="shared" si="3"/>
        <v>0</v>
      </c>
      <c r="N10" s="410">
        <f t="shared" si="3"/>
        <v>0</v>
      </c>
      <c r="O10" s="410">
        <f t="shared" si="3"/>
        <v>0</v>
      </c>
      <c r="P10" s="410">
        <f t="shared" si="3"/>
        <v>6.25</v>
      </c>
      <c r="Q10" s="480">
        <f t="shared" si="3"/>
        <v>112.5</v>
      </c>
      <c r="R10" s="471">
        <f t="shared" si="3"/>
        <v>150</v>
      </c>
      <c r="S10" s="410">
        <f t="shared" si="3"/>
        <v>150</v>
      </c>
      <c r="T10" s="410">
        <f t="shared" si="3"/>
        <v>125</v>
      </c>
      <c r="U10" s="410">
        <f t="shared" si="3"/>
        <v>125</v>
      </c>
      <c r="V10" s="410">
        <f t="shared" si="3"/>
        <v>150</v>
      </c>
      <c r="W10" s="410">
        <f t="shared" si="3"/>
        <v>150</v>
      </c>
      <c r="X10" s="410">
        <f t="shared" si="3"/>
        <v>150</v>
      </c>
      <c r="Y10" s="410">
        <f t="shared" si="3"/>
        <v>150</v>
      </c>
      <c r="Z10" s="410">
        <f t="shared" si="3"/>
        <v>112.5</v>
      </c>
      <c r="AA10" s="410">
        <f t="shared" si="3"/>
        <v>0</v>
      </c>
      <c r="AB10" s="410">
        <f t="shared" si="3"/>
        <v>0</v>
      </c>
      <c r="AC10" s="411">
        <f t="shared" si="3"/>
        <v>0</v>
      </c>
      <c r="AD10" s="217"/>
    </row>
    <row r="11" spans="1:41" s="218" customFormat="1" ht="22.15" customHeight="1">
      <c r="A11" s="728" t="s">
        <v>363</v>
      </c>
      <c r="B11" s="437" t="s">
        <v>364</v>
      </c>
      <c r="C11" s="405">
        <f>SUM(D11:E11)</f>
        <v>0</v>
      </c>
      <c r="D11" s="405">
        <f>SUM(F11:Q11)</f>
        <v>0</v>
      </c>
      <c r="E11" s="405">
        <f t="shared" ref="E11:E16" si="4">SUM(R11:AC11)</f>
        <v>0</v>
      </c>
      <c r="F11" s="412"/>
      <c r="G11" s="412"/>
      <c r="H11" s="412"/>
      <c r="I11" s="412"/>
      <c r="J11" s="412"/>
      <c r="K11" s="412"/>
      <c r="L11" s="412"/>
      <c r="M11" s="412"/>
      <c r="N11" s="412"/>
      <c r="O11" s="412"/>
      <c r="P11" s="412"/>
      <c r="Q11" s="481"/>
      <c r="R11" s="472"/>
      <c r="S11" s="412"/>
      <c r="T11" s="412"/>
      <c r="U11" s="412"/>
      <c r="V11" s="412"/>
      <c r="W11" s="412"/>
      <c r="X11" s="412"/>
      <c r="Y11" s="412"/>
      <c r="Z11" s="412"/>
      <c r="AA11" s="412"/>
      <c r="AB11" s="412"/>
      <c r="AC11" s="413"/>
      <c r="AD11" s="217"/>
    </row>
    <row r="12" spans="1:41" s="218" customFormat="1" ht="22.15" customHeight="1">
      <c r="A12" s="729"/>
      <c r="B12" s="437" t="s">
        <v>367</v>
      </c>
      <c r="C12" s="405">
        <f>SUM(D12:E12)</f>
        <v>4000</v>
      </c>
      <c r="D12" s="405">
        <f>SUM(F12:Q12)</f>
        <v>0</v>
      </c>
      <c r="E12" s="405">
        <f t="shared" si="4"/>
        <v>4000</v>
      </c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412"/>
      <c r="R12" s="412">
        <v>2000</v>
      </c>
      <c r="S12" s="412"/>
      <c r="T12" s="412"/>
      <c r="U12" s="412"/>
      <c r="V12" s="412"/>
      <c r="W12" s="412"/>
      <c r="X12" s="412"/>
      <c r="Y12" s="412"/>
      <c r="Z12" s="412">
        <v>2000</v>
      </c>
      <c r="AA12" s="412"/>
      <c r="AB12" s="412"/>
      <c r="AC12" s="413"/>
      <c r="AD12" s="217"/>
    </row>
    <row r="13" spans="1:41" s="218" customFormat="1" ht="22.15" customHeight="1">
      <c r="A13" s="729"/>
      <c r="B13" s="437" t="s">
        <v>365</v>
      </c>
      <c r="C13" s="405">
        <f>SUM(D13:E13)</f>
        <v>3000</v>
      </c>
      <c r="D13" s="405">
        <f>SUM(F13:Q13)</f>
        <v>300</v>
      </c>
      <c r="E13" s="405">
        <f t="shared" si="4"/>
        <v>2700</v>
      </c>
      <c r="F13" s="405">
        <f>SUM(F5:F6)*'기준-경비'!$G$9</f>
        <v>0</v>
      </c>
      <c r="G13" s="405">
        <f>SUM(G5:G6)*'기준-경비'!$G$9</f>
        <v>0</v>
      </c>
      <c r="H13" s="405">
        <f>SUM(H5:H6)*'기준-경비'!$G$9</f>
        <v>0</v>
      </c>
      <c r="I13" s="405">
        <f>SUM(I5:I6)*'기준-경비'!$G$9</f>
        <v>0</v>
      </c>
      <c r="J13" s="405">
        <f>SUM(J5:J6)*'기준-경비'!$G$9</f>
        <v>0</v>
      </c>
      <c r="K13" s="405">
        <f>SUM(K5:K6)*'기준-경비'!$G$9</f>
        <v>0</v>
      </c>
      <c r="L13" s="405">
        <f>SUM(L5:L6)*'기준-경비'!$G$9</f>
        <v>0</v>
      </c>
      <c r="M13" s="405">
        <f>SUM(M5:M6)*'기준-경비'!$G$9</f>
        <v>0</v>
      </c>
      <c r="N13" s="405">
        <f>SUM(N5:N6)*'기준-경비'!$G$9</f>
        <v>0</v>
      </c>
      <c r="O13" s="405">
        <f>SUM(O5:O6)*'기준-경비'!$G$9</f>
        <v>0</v>
      </c>
      <c r="P13" s="405">
        <v>0</v>
      </c>
      <c r="Q13" s="405">
        <v>300</v>
      </c>
      <c r="R13" s="405">
        <v>300</v>
      </c>
      <c r="S13" s="405">
        <v>300</v>
      </c>
      <c r="T13" s="405">
        <v>300</v>
      </c>
      <c r="U13" s="405">
        <v>300</v>
      </c>
      <c r="V13" s="405">
        <v>300</v>
      </c>
      <c r="W13" s="405">
        <v>300</v>
      </c>
      <c r="X13" s="405">
        <v>300</v>
      </c>
      <c r="Y13" s="405">
        <v>300</v>
      </c>
      <c r="Z13" s="405">
        <v>300</v>
      </c>
      <c r="AA13" s="405">
        <f>SUM(AA5:AA6)*'기준-경비'!$G$9</f>
        <v>0</v>
      </c>
      <c r="AB13" s="405">
        <f>SUM(AB5:AB6)*'기준-경비'!$G$9</f>
        <v>0</v>
      </c>
      <c r="AC13" s="408">
        <f>SUM(AC5:AC6)*'기준-경비'!$G$9</f>
        <v>0</v>
      </c>
      <c r="AD13" s="217"/>
    </row>
    <row r="14" spans="1:41" s="218" customFormat="1" ht="22.15" customHeight="1">
      <c r="A14" s="729"/>
      <c r="B14" s="437" t="s">
        <v>399</v>
      </c>
      <c r="C14" s="405">
        <f t="shared" si="1"/>
        <v>6000</v>
      </c>
      <c r="D14" s="405">
        <f t="shared" ref="D14" si="5">SUM(F14:Q14)</f>
        <v>600</v>
      </c>
      <c r="E14" s="405">
        <f t="shared" si="4"/>
        <v>5400</v>
      </c>
      <c r="F14" s="405">
        <f>F5*'기준-경비'!$G$10</f>
        <v>0</v>
      </c>
      <c r="G14" s="405">
        <f>G5*'기준-경비'!$G$10</f>
        <v>0</v>
      </c>
      <c r="H14" s="405">
        <f>H5*'기준-경비'!$G$10</f>
        <v>0</v>
      </c>
      <c r="I14" s="405">
        <f>I5*'기준-경비'!$G$10</f>
        <v>0</v>
      </c>
      <c r="J14" s="405">
        <f>J5*'기준-경비'!$G$10</f>
        <v>0</v>
      </c>
      <c r="K14" s="405">
        <f>K5*'기준-경비'!$G$10</f>
        <v>0</v>
      </c>
      <c r="L14" s="405">
        <f>L5*'기준-경비'!$G$10</f>
        <v>0</v>
      </c>
      <c r="M14" s="405">
        <f>M5*'기준-경비'!$G$10</f>
        <v>0</v>
      </c>
      <c r="N14" s="405"/>
      <c r="O14" s="405">
        <v>0</v>
      </c>
      <c r="P14" s="405">
        <v>0</v>
      </c>
      <c r="Q14" s="405">
        <v>600</v>
      </c>
      <c r="R14" s="405">
        <v>600</v>
      </c>
      <c r="S14" s="405">
        <v>600</v>
      </c>
      <c r="T14" s="405">
        <v>600</v>
      </c>
      <c r="U14" s="405">
        <v>600</v>
      </c>
      <c r="V14" s="405">
        <v>600</v>
      </c>
      <c r="W14" s="405">
        <v>600</v>
      </c>
      <c r="X14" s="405">
        <v>600</v>
      </c>
      <c r="Y14" s="405">
        <v>600</v>
      </c>
      <c r="Z14" s="405">
        <v>600</v>
      </c>
      <c r="AA14" s="405">
        <f>AA5*'기준-경비'!$G$10</f>
        <v>0</v>
      </c>
      <c r="AB14" s="405">
        <f>AB5*'기준-경비'!$G$10</f>
        <v>0</v>
      </c>
      <c r="AC14" s="408">
        <f>AC5*'기준-경비'!$G$10</f>
        <v>0</v>
      </c>
      <c r="AD14" s="217"/>
    </row>
    <row r="15" spans="1:41" s="218" customFormat="1" ht="22.15" customHeight="1">
      <c r="A15" s="729"/>
      <c r="B15" s="437" t="s">
        <v>366</v>
      </c>
      <c r="C15" s="405">
        <f>SUM(D15:E15)</f>
        <v>14000</v>
      </c>
      <c r="D15" s="405">
        <f>SUM(F15:Q15)</f>
        <v>1000</v>
      </c>
      <c r="E15" s="405">
        <f t="shared" si="4"/>
        <v>13000</v>
      </c>
      <c r="F15" s="405">
        <f>F5*'기준-경비'!$G$11</f>
        <v>0</v>
      </c>
      <c r="G15" s="405">
        <f>G5*'기준-경비'!$G$11</f>
        <v>0</v>
      </c>
      <c r="H15" s="405">
        <f>H5*'기준-경비'!$G$11</f>
        <v>0</v>
      </c>
      <c r="I15" s="405">
        <f>I5*'기준-경비'!$G$11</f>
        <v>0</v>
      </c>
      <c r="J15" s="405">
        <f>J5*'기준-경비'!$G$11</f>
        <v>0</v>
      </c>
      <c r="K15" s="405">
        <f>K5*'기준-경비'!$G$11</f>
        <v>0</v>
      </c>
      <c r="L15" s="405">
        <f>L5*'기준-경비'!$G$11</f>
        <v>0</v>
      </c>
      <c r="M15" s="405">
        <v>0</v>
      </c>
      <c r="N15" s="405"/>
      <c r="O15" s="405"/>
      <c r="P15" s="405">
        <v>0</v>
      </c>
      <c r="Q15" s="405">
        <v>1000</v>
      </c>
      <c r="R15" s="405">
        <v>1500</v>
      </c>
      <c r="S15" s="405">
        <v>1500</v>
      </c>
      <c r="T15" s="405">
        <v>1500</v>
      </c>
      <c r="U15" s="405">
        <v>1500</v>
      </c>
      <c r="V15" s="405">
        <v>1500</v>
      </c>
      <c r="W15" s="405">
        <v>1500</v>
      </c>
      <c r="X15" s="405">
        <v>1500</v>
      </c>
      <c r="Y15" s="405">
        <v>1500</v>
      </c>
      <c r="Z15" s="405">
        <v>1000</v>
      </c>
      <c r="AA15" s="405">
        <f>SUM(AA5:AA6)*'기준-경비'!$G$11</f>
        <v>0</v>
      </c>
      <c r="AB15" s="405">
        <f>SUM(AB5:AB6)*'기준-경비'!$G$11</f>
        <v>0</v>
      </c>
      <c r="AC15" s="408">
        <f>SUM(AC5:AC6)*'기준-경비'!$G$11</f>
        <v>0</v>
      </c>
      <c r="AD15" s="217"/>
    </row>
    <row r="16" spans="1:41" s="218" customFormat="1" ht="22.15" customHeight="1">
      <c r="A16" s="729"/>
      <c r="B16" s="414" t="s">
        <v>529</v>
      </c>
      <c r="C16" s="405">
        <f t="shared" si="1"/>
        <v>13000</v>
      </c>
      <c r="D16" s="405">
        <f>SUM(F16:Q16)</f>
        <v>6000</v>
      </c>
      <c r="E16" s="405">
        <f t="shared" si="4"/>
        <v>7000</v>
      </c>
      <c r="F16" s="412"/>
      <c r="G16" s="412"/>
      <c r="H16" s="412"/>
      <c r="I16" s="412"/>
      <c r="J16" s="412"/>
      <c r="K16" s="412"/>
      <c r="L16" s="412"/>
      <c r="M16" s="412"/>
      <c r="N16" s="412"/>
      <c r="O16" s="412">
        <v>5000</v>
      </c>
      <c r="P16" s="412"/>
      <c r="Q16" s="412">
        <v>1000</v>
      </c>
      <c r="R16" s="472"/>
      <c r="S16" s="412"/>
      <c r="T16" s="412">
        <v>7000</v>
      </c>
      <c r="U16" s="412"/>
      <c r="V16" s="412"/>
      <c r="W16" s="412"/>
      <c r="X16" s="412"/>
      <c r="Y16" s="412"/>
      <c r="Z16" s="412"/>
      <c r="AA16" s="412"/>
      <c r="AB16" s="412"/>
      <c r="AC16" s="413"/>
      <c r="AD16" s="217"/>
    </row>
    <row r="17" spans="1:30" s="218" customFormat="1" ht="22.15" customHeight="1">
      <c r="A17" s="730"/>
      <c r="B17" s="409" t="s">
        <v>342</v>
      </c>
      <c r="C17" s="410">
        <f t="shared" si="1"/>
        <v>40000</v>
      </c>
      <c r="D17" s="410">
        <f>SUM(D11:D16)</f>
        <v>7900</v>
      </c>
      <c r="E17" s="410">
        <f>SUM(E11:E16)</f>
        <v>32100</v>
      </c>
      <c r="F17" s="410">
        <f>SUM(F11:F16)</f>
        <v>0</v>
      </c>
      <c r="G17" s="410">
        <f t="shared" ref="G17:AC17" si="6">SUM(G11:G16)</f>
        <v>0</v>
      </c>
      <c r="H17" s="410">
        <f t="shared" si="6"/>
        <v>0</v>
      </c>
      <c r="I17" s="410">
        <f t="shared" si="6"/>
        <v>0</v>
      </c>
      <c r="J17" s="410">
        <f t="shared" si="6"/>
        <v>0</v>
      </c>
      <c r="K17" s="410">
        <f t="shared" si="6"/>
        <v>0</v>
      </c>
      <c r="L17" s="410">
        <f>SUM(L11:L16)</f>
        <v>0</v>
      </c>
      <c r="M17" s="410">
        <f t="shared" si="6"/>
        <v>0</v>
      </c>
      <c r="N17" s="410">
        <f t="shared" si="6"/>
        <v>0</v>
      </c>
      <c r="O17" s="410">
        <f t="shared" si="6"/>
        <v>5000</v>
      </c>
      <c r="P17" s="410">
        <f t="shared" si="6"/>
        <v>0</v>
      </c>
      <c r="Q17" s="480">
        <f t="shared" si="6"/>
        <v>2900</v>
      </c>
      <c r="R17" s="471">
        <f t="shared" si="6"/>
        <v>4400</v>
      </c>
      <c r="S17" s="410">
        <f t="shared" si="6"/>
        <v>2400</v>
      </c>
      <c r="T17" s="410">
        <f t="shared" si="6"/>
        <v>9400</v>
      </c>
      <c r="U17" s="410">
        <f t="shared" si="6"/>
        <v>2400</v>
      </c>
      <c r="V17" s="410">
        <f t="shared" si="6"/>
        <v>2400</v>
      </c>
      <c r="W17" s="410">
        <f t="shared" si="6"/>
        <v>2400</v>
      </c>
      <c r="X17" s="410"/>
      <c r="Y17" s="410"/>
      <c r="Z17" s="410"/>
      <c r="AA17" s="410">
        <f t="shared" si="6"/>
        <v>0</v>
      </c>
      <c r="AB17" s="410">
        <f t="shared" si="6"/>
        <v>0</v>
      </c>
      <c r="AC17" s="411">
        <f t="shared" si="6"/>
        <v>0</v>
      </c>
      <c r="AD17" s="217"/>
    </row>
    <row r="18" spans="1:30" s="221" customFormat="1" ht="22.15" customHeight="1" thickBot="1">
      <c r="A18" s="720" t="s">
        <v>323</v>
      </c>
      <c r="B18" s="721"/>
      <c r="C18" s="271">
        <f t="shared" si="1"/>
        <v>41381.25</v>
      </c>
      <c r="D18" s="271">
        <f t="shared" ref="D18:AC18" si="7">SUM(D10,D17)</f>
        <v>8018.75</v>
      </c>
      <c r="E18" s="271">
        <f t="shared" si="7"/>
        <v>33362.5</v>
      </c>
      <c r="F18" s="271">
        <f t="shared" si="7"/>
        <v>0</v>
      </c>
      <c r="G18" s="271">
        <f t="shared" si="7"/>
        <v>0</v>
      </c>
      <c r="H18" s="271">
        <f t="shared" si="7"/>
        <v>0</v>
      </c>
      <c r="I18" s="271">
        <f t="shared" si="7"/>
        <v>0</v>
      </c>
      <c r="J18" s="271">
        <f t="shared" si="7"/>
        <v>0</v>
      </c>
      <c r="K18" s="271">
        <f t="shared" si="7"/>
        <v>0</v>
      </c>
      <c r="L18" s="271">
        <f t="shared" si="7"/>
        <v>0</v>
      </c>
      <c r="M18" s="271">
        <f t="shared" si="7"/>
        <v>0</v>
      </c>
      <c r="N18" s="271">
        <f t="shared" si="7"/>
        <v>0</v>
      </c>
      <c r="O18" s="271">
        <f t="shared" si="7"/>
        <v>5000</v>
      </c>
      <c r="P18" s="271">
        <f t="shared" si="7"/>
        <v>6.25</v>
      </c>
      <c r="Q18" s="482">
        <f t="shared" si="7"/>
        <v>3012.5</v>
      </c>
      <c r="R18" s="473">
        <f t="shared" si="7"/>
        <v>4550</v>
      </c>
      <c r="S18" s="271">
        <f t="shared" si="7"/>
        <v>2550</v>
      </c>
      <c r="T18" s="271">
        <f t="shared" si="7"/>
        <v>9525</v>
      </c>
      <c r="U18" s="271">
        <f t="shared" si="7"/>
        <v>2525</v>
      </c>
      <c r="V18" s="271">
        <f t="shared" si="7"/>
        <v>2550</v>
      </c>
      <c r="W18" s="271">
        <f t="shared" si="7"/>
        <v>2550</v>
      </c>
      <c r="X18" s="271">
        <f t="shared" si="7"/>
        <v>150</v>
      </c>
      <c r="Y18" s="271">
        <f t="shared" si="7"/>
        <v>150</v>
      </c>
      <c r="Z18" s="271">
        <f t="shared" si="7"/>
        <v>112.5</v>
      </c>
      <c r="AA18" s="271">
        <f t="shared" si="7"/>
        <v>0</v>
      </c>
      <c r="AB18" s="271">
        <f t="shared" si="7"/>
        <v>0</v>
      </c>
      <c r="AC18" s="272">
        <f t="shared" si="7"/>
        <v>0</v>
      </c>
      <c r="AD18" s="220"/>
    </row>
    <row r="19" spans="1:30" s="223" customFormat="1" ht="12.6" customHeight="1">
      <c r="A19" s="712" t="s">
        <v>368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712"/>
      <c r="AB19" s="712"/>
      <c r="AC19" s="712"/>
      <c r="AD19" s="222"/>
    </row>
  </sheetData>
  <mergeCells count="12">
    <mergeCell ref="A19:AC19"/>
    <mergeCell ref="A1:E1"/>
    <mergeCell ref="C3:E3"/>
    <mergeCell ref="A3:B4"/>
    <mergeCell ref="F3:Q3"/>
    <mergeCell ref="F1:L1"/>
    <mergeCell ref="A18:B18"/>
    <mergeCell ref="R2:AC2"/>
    <mergeCell ref="A7:A10"/>
    <mergeCell ref="A5:A6"/>
    <mergeCell ref="R3:AC3"/>
    <mergeCell ref="A11:A17"/>
  </mergeCells>
  <phoneticPr fontId="7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54" orientation="landscape" r:id="rId1"/>
  <headerFooter alignWithMargins="0"/>
  <ignoredErrors>
    <ignoredError sqref="D10:E10" formula="1"/>
    <ignoredError sqref="D16:E16 E11:E12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D36"/>
  <sheetViews>
    <sheetView showGridLines="0" view="pageBreakPreview" zoomScaleSheetLayoutView="100" workbookViewId="0">
      <pane xSplit="9" ySplit="4" topLeftCell="J8" activePane="bottomRight" state="frozen"/>
      <selection pane="topRight" activeCell="L1" sqref="L1"/>
      <selection pane="bottomLeft" activeCell="A5" sqref="A5"/>
      <selection pane="bottomRight" activeCell="G41" sqref="G41"/>
    </sheetView>
  </sheetViews>
  <sheetFormatPr defaultColWidth="9.33203125" defaultRowHeight="12.75"/>
  <cols>
    <col min="1" max="1" width="15.83203125" style="235" bestFit="1" customWidth="1"/>
    <col min="2" max="2" width="8" style="235" bestFit="1" customWidth="1"/>
    <col min="3" max="3" width="8.1640625" style="235" customWidth="1"/>
    <col min="4" max="4" width="7.1640625" style="236" bestFit="1" customWidth="1"/>
    <col min="5" max="6" width="10" style="236" bestFit="1" customWidth="1"/>
    <col min="7" max="7" width="11.83203125" style="236" bestFit="1" customWidth="1"/>
    <col min="8" max="8" width="11.5" style="236" bestFit="1" customWidth="1"/>
    <col min="9" max="9" width="12.83203125" style="236" bestFit="1" customWidth="1"/>
    <col min="10" max="12" width="10" style="236" bestFit="1" customWidth="1"/>
    <col min="13" max="13" width="10.1640625" style="236" bestFit="1" customWidth="1"/>
    <col min="14" max="16" width="10" style="236" bestFit="1" customWidth="1"/>
    <col min="17" max="17" width="9.6640625" style="236" bestFit="1" customWidth="1"/>
    <col min="18" max="19" width="10" style="236" bestFit="1" customWidth="1"/>
    <col min="20" max="20" width="3.6640625" style="209" customWidth="1"/>
    <col min="21" max="21" width="7" style="209" customWidth="1"/>
    <col min="22" max="22" width="12.6640625" style="209" bestFit="1" customWidth="1"/>
    <col min="23" max="24" width="15.1640625" style="209" bestFit="1" customWidth="1"/>
    <col min="25" max="25" width="18" style="209" bestFit="1" customWidth="1"/>
    <col min="26" max="26" width="13" style="209" bestFit="1" customWidth="1"/>
    <col min="27" max="27" width="14.83203125" style="209" bestFit="1" customWidth="1"/>
    <col min="28" max="30" width="9.33203125" style="209"/>
    <col min="31" max="16384" width="9.33203125" style="231"/>
  </cols>
  <sheetData>
    <row r="1" spans="1:30" s="228" customFormat="1" ht="18.75" thickBot="1">
      <c r="A1" s="732" t="s">
        <v>408</v>
      </c>
      <c r="B1" s="732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4"/>
      <c r="P1" s="734"/>
      <c r="Q1" s="734"/>
      <c r="R1" s="734"/>
      <c r="S1" s="734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</row>
    <row r="2" spans="1:30" s="229" customFormat="1" ht="14.25" customHeight="1">
      <c r="A2" s="736" t="s">
        <v>409</v>
      </c>
      <c r="B2" s="738" t="s">
        <v>403</v>
      </c>
      <c r="C2" s="738" t="s">
        <v>410</v>
      </c>
      <c r="D2" s="740" t="s">
        <v>411</v>
      </c>
      <c r="E2" s="735">
        <f ca="1">TODAY()</f>
        <v>45643</v>
      </c>
      <c r="F2" s="735"/>
      <c r="G2" s="735"/>
      <c r="H2" s="735"/>
      <c r="I2" s="735"/>
      <c r="J2" s="735">
        <f ca="1">TODAY()-365</f>
        <v>45278</v>
      </c>
      <c r="K2" s="735"/>
      <c r="L2" s="735"/>
      <c r="M2" s="735"/>
      <c r="N2" s="735"/>
      <c r="O2" s="735">
        <f ca="1">J2-365</f>
        <v>44913</v>
      </c>
      <c r="P2" s="735"/>
      <c r="Q2" s="735"/>
      <c r="R2" s="735"/>
      <c r="S2" s="735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</row>
    <row r="3" spans="1:30" s="230" customFormat="1" ht="14.25" customHeight="1">
      <c r="A3" s="737"/>
      <c r="B3" s="739"/>
      <c r="C3" s="739"/>
      <c r="D3" s="731"/>
      <c r="E3" s="731" t="s">
        <v>412</v>
      </c>
      <c r="F3" s="731"/>
      <c r="G3" s="731"/>
      <c r="H3" s="731" t="s">
        <v>413</v>
      </c>
      <c r="I3" s="731"/>
      <c r="J3" s="731" t="s">
        <v>414</v>
      </c>
      <c r="K3" s="731"/>
      <c r="L3" s="731"/>
      <c r="M3" s="731" t="s">
        <v>415</v>
      </c>
      <c r="N3" s="731"/>
      <c r="O3" s="731" t="s">
        <v>416</v>
      </c>
      <c r="P3" s="731"/>
      <c r="Q3" s="731"/>
      <c r="R3" s="731" t="s">
        <v>415</v>
      </c>
      <c r="S3" s="731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</row>
    <row r="4" spans="1:30" s="230" customFormat="1" ht="28.5" customHeight="1">
      <c r="A4" s="737"/>
      <c r="B4" s="739"/>
      <c r="C4" s="739"/>
      <c r="D4" s="731"/>
      <c r="E4" s="357" t="s">
        <v>417</v>
      </c>
      <c r="F4" s="357" t="s">
        <v>418</v>
      </c>
      <c r="G4" s="357" t="s">
        <v>419</v>
      </c>
      <c r="H4" s="357" t="s">
        <v>420</v>
      </c>
      <c r="I4" s="357" t="s">
        <v>421</v>
      </c>
      <c r="J4" s="357" t="s">
        <v>417</v>
      </c>
      <c r="K4" s="357" t="s">
        <v>422</v>
      </c>
      <c r="L4" s="357" t="s">
        <v>423</v>
      </c>
      <c r="M4" s="357" t="s">
        <v>424</v>
      </c>
      <c r="N4" s="357" t="s">
        <v>402</v>
      </c>
      <c r="O4" s="357" t="s">
        <v>417</v>
      </c>
      <c r="P4" s="357" t="s">
        <v>422</v>
      </c>
      <c r="Q4" s="357" t="s">
        <v>425</v>
      </c>
      <c r="R4" s="357" t="s">
        <v>424</v>
      </c>
      <c r="S4" s="357" t="s">
        <v>402</v>
      </c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</row>
    <row r="5" spans="1:30" ht="14.25" customHeight="1">
      <c r="A5" s="232" t="s">
        <v>46</v>
      </c>
      <c r="B5" s="358" t="s">
        <v>426</v>
      </c>
      <c r="C5" s="358" t="s">
        <v>3</v>
      </c>
      <c r="D5" s="359" t="s">
        <v>427</v>
      </c>
      <c r="E5" s="360">
        <v>30000</v>
      </c>
      <c r="F5" s="355">
        <v>0</v>
      </c>
      <c r="G5" s="356">
        <f>(E5-F5)/E5</f>
        <v>1</v>
      </c>
      <c r="H5" s="354">
        <v>14516</v>
      </c>
      <c r="I5" s="356">
        <f>(H5-M5)/M5</f>
        <v>-9.2239384653867801E-2</v>
      </c>
      <c r="J5" s="360">
        <v>30000</v>
      </c>
      <c r="K5" s="355">
        <v>11500</v>
      </c>
      <c r="L5" s="356">
        <f>(J5-K5)/J5</f>
        <v>0.6166666666666667</v>
      </c>
      <c r="M5" s="354">
        <v>15991</v>
      </c>
      <c r="N5" s="356">
        <f>(M5-R5)/R5</f>
        <v>0.37853448275862067</v>
      </c>
      <c r="O5" s="360">
        <v>30000</v>
      </c>
      <c r="P5" s="355">
        <v>11500</v>
      </c>
      <c r="Q5" s="356">
        <f>(O5-P5)/O5</f>
        <v>0.6166666666666667</v>
      </c>
      <c r="R5" s="361">
        <v>11600</v>
      </c>
      <c r="S5" s="356"/>
      <c r="U5" t="s">
        <v>454</v>
      </c>
      <c r="V5" s="373"/>
      <c r="W5" s="373"/>
      <c r="X5" s="373"/>
      <c r="Y5" s="373"/>
      <c r="Z5" s="373"/>
    </row>
    <row r="6" spans="1:30" ht="14.25" customHeight="1">
      <c r="A6" s="232" t="s">
        <v>46</v>
      </c>
      <c r="B6" s="358" t="s">
        <v>41</v>
      </c>
      <c r="C6" s="358" t="s">
        <v>4</v>
      </c>
      <c r="D6" s="362" t="s">
        <v>428</v>
      </c>
      <c r="E6" s="363">
        <v>25000</v>
      </c>
      <c r="F6" s="355">
        <v>0</v>
      </c>
      <c r="G6" s="356">
        <f t="shared" ref="G6:G29" si="0">(E6-F6)/E6</f>
        <v>1</v>
      </c>
      <c r="H6" s="354">
        <v>14616</v>
      </c>
      <c r="I6" s="356">
        <f t="shared" ref="I6:I20" si="1">(H6-M6)/M6</f>
        <v>0.20993377483443709</v>
      </c>
      <c r="J6" s="363">
        <v>25000</v>
      </c>
      <c r="K6" s="355">
        <v>11500</v>
      </c>
      <c r="L6" s="356">
        <f t="shared" ref="L6:L19" si="2">(J6-K6)/J6</f>
        <v>0.54</v>
      </c>
      <c r="M6" s="354">
        <v>12080</v>
      </c>
      <c r="N6" s="356">
        <f t="shared" ref="N6:N12" si="3">(M6-R6)/R6</f>
        <v>0.37272727272727274</v>
      </c>
      <c r="O6" s="363">
        <v>25000</v>
      </c>
      <c r="P6" s="355">
        <v>11500</v>
      </c>
      <c r="Q6" s="356">
        <f t="shared" ref="Q6:Q11" si="4">(O6-P6)/O6</f>
        <v>0.54</v>
      </c>
      <c r="R6" s="361">
        <v>8800</v>
      </c>
      <c r="S6" s="356"/>
      <c r="U6" s="374">
        <v>21</v>
      </c>
      <c r="V6" s="373" t="s">
        <v>455</v>
      </c>
      <c r="W6" s="373" t="s">
        <v>456</v>
      </c>
      <c r="X6" s="373" t="s">
        <v>457</v>
      </c>
      <c r="Y6" s="373" t="s">
        <v>458</v>
      </c>
      <c r="Z6" s="373" t="s">
        <v>459</v>
      </c>
    </row>
    <row r="7" spans="1:30" ht="14.25" customHeight="1">
      <c r="A7" s="232" t="s">
        <v>46</v>
      </c>
      <c r="B7" s="358" t="s">
        <v>41</v>
      </c>
      <c r="C7" s="358" t="s">
        <v>429</v>
      </c>
      <c r="D7" s="362" t="s">
        <v>430</v>
      </c>
      <c r="E7" s="363">
        <v>20000</v>
      </c>
      <c r="F7" s="355">
        <v>0</v>
      </c>
      <c r="G7" s="356">
        <f t="shared" si="0"/>
        <v>1</v>
      </c>
      <c r="H7" s="354">
        <v>12391</v>
      </c>
      <c r="I7" s="356">
        <f t="shared" si="1"/>
        <v>0.34699423850418526</v>
      </c>
      <c r="J7" s="363">
        <v>20000</v>
      </c>
      <c r="K7" s="355">
        <v>9500</v>
      </c>
      <c r="L7" s="356">
        <f t="shared" si="2"/>
        <v>0.52500000000000002</v>
      </c>
      <c r="M7" s="354">
        <v>9199</v>
      </c>
      <c r="N7" s="356">
        <f t="shared" si="3"/>
        <v>0.29563380281690138</v>
      </c>
      <c r="O7" s="363">
        <v>20000</v>
      </c>
      <c r="P7" s="355">
        <v>9500</v>
      </c>
      <c r="Q7" s="356">
        <f t="shared" si="4"/>
        <v>0.52500000000000002</v>
      </c>
      <c r="R7" s="361">
        <v>7100</v>
      </c>
      <c r="S7" s="356"/>
      <c r="U7" s="375" t="s">
        <v>460</v>
      </c>
      <c r="V7" s="376">
        <v>411642</v>
      </c>
      <c r="W7" s="376">
        <f>V7*U6</f>
        <v>8644482</v>
      </c>
      <c r="X7" s="376">
        <f>V7*U6*1.1</f>
        <v>9508930.2000000011</v>
      </c>
      <c r="Y7" s="376">
        <f>(W7+X7)*0.2</f>
        <v>3630682.4400000009</v>
      </c>
      <c r="Z7" s="376">
        <f>SUM(W7:Y7)</f>
        <v>21784094.640000004</v>
      </c>
    </row>
    <row r="8" spans="1:30" ht="14.25" customHeight="1">
      <c r="A8" s="232" t="s">
        <v>46</v>
      </c>
      <c r="B8" s="358" t="s">
        <v>41</v>
      </c>
      <c r="C8" s="358" t="s">
        <v>431</v>
      </c>
      <c r="D8" s="362" t="s">
        <v>430</v>
      </c>
      <c r="E8" s="363">
        <v>16000</v>
      </c>
      <c r="F8" s="355">
        <v>0</v>
      </c>
      <c r="G8" s="356">
        <f t="shared" si="0"/>
        <v>1</v>
      </c>
      <c r="H8" s="354">
        <v>11516</v>
      </c>
      <c r="I8" s="356">
        <f t="shared" si="1"/>
        <v>0.54101431821223067</v>
      </c>
      <c r="J8" s="363">
        <v>16000</v>
      </c>
      <c r="K8" s="355">
        <v>9500</v>
      </c>
      <c r="L8" s="356">
        <f t="shared" si="2"/>
        <v>0.40625</v>
      </c>
      <c r="M8" s="354">
        <v>7473</v>
      </c>
      <c r="N8" s="356">
        <f t="shared" si="3"/>
        <v>0.33446428571428571</v>
      </c>
      <c r="O8" s="363">
        <v>16000</v>
      </c>
      <c r="P8" s="355">
        <v>9500</v>
      </c>
      <c r="Q8" s="356">
        <f t="shared" si="4"/>
        <v>0.40625</v>
      </c>
      <c r="R8" s="361">
        <v>5600</v>
      </c>
      <c r="S8" s="356"/>
      <c r="U8" s="375" t="s">
        <v>427</v>
      </c>
      <c r="V8" s="376">
        <v>373593</v>
      </c>
      <c r="W8" s="376">
        <v>8134214</v>
      </c>
      <c r="X8" s="376">
        <v>8947635.4000000004</v>
      </c>
      <c r="Y8" s="376">
        <v>3416369.88</v>
      </c>
      <c r="Z8" s="376">
        <f>SUM(W8:Y8)</f>
        <v>20498219.279999997</v>
      </c>
    </row>
    <row r="9" spans="1:30" ht="14.25" customHeight="1">
      <c r="A9" s="233" t="s">
        <v>46</v>
      </c>
      <c r="B9" s="358" t="s">
        <v>41</v>
      </c>
      <c r="C9" s="358" t="s">
        <v>432</v>
      </c>
      <c r="D9" s="359" t="s">
        <v>405</v>
      </c>
      <c r="E9" s="360">
        <v>14000</v>
      </c>
      <c r="F9" s="355">
        <v>0</v>
      </c>
      <c r="G9" s="356">
        <f t="shared" si="0"/>
        <v>1</v>
      </c>
      <c r="H9" s="354">
        <v>10641</v>
      </c>
      <c r="I9" s="356">
        <f t="shared" si="1"/>
        <v>0.76088035743835847</v>
      </c>
      <c r="J9" s="360">
        <v>14000</v>
      </c>
      <c r="K9" s="355">
        <v>7500</v>
      </c>
      <c r="L9" s="356">
        <f t="shared" si="2"/>
        <v>0.4642857142857143</v>
      </c>
      <c r="M9" s="354">
        <v>6043</v>
      </c>
      <c r="N9" s="356">
        <f t="shared" si="3"/>
        <v>0.25895833333333335</v>
      </c>
      <c r="O9" s="360">
        <v>14000</v>
      </c>
      <c r="P9" s="355">
        <v>7500</v>
      </c>
      <c r="Q9" s="356">
        <f t="shared" si="4"/>
        <v>0.4642857142857143</v>
      </c>
      <c r="R9" s="361">
        <v>4800</v>
      </c>
      <c r="S9" s="356"/>
      <c r="U9" s="375" t="s">
        <v>404</v>
      </c>
      <c r="V9" s="376">
        <v>276160</v>
      </c>
      <c r="W9" s="376">
        <v>6351342</v>
      </c>
      <c r="X9" s="376">
        <v>6986476.2000000002</v>
      </c>
      <c r="Y9" s="376">
        <v>2667563.64</v>
      </c>
      <c r="Z9" s="376">
        <f>SUM(W9:Y9)</f>
        <v>16005381.84</v>
      </c>
    </row>
    <row r="10" spans="1:30" ht="14.25" customHeight="1">
      <c r="A10" s="232" t="s">
        <v>46</v>
      </c>
      <c r="B10" s="358" t="s">
        <v>41</v>
      </c>
      <c r="C10" s="358" t="s">
        <v>433</v>
      </c>
      <c r="D10" s="359" t="s">
        <v>434</v>
      </c>
      <c r="E10" s="360">
        <v>12000</v>
      </c>
      <c r="F10" s="355">
        <v>0</v>
      </c>
      <c r="G10" s="356">
        <f t="shared" si="0"/>
        <v>1</v>
      </c>
      <c r="H10" s="354">
        <v>10016</v>
      </c>
      <c r="I10" s="356">
        <f t="shared" si="1"/>
        <v>0.98375916022974852</v>
      </c>
      <c r="J10" s="360">
        <v>12000</v>
      </c>
      <c r="K10" s="355">
        <v>7500</v>
      </c>
      <c r="L10" s="356">
        <f t="shared" si="2"/>
        <v>0.375</v>
      </c>
      <c r="M10" s="354">
        <v>5049</v>
      </c>
      <c r="N10" s="356">
        <f t="shared" si="3"/>
        <v>0.26224999999999998</v>
      </c>
      <c r="O10" s="360">
        <v>12000</v>
      </c>
      <c r="P10" s="355">
        <v>7500</v>
      </c>
      <c r="Q10" s="356">
        <f t="shared" si="4"/>
        <v>0.375</v>
      </c>
      <c r="R10" s="361">
        <v>4000</v>
      </c>
      <c r="S10" s="356"/>
      <c r="U10" s="375" t="s">
        <v>405</v>
      </c>
      <c r="V10" s="376">
        <v>221375</v>
      </c>
      <c r="W10" s="376">
        <v>4981725</v>
      </c>
      <c r="X10" s="376">
        <v>5479897.5</v>
      </c>
      <c r="Y10" s="376">
        <v>2092324.5</v>
      </c>
      <c r="Z10" s="376">
        <f>SUM(W10:Y10)</f>
        <v>12553947</v>
      </c>
    </row>
    <row r="11" spans="1:30" ht="14.25" customHeight="1">
      <c r="A11" s="232" t="s">
        <v>46</v>
      </c>
      <c r="B11" s="358" t="s">
        <v>41</v>
      </c>
      <c r="C11" s="358" t="s">
        <v>5</v>
      </c>
      <c r="D11" s="359" t="s">
        <v>435</v>
      </c>
      <c r="E11" s="360">
        <v>10000</v>
      </c>
      <c r="F11" s="355">
        <v>0</v>
      </c>
      <c r="G11" s="356">
        <f t="shared" si="0"/>
        <v>1</v>
      </c>
      <c r="H11" s="354">
        <v>6791</v>
      </c>
      <c r="I11" s="356">
        <f t="shared" si="1"/>
        <v>0.64113098115031419</v>
      </c>
      <c r="J11" s="360">
        <v>10000</v>
      </c>
      <c r="K11" s="355">
        <v>6000</v>
      </c>
      <c r="L11" s="356">
        <f t="shared" si="2"/>
        <v>0.4</v>
      </c>
      <c r="M11" s="354">
        <v>4138</v>
      </c>
      <c r="N11" s="356">
        <f t="shared" si="3"/>
        <v>0.29312500000000002</v>
      </c>
      <c r="O11" s="360">
        <v>10000</v>
      </c>
      <c r="P11" s="355">
        <v>6000</v>
      </c>
      <c r="Q11" s="356">
        <f t="shared" si="4"/>
        <v>0.4</v>
      </c>
      <c r="R11" s="361">
        <v>3200</v>
      </c>
      <c r="S11" s="356"/>
      <c r="U11" s="375" t="s">
        <v>406</v>
      </c>
      <c r="V11" s="376">
        <v>190787</v>
      </c>
      <c r="W11" s="376">
        <v>3979456</v>
      </c>
      <c r="X11" s="376">
        <v>4377401.6000000006</v>
      </c>
      <c r="Y11" s="376">
        <v>1671371.5200000003</v>
      </c>
      <c r="Z11" s="376">
        <f>SUM(W11:Y11)</f>
        <v>10028229.120000001</v>
      </c>
    </row>
    <row r="12" spans="1:30" ht="14.25" customHeight="1">
      <c r="A12" s="364" t="s">
        <v>46</v>
      </c>
      <c r="B12" s="365"/>
      <c r="C12" s="366" t="s">
        <v>407</v>
      </c>
      <c r="D12" s="365"/>
      <c r="E12" s="367"/>
      <c r="F12" s="367">
        <f>SUM(F5:F11)/7</f>
        <v>0</v>
      </c>
      <c r="G12" s="368">
        <f>AVERAGE(G5:G11)</f>
        <v>1</v>
      </c>
      <c r="H12" s="367">
        <f>SUM(H5:H11)/7</f>
        <v>11498.142857142857</v>
      </c>
      <c r="I12" s="368">
        <f t="shared" si="1"/>
        <v>0.34205392426591952</v>
      </c>
      <c r="J12" s="367"/>
      <c r="K12" s="367">
        <f>SUM(K5:K11)/7</f>
        <v>9000</v>
      </c>
      <c r="L12" s="368">
        <f>AVERAGE(L5:L11)</f>
        <v>0.47531462585034012</v>
      </c>
      <c r="M12" s="367">
        <f>SUM(M5:M11)/7</f>
        <v>8567.5714285714294</v>
      </c>
      <c r="N12" s="368">
        <f t="shared" si="3"/>
        <v>0.32977827050997788</v>
      </c>
      <c r="O12" s="367"/>
      <c r="P12" s="367">
        <f>SUM(P5:P11)/7</f>
        <v>9000</v>
      </c>
      <c r="Q12" s="368">
        <f>AVERAGE(Q5:Q11)</f>
        <v>0.47531462585034012</v>
      </c>
      <c r="R12" s="367">
        <f>SUM(R5:R11)/7</f>
        <v>6442.8571428571431</v>
      </c>
      <c r="S12" s="368"/>
    </row>
    <row r="13" spans="1:30" ht="14.25" customHeight="1">
      <c r="A13" s="232" t="s">
        <v>436</v>
      </c>
      <c r="B13" s="358" t="s">
        <v>437</v>
      </c>
      <c r="C13" s="358" t="s">
        <v>438</v>
      </c>
      <c r="D13" s="359" t="s">
        <v>427</v>
      </c>
      <c r="E13" s="360">
        <v>20498</v>
      </c>
      <c r="F13" s="355">
        <v>0</v>
      </c>
      <c r="G13" s="356">
        <f t="shared" si="0"/>
        <v>1</v>
      </c>
      <c r="H13" s="354">
        <v>14516</v>
      </c>
      <c r="I13" s="356">
        <f t="shared" si="1"/>
        <v>-9.2239384653867801E-2</v>
      </c>
      <c r="J13" s="360">
        <v>20498</v>
      </c>
      <c r="K13" s="355">
        <v>11500</v>
      </c>
      <c r="L13" s="356">
        <f t="shared" si="2"/>
        <v>0.43896965557615375</v>
      </c>
      <c r="M13" s="354">
        <v>15991</v>
      </c>
      <c r="N13" s="356">
        <f>(M13-R13)/R13</f>
        <v>0.37853448275862067</v>
      </c>
      <c r="O13" s="360">
        <v>20498</v>
      </c>
      <c r="P13" s="355">
        <v>11500</v>
      </c>
      <c r="Q13" s="356">
        <f t="shared" ref="Q13:Q19" si="5">(O13-P13)/O13</f>
        <v>0.43896965557615375</v>
      </c>
      <c r="R13" s="361">
        <v>11600</v>
      </c>
      <c r="S13" s="356"/>
    </row>
    <row r="14" spans="1:30" ht="14.25" customHeight="1">
      <c r="A14" s="232" t="s">
        <v>439</v>
      </c>
      <c r="B14" s="358" t="s">
        <v>440</v>
      </c>
      <c r="C14" s="358" t="s">
        <v>4</v>
      </c>
      <c r="D14" s="362" t="s">
        <v>441</v>
      </c>
      <c r="E14" s="363">
        <v>20498</v>
      </c>
      <c r="F14" s="355">
        <v>0</v>
      </c>
      <c r="G14" s="356">
        <f t="shared" si="0"/>
        <v>1</v>
      </c>
      <c r="H14" s="354">
        <v>14616</v>
      </c>
      <c r="I14" s="356">
        <f t="shared" si="1"/>
        <v>0.20993377483443709</v>
      </c>
      <c r="J14" s="363">
        <v>20498</v>
      </c>
      <c r="K14" s="355">
        <v>11500</v>
      </c>
      <c r="L14" s="356">
        <f t="shared" si="2"/>
        <v>0.43896965557615375</v>
      </c>
      <c r="M14" s="354">
        <v>12080</v>
      </c>
      <c r="N14" s="356">
        <f t="shared" ref="N14:N20" si="6">(M14-R14)/R14</f>
        <v>0.37272727272727274</v>
      </c>
      <c r="O14" s="363">
        <v>20498</v>
      </c>
      <c r="P14" s="355">
        <v>11500</v>
      </c>
      <c r="Q14" s="356">
        <f t="shared" si="5"/>
        <v>0.43896965557615375</v>
      </c>
      <c r="R14" s="361">
        <v>8800</v>
      </c>
      <c r="S14" s="356"/>
    </row>
    <row r="15" spans="1:30" ht="14.25" customHeight="1">
      <c r="A15" s="232" t="s">
        <v>442</v>
      </c>
      <c r="B15" s="358" t="s">
        <v>443</v>
      </c>
      <c r="C15" s="358" t="s">
        <v>429</v>
      </c>
      <c r="D15" s="362" t="s">
        <v>404</v>
      </c>
      <c r="E15" s="363">
        <v>16005</v>
      </c>
      <c r="F15" s="355">
        <v>0</v>
      </c>
      <c r="G15" s="356">
        <f t="shared" si="0"/>
        <v>1</v>
      </c>
      <c r="H15" s="354">
        <v>12391</v>
      </c>
      <c r="I15" s="356">
        <f t="shared" si="1"/>
        <v>0.34699423850418526</v>
      </c>
      <c r="J15" s="363">
        <v>16005</v>
      </c>
      <c r="K15" s="355">
        <v>9500</v>
      </c>
      <c r="L15" s="356">
        <f t="shared" si="2"/>
        <v>0.4064354889097157</v>
      </c>
      <c r="M15" s="354">
        <v>9199</v>
      </c>
      <c r="N15" s="356">
        <f t="shared" si="6"/>
        <v>0.29563380281690138</v>
      </c>
      <c r="O15" s="363">
        <v>16005</v>
      </c>
      <c r="P15" s="355">
        <v>9500</v>
      </c>
      <c r="Q15" s="356">
        <f t="shared" si="5"/>
        <v>0.4064354889097157</v>
      </c>
      <c r="R15" s="361">
        <v>7100</v>
      </c>
      <c r="S15" s="356"/>
    </row>
    <row r="16" spans="1:30" ht="14.25" customHeight="1">
      <c r="A16" s="232" t="s">
        <v>439</v>
      </c>
      <c r="B16" s="358" t="s">
        <v>369</v>
      </c>
      <c r="C16" s="358" t="s">
        <v>431</v>
      </c>
      <c r="D16" s="362" t="s">
        <v>430</v>
      </c>
      <c r="E16" s="363">
        <v>16005</v>
      </c>
      <c r="F16" s="355">
        <v>0</v>
      </c>
      <c r="G16" s="356">
        <f t="shared" si="0"/>
        <v>1</v>
      </c>
      <c r="H16" s="354">
        <v>11516</v>
      </c>
      <c r="I16" s="356">
        <f t="shared" si="1"/>
        <v>0.54101431821223067</v>
      </c>
      <c r="J16" s="363">
        <v>16005</v>
      </c>
      <c r="K16" s="355">
        <v>9500</v>
      </c>
      <c r="L16" s="356">
        <f t="shared" si="2"/>
        <v>0.4064354889097157</v>
      </c>
      <c r="M16" s="354">
        <v>7473</v>
      </c>
      <c r="N16" s="356">
        <f t="shared" si="6"/>
        <v>0.33446428571428571</v>
      </c>
      <c r="O16" s="363">
        <v>16005</v>
      </c>
      <c r="P16" s="355">
        <v>9500</v>
      </c>
      <c r="Q16" s="356">
        <f t="shared" si="5"/>
        <v>0.4064354889097157</v>
      </c>
      <c r="R16" s="361">
        <v>5600</v>
      </c>
      <c r="S16" s="356"/>
    </row>
    <row r="17" spans="1:25" ht="14.25" customHeight="1">
      <c r="A17" s="233" t="s">
        <v>439</v>
      </c>
      <c r="B17" s="358" t="s">
        <v>443</v>
      </c>
      <c r="C17" s="358" t="s">
        <v>444</v>
      </c>
      <c r="D17" s="359" t="s">
        <v>445</v>
      </c>
      <c r="E17" s="360">
        <v>12553</v>
      </c>
      <c r="F17" s="355">
        <v>0</v>
      </c>
      <c r="G17" s="356">
        <f t="shared" si="0"/>
        <v>1</v>
      </c>
      <c r="H17" s="354">
        <v>10641</v>
      </c>
      <c r="I17" s="356">
        <f t="shared" si="1"/>
        <v>0.76088035743835847</v>
      </c>
      <c r="J17" s="360">
        <v>12553</v>
      </c>
      <c r="K17" s="355">
        <v>7500</v>
      </c>
      <c r="L17" s="356">
        <f t="shared" si="2"/>
        <v>0.40253325898191666</v>
      </c>
      <c r="M17" s="354">
        <v>6043</v>
      </c>
      <c r="N17" s="356">
        <f t="shared" si="6"/>
        <v>0.25895833333333335</v>
      </c>
      <c r="O17" s="360">
        <v>12553</v>
      </c>
      <c r="P17" s="355">
        <v>7500</v>
      </c>
      <c r="Q17" s="356">
        <f t="shared" si="5"/>
        <v>0.40253325898191666</v>
      </c>
      <c r="R17" s="361">
        <v>4800</v>
      </c>
      <c r="S17" s="356"/>
    </row>
    <row r="18" spans="1:25" ht="14.25" customHeight="1">
      <c r="A18" s="233" t="s">
        <v>442</v>
      </c>
      <c r="B18" s="358" t="s">
        <v>446</v>
      </c>
      <c r="C18" s="358" t="s">
        <v>447</v>
      </c>
      <c r="D18" s="359" t="s">
        <v>448</v>
      </c>
      <c r="E18" s="360">
        <v>10028</v>
      </c>
      <c r="F18" s="355">
        <v>0</v>
      </c>
      <c r="G18" s="356">
        <f t="shared" si="0"/>
        <v>1</v>
      </c>
      <c r="H18" s="354">
        <v>10016</v>
      </c>
      <c r="I18" s="356">
        <f t="shared" si="1"/>
        <v>0.98375916022974852</v>
      </c>
      <c r="J18" s="360">
        <v>10028</v>
      </c>
      <c r="K18" s="355">
        <v>7500</v>
      </c>
      <c r="L18" s="356">
        <f t="shared" si="2"/>
        <v>0.25209413641802952</v>
      </c>
      <c r="M18" s="354">
        <v>5049</v>
      </c>
      <c r="N18" s="356">
        <f t="shared" si="6"/>
        <v>0.26224999999999998</v>
      </c>
      <c r="O18" s="360">
        <v>10028</v>
      </c>
      <c r="P18" s="355">
        <v>7500</v>
      </c>
      <c r="Q18" s="356">
        <f t="shared" si="5"/>
        <v>0.25209413641802952</v>
      </c>
      <c r="R18" s="361">
        <v>4000</v>
      </c>
      <c r="S18" s="356"/>
    </row>
    <row r="19" spans="1:25" ht="14.25" customHeight="1">
      <c r="A19" s="233" t="s">
        <v>449</v>
      </c>
      <c r="B19" s="358" t="s">
        <v>450</v>
      </c>
      <c r="C19" s="358" t="s">
        <v>5</v>
      </c>
      <c r="D19" s="359" t="s">
        <v>448</v>
      </c>
      <c r="E19" s="360">
        <v>10028</v>
      </c>
      <c r="F19" s="355">
        <v>0</v>
      </c>
      <c r="G19" s="356">
        <f t="shared" si="0"/>
        <v>1</v>
      </c>
      <c r="H19" s="354">
        <v>9516</v>
      </c>
      <c r="I19" s="356">
        <f t="shared" si="1"/>
        <v>1.2996616723054615</v>
      </c>
      <c r="J19" s="360">
        <v>10028</v>
      </c>
      <c r="K19" s="355">
        <v>6000</v>
      </c>
      <c r="L19" s="356">
        <f t="shared" si="2"/>
        <v>0.40167530913442362</v>
      </c>
      <c r="M19" s="354">
        <v>4138</v>
      </c>
      <c r="N19" s="356">
        <f t="shared" si="6"/>
        <v>0.29312500000000002</v>
      </c>
      <c r="O19" s="360">
        <v>10028</v>
      </c>
      <c r="P19" s="355">
        <v>6000</v>
      </c>
      <c r="Q19" s="356">
        <f t="shared" si="5"/>
        <v>0.40167530913442362</v>
      </c>
      <c r="R19" s="361">
        <v>3200</v>
      </c>
      <c r="S19" s="356"/>
    </row>
    <row r="20" spans="1:25" ht="14.25" customHeight="1">
      <c r="A20" s="364" t="s">
        <v>449</v>
      </c>
      <c r="B20" s="365"/>
      <c r="C20" s="366" t="s">
        <v>451</v>
      </c>
      <c r="D20" s="365"/>
      <c r="E20" s="367"/>
      <c r="F20" s="367">
        <f>SUM(F13:F19)/7</f>
        <v>0</v>
      </c>
      <c r="G20" s="368">
        <f>AVERAGE(G13:G19)</f>
        <v>1</v>
      </c>
      <c r="H20" s="367">
        <f>SUM(H13:H19)/7</f>
        <v>11887.428571428571</v>
      </c>
      <c r="I20" s="368">
        <f t="shared" si="1"/>
        <v>0.38749103763360154</v>
      </c>
      <c r="J20" s="367"/>
      <c r="K20" s="367">
        <f>SUM(K13:K19)/7</f>
        <v>9000</v>
      </c>
      <c r="L20" s="368">
        <f>AVERAGE(L13:L19)</f>
        <v>0.39244471335801556</v>
      </c>
      <c r="M20" s="367">
        <f>SUM(M13:M19)/7</f>
        <v>8567.5714285714294</v>
      </c>
      <c r="N20" s="368">
        <f t="shared" si="6"/>
        <v>0.32977827050997788</v>
      </c>
      <c r="O20" s="367"/>
      <c r="P20" s="367">
        <f>SUM(P13:P19)/7</f>
        <v>9000</v>
      </c>
      <c r="Q20" s="368">
        <f>AVERAGE(Q13:Q19)</f>
        <v>0.39244471335801556</v>
      </c>
      <c r="R20" s="367">
        <f>SUM(R13:R19)/7</f>
        <v>6442.8571428571431</v>
      </c>
      <c r="S20" s="368"/>
    </row>
    <row r="21" spans="1:25" ht="14.25" customHeight="1">
      <c r="A21" s="232" t="s">
        <v>452</v>
      </c>
      <c r="B21" s="358" t="s">
        <v>6</v>
      </c>
      <c r="C21" s="358" t="s">
        <v>466</v>
      </c>
      <c r="D21" s="359" t="s">
        <v>461</v>
      </c>
      <c r="E21" s="369">
        <v>25000</v>
      </c>
      <c r="F21" s="355">
        <v>0</v>
      </c>
      <c r="G21" s="356">
        <f t="shared" si="0"/>
        <v>1</v>
      </c>
      <c r="H21" s="370">
        <v>11000</v>
      </c>
      <c r="I21" s="356"/>
      <c r="J21" s="369"/>
      <c r="K21" s="355"/>
      <c r="L21" s="356"/>
      <c r="M21" s="370"/>
      <c r="N21" s="356"/>
      <c r="O21" s="369"/>
      <c r="P21" s="355"/>
      <c r="Q21" s="356"/>
      <c r="R21" s="370"/>
      <c r="S21" s="356"/>
    </row>
    <row r="22" spans="1:25" ht="14.25" customHeight="1">
      <c r="A22" s="232" t="s">
        <v>43</v>
      </c>
      <c r="B22" s="358" t="s">
        <v>7</v>
      </c>
      <c r="C22" s="358" t="s">
        <v>467</v>
      </c>
      <c r="D22" s="359" t="s">
        <v>462</v>
      </c>
      <c r="E22" s="369">
        <v>20000</v>
      </c>
      <c r="F22" s="355">
        <v>0</v>
      </c>
      <c r="G22" s="356">
        <f t="shared" si="0"/>
        <v>1</v>
      </c>
      <c r="H22" s="370">
        <v>9000</v>
      </c>
      <c r="I22" s="356"/>
      <c r="J22" s="369"/>
      <c r="K22" s="355"/>
      <c r="L22" s="356"/>
      <c r="M22" s="370"/>
      <c r="N22" s="356"/>
      <c r="O22" s="369"/>
      <c r="P22" s="355"/>
      <c r="Q22" s="356"/>
      <c r="R22" s="370"/>
      <c r="S22" s="356"/>
    </row>
    <row r="23" spans="1:25" ht="14.25" customHeight="1">
      <c r="A23" s="232" t="s">
        <v>43</v>
      </c>
      <c r="B23" s="358" t="s">
        <v>8</v>
      </c>
      <c r="C23" s="358" t="s">
        <v>468</v>
      </c>
      <c r="D23" s="359" t="s">
        <v>463</v>
      </c>
      <c r="E23" s="369">
        <v>16000</v>
      </c>
      <c r="F23" s="355">
        <v>0</v>
      </c>
      <c r="G23" s="356">
        <f t="shared" si="0"/>
        <v>1</v>
      </c>
      <c r="H23" s="370">
        <v>8000</v>
      </c>
      <c r="I23" s="356"/>
      <c r="J23" s="369"/>
      <c r="K23" s="355"/>
      <c r="L23" s="356"/>
      <c r="M23" s="370"/>
      <c r="N23" s="356"/>
      <c r="O23" s="369"/>
      <c r="P23" s="355"/>
      <c r="Q23" s="356"/>
      <c r="R23" s="370"/>
      <c r="S23" s="356"/>
    </row>
    <row r="24" spans="1:25" ht="14.25" customHeight="1">
      <c r="A24" s="232" t="s">
        <v>43</v>
      </c>
      <c r="B24" s="358" t="s">
        <v>9</v>
      </c>
      <c r="C24" s="358" t="s">
        <v>469</v>
      </c>
      <c r="D24" s="359" t="s">
        <v>464</v>
      </c>
      <c r="E24" s="369">
        <v>14000</v>
      </c>
      <c r="F24" s="355">
        <v>0</v>
      </c>
      <c r="G24" s="356">
        <f t="shared" si="0"/>
        <v>1</v>
      </c>
      <c r="H24" s="370">
        <v>7000</v>
      </c>
      <c r="I24" s="356"/>
      <c r="J24" s="369"/>
      <c r="K24" s="355"/>
      <c r="L24" s="356"/>
      <c r="M24" s="370"/>
      <c r="N24" s="356"/>
      <c r="O24" s="369"/>
      <c r="P24" s="355"/>
      <c r="Q24" s="356"/>
      <c r="R24" s="370"/>
      <c r="S24" s="356"/>
    </row>
    <row r="25" spans="1:25" ht="14.25" customHeight="1">
      <c r="A25" s="364" t="s">
        <v>43</v>
      </c>
      <c r="B25" s="365"/>
      <c r="C25" s="366" t="s">
        <v>451</v>
      </c>
      <c r="D25" s="365"/>
      <c r="E25" s="371"/>
      <c r="F25" s="371"/>
      <c r="G25" s="368"/>
      <c r="H25" s="371"/>
      <c r="I25" s="368"/>
      <c r="J25" s="371"/>
      <c r="K25" s="371"/>
      <c r="L25" s="368"/>
      <c r="M25" s="371"/>
      <c r="N25" s="368"/>
      <c r="O25" s="371"/>
      <c r="P25" s="371"/>
      <c r="Q25" s="368"/>
      <c r="R25" s="371"/>
      <c r="S25" s="368"/>
    </row>
    <row r="26" spans="1:25" ht="14.25" customHeight="1">
      <c r="A26" s="232" t="s">
        <v>453</v>
      </c>
      <c r="B26" s="358" t="s">
        <v>11</v>
      </c>
      <c r="C26" s="358" t="s">
        <v>466</v>
      </c>
      <c r="D26" s="359" t="s">
        <v>461</v>
      </c>
      <c r="E26" s="369">
        <v>20498</v>
      </c>
      <c r="F26" s="355">
        <v>0</v>
      </c>
      <c r="G26" s="356">
        <f t="shared" si="0"/>
        <v>1</v>
      </c>
      <c r="H26" s="370">
        <v>8500</v>
      </c>
      <c r="I26" s="356"/>
      <c r="J26" s="369"/>
      <c r="K26" s="355"/>
      <c r="L26" s="356"/>
      <c r="M26" s="370"/>
      <c r="N26" s="356"/>
      <c r="O26" s="369"/>
      <c r="P26" s="355"/>
      <c r="Q26" s="356"/>
      <c r="R26" s="370"/>
      <c r="S26" s="356"/>
    </row>
    <row r="27" spans="1:25" ht="14.25" customHeight="1">
      <c r="A27" s="232" t="s">
        <v>42</v>
      </c>
      <c r="B27" s="358" t="s">
        <v>2</v>
      </c>
      <c r="C27" s="358" t="s">
        <v>470</v>
      </c>
      <c r="D27" s="359" t="s">
        <v>462</v>
      </c>
      <c r="E27" s="369">
        <v>16005</v>
      </c>
      <c r="F27" s="355">
        <v>0</v>
      </c>
      <c r="G27" s="356">
        <f t="shared" si="0"/>
        <v>1</v>
      </c>
      <c r="H27" s="370">
        <v>7500</v>
      </c>
      <c r="I27" s="356"/>
      <c r="J27" s="369"/>
      <c r="K27" s="355"/>
      <c r="L27" s="356"/>
      <c r="M27" s="370"/>
      <c r="N27" s="356"/>
      <c r="O27" s="369"/>
      <c r="P27" s="355"/>
      <c r="Q27" s="356"/>
      <c r="R27" s="370"/>
      <c r="S27" s="356"/>
    </row>
    <row r="28" spans="1:25" ht="14.25" customHeight="1">
      <c r="A28" s="232" t="s">
        <v>42</v>
      </c>
      <c r="B28" s="358" t="s">
        <v>1</v>
      </c>
      <c r="C28" s="358" t="s">
        <v>469</v>
      </c>
      <c r="D28" s="359" t="s">
        <v>463</v>
      </c>
      <c r="E28" s="369">
        <v>12553</v>
      </c>
      <c r="F28" s="355">
        <v>0</v>
      </c>
      <c r="G28" s="356">
        <f t="shared" si="0"/>
        <v>1</v>
      </c>
      <c r="H28" s="370">
        <v>6500</v>
      </c>
      <c r="I28" s="356"/>
      <c r="J28" s="369"/>
      <c r="K28" s="355"/>
      <c r="L28" s="356"/>
      <c r="M28" s="370"/>
      <c r="N28" s="356"/>
      <c r="O28" s="369"/>
      <c r="P28" s="355"/>
      <c r="Q28" s="356"/>
      <c r="R28" s="370"/>
      <c r="S28" s="356"/>
    </row>
    <row r="29" spans="1:25" ht="14.25" customHeight="1">
      <c r="A29" s="232" t="s">
        <v>42</v>
      </c>
      <c r="B29" s="358" t="s">
        <v>10</v>
      </c>
      <c r="C29" s="358" t="s">
        <v>471</v>
      </c>
      <c r="D29" s="359" t="s">
        <v>465</v>
      </c>
      <c r="E29" s="369">
        <v>10028</v>
      </c>
      <c r="F29" s="355">
        <v>0</v>
      </c>
      <c r="G29" s="356">
        <f t="shared" si="0"/>
        <v>1</v>
      </c>
      <c r="H29" s="370">
        <v>5500</v>
      </c>
      <c r="I29" s="356"/>
      <c r="J29" s="369"/>
      <c r="K29" s="355"/>
      <c r="L29" s="356"/>
      <c r="M29" s="370"/>
      <c r="N29" s="356"/>
      <c r="O29" s="369"/>
      <c r="P29" s="355"/>
      <c r="Q29" s="356"/>
      <c r="R29" s="370"/>
      <c r="S29" s="356"/>
    </row>
    <row r="30" spans="1:25" ht="14.25" customHeight="1" thickBot="1">
      <c r="A30" s="372" t="s">
        <v>42</v>
      </c>
      <c r="B30" s="248"/>
      <c r="C30" s="249" t="s">
        <v>451</v>
      </c>
      <c r="D30" s="248"/>
      <c r="E30" s="234"/>
      <c r="F30" s="234"/>
      <c r="G30" s="250"/>
      <c r="H30" s="234"/>
      <c r="I30" s="250"/>
      <c r="J30" s="234"/>
      <c r="K30" s="234"/>
      <c r="L30" s="250"/>
      <c r="M30" s="234"/>
      <c r="N30" s="250"/>
      <c r="O30" s="234"/>
      <c r="P30" s="234"/>
      <c r="Q30" s="250"/>
      <c r="R30" s="234"/>
      <c r="S30" s="250"/>
      <c r="Y30" s="380"/>
    </row>
    <row r="31" spans="1:25">
      <c r="B31" s="236"/>
      <c r="C31" s="236"/>
    </row>
    <row r="35" spans="23:27">
      <c r="W35" s="281"/>
      <c r="AA35" s="275"/>
    </row>
    <row r="36" spans="23:27">
      <c r="Y36" s="279"/>
    </row>
  </sheetData>
  <mergeCells count="14">
    <mergeCell ref="R3:S3"/>
    <mergeCell ref="A1:S1"/>
    <mergeCell ref="J2:N2"/>
    <mergeCell ref="O2:S2"/>
    <mergeCell ref="A2:A4"/>
    <mergeCell ref="B2:B4"/>
    <mergeCell ref="C2:C4"/>
    <mergeCell ref="D2:D4"/>
    <mergeCell ref="E2:I2"/>
    <mergeCell ref="E3:G3"/>
    <mergeCell ref="H3:I3"/>
    <mergeCell ref="J3:L3"/>
    <mergeCell ref="M3:N3"/>
    <mergeCell ref="O3:Q3"/>
  </mergeCells>
  <phoneticPr fontId="7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65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12"/>
  <sheetViews>
    <sheetView showGridLines="0" view="pageBreakPreview" zoomScale="115" zoomScaleSheetLayoutView="11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D8" sqref="D8:F8"/>
    </sheetView>
  </sheetViews>
  <sheetFormatPr defaultColWidth="9.33203125" defaultRowHeight="17.25" customHeight="1"/>
  <cols>
    <col min="1" max="1" width="20.1640625" style="224" customWidth="1"/>
    <col min="2" max="2" width="23.6640625" style="224" bestFit="1" customWidth="1"/>
    <col min="3" max="3" width="18" style="225" customWidth="1"/>
    <col min="4" max="6" width="20.83203125" style="225" customWidth="1"/>
    <col min="7" max="7" width="18" style="226" customWidth="1"/>
    <col min="8" max="8" width="13" style="225" customWidth="1"/>
    <col min="9" max="9" width="9.33203125" style="237"/>
    <col min="10" max="16384" width="9.33203125" style="225"/>
  </cols>
  <sheetData>
    <row r="1" spans="1:8" ht="17.25" customHeight="1">
      <c r="A1" s="713" t="s">
        <v>370</v>
      </c>
      <c r="B1" s="714"/>
      <c r="C1" s="714"/>
      <c r="D1" s="714"/>
      <c r="E1" s="714"/>
      <c r="F1" s="714"/>
      <c r="G1" s="751"/>
    </row>
    <row r="2" spans="1:8" s="180" customFormat="1" ht="16.5" thickBot="1">
      <c r="A2" s="238"/>
      <c r="B2" s="82"/>
      <c r="C2" s="82"/>
      <c r="D2" s="82"/>
      <c r="E2" s="82"/>
      <c r="F2" s="82"/>
      <c r="G2" s="239" t="s">
        <v>371</v>
      </c>
      <c r="H2" s="240"/>
    </row>
    <row r="3" spans="1:8" ht="17.25" customHeight="1">
      <c r="A3" s="715" t="s">
        <v>372</v>
      </c>
      <c r="B3" s="716"/>
      <c r="C3" s="752"/>
      <c r="D3" s="716" t="s">
        <v>373</v>
      </c>
      <c r="E3" s="716"/>
      <c r="F3" s="716"/>
      <c r="G3" s="273" t="s">
        <v>374</v>
      </c>
    </row>
    <row r="4" spans="1:8" ht="17.25" customHeight="1">
      <c r="A4" s="382" t="s">
        <v>376</v>
      </c>
      <c r="B4" s="434" t="s">
        <v>377</v>
      </c>
      <c r="C4" s="435" t="s">
        <v>375</v>
      </c>
      <c r="D4" s="435" t="s">
        <v>495</v>
      </c>
      <c r="E4" s="435">
        <v>10</v>
      </c>
      <c r="F4" s="435">
        <v>0</v>
      </c>
      <c r="G4" s="345">
        <f>+E4*F4</f>
        <v>0</v>
      </c>
    </row>
    <row r="5" spans="1:8" ht="17.25" customHeight="1">
      <c r="A5" s="400" t="s">
        <v>476</v>
      </c>
      <c r="B5" s="434" t="s">
        <v>377</v>
      </c>
      <c r="C5" s="436" t="s">
        <v>375</v>
      </c>
      <c r="D5" s="753" t="s">
        <v>477</v>
      </c>
      <c r="E5" s="753"/>
      <c r="F5" s="753"/>
      <c r="G5" s="345">
        <v>25</v>
      </c>
    </row>
    <row r="6" spans="1:8" ht="17.25" customHeight="1">
      <c r="A6" s="439" t="s">
        <v>480</v>
      </c>
      <c r="B6" s="442" t="s">
        <v>223</v>
      </c>
      <c r="C6" s="436" t="s">
        <v>375</v>
      </c>
      <c r="D6" s="753" t="s">
        <v>477</v>
      </c>
      <c r="E6" s="753"/>
      <c r="F6" s="753"/>
      <c r="G6" s="345">
        <v>25</v>
      </c>
    </row>
    <row r="7" spans="1:8" ht="17.25" customHeight="1">
      <c r="A7" s="744" t="s">
        <v>378</v>
      </c>
      <c r="B7" s="745"/>
      <c r="C7" s="436" t="s">
        <v>379</v>
      </c>
      <c r="D7" s="743" t="s">
        <v>380</v>
      </c>
      <c r="E7" s="743"/>
      <c r="F7" s="743"/>
      <c r="G7" s="345">
        <v>0</v>
      </c>
    </row>
    <row r="8" spans="1:8" ht="17.25" customHeight="1">
      <c r="A8" s="744" t="s">
        <v>393</v>
      </c>
      <c r="B8" s="745"/>
      <c r="C8" s="436" t="s">
        <v>379</v>
      </c>
      <c r="D8" s="743" t="s">
        <v>381</v>
      </c>
      <c r="E8" s="743"/>
      <c r="F8" s="743"/>
      <c r="G8" s="345">
        <v>0</v>
      </c>
    </row>
    <row r="9" spans="1:8" ht="17.25" customHeight="1">
      <c r="A9" s="744" t="s">
        <v>396</v>
      </c>
      <c r="B9" s="746"/>
      <c r="C9" s="746"/>
      <c r="D9" s="438" t="s">
        <v>395</v>
      </c>
      <c r="E9" s="438">
        <v>50</v>
      </c>
      <c r="F9" s="438">
        <v>0</v>
      </c>
      <c r="G9" s="345">
        <f>+E9*F9</f>
        <v>0</v>
      </c>
    </row>
    <row r="10" spans="1:8" ht="17.25" customHeight="1">
      <c r="A10" s="744" t="s">
        <v>382</v>
      </c>
      <c r="B10" s="746"/>
      <c r="C10" s="746"/>
      <c r="D10" s="438" t="s">
        <v>397</v>
      </c>
      <c r="E10" s="438">
        <v>20</v>
      </c>
      <c r="F10" s="438">
        <v>3</v>
      </c>
      <c r="G10" s="345">
        <v>0</v>
      </c>
    </row>
    <row r="11" spans="1:8" ht="17.25" customHeight="1">
      <c r="A11" s="744" t="s">
        <v>394</v>
      </c>
      <c r="B11" s="747"/>
      <c r="C11" s="748"/>
      <c r="D11" s="438" t="s">
        <v>398</v>
      </c>
      <c r="E11" s="438">
        <v>100</v>
      </c>
      <c r="F11" s="438">
        <v>4</v>
      </c>
      <c r="G11" s="345">
        <v>120</v>
      </c>
    </row>
    <row r="12" spans="1:8" ht="17.25" customHeight="1" thickBot="1">
      <c r="A12" s="749" t="s">
        <v>383</v>
      </c>
      <c r="B12" s="750"/>
      <c r="C12" s="742"/>
      <c r="D12" s="741" t="s">
        <v>384</v>
      </c>
      <c r="E12" s="742"/>
      <c r="F12" s="742"/>
      <c r="G12" s="274"/>
    </row>
  </sheetData>
  <mergeCells count="14">
    <mergeCell ref="A1:G1"/>
    <mergeCell ref="A3:C3"/>
    <mergeCell ref="D3:F3"/>
    <mergeCell ref="D5:F5"/>
    <mergeCell ref="D6:F6"/>
    <mergeCell ref="D12:F12"/>
    <mergeCell ref="D8:F8"/>
    <mergeCell ref="D7:F7"/>
    <mergeCell ref="A8:B8"/>
    <mergeCell ref="A7:B7"/>
    <mergeCell ref="A10:C10"/>
    <mergeCell ref="A9:C9"/>
    <mergeCell ref="A11:C11"/>
    <mergeCell ref="A12:C12"/>
  </mergeCells>
  <phoneticPr fontId="7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9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6</vt:i4>
      </vt:variant>
    </vt:vector>
  </HeadingPairs>
  <TitlesOfParts>
    <vt:vector size="14" baseType="lpstr">
      <vt:lpstr>프로세스</vt:lpstr>
      <vt:lpstr>수주품의</vt:lpstr>
      <vt:lpstr>제품계획</vt:lpstr>
      <vt:lpstr>수지차</vt:lpstr>
      <vt:lpstr>인력계획</vt:lpstr>
      <vt:lpstr>프로젝트경비</vt:lpstr>
      <vt:lpstr>기준-단가</vt:lpstr>
      <vt:lpstr>기준-경비</vt:lpstr>
      <vt:lpstr>'기준-단가'!Print_Area</vt:lpstr>
      <vt:lpstr>수지차!Print_Area</vt:lpstr>
      <vt:lpstr>인력계획!Print_Area</vt:lpstr>
      <vt:lpstr>제품계획!Print_Area</vt:lpstr>
      <vt:lpstr>프로세스!Print_Area</vt:lpstr>
      <vt:lpstr>프로젝트경비!Print_Area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최귀현;은종천</dc:creator>
  <cp:lastModifiedBy>hyeonuc</cp:lastModifiedBy>
  <cp:lastPrinted>2020-07-01T04:47:08Z</cp:lastPrinted>
  <dcterms:created xsi:type="dcterms:W3CDTF">2009-03-03T03:47:47Z</dcterms:created>
  <dcterms:modified xsi:type="dcterms:W3CDTF">2024-12-17T05:30:51Z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C:\Users\김채열\AppData\Roaming\Microsoft\Excel\YYMMDD_NH농협생명_ITRM 시스템 추가구축_수지분석_V.0.1 (version 1).xlsb</vt:lpwstr>
  </property>
</Properties>
</file>