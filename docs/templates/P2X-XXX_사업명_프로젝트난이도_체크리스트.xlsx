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136CCB5-FA16-4FEA-9622-4671D6A98EA6}" xr6:coauthVersionLast="47" xr6:coauthVersionMax="47" xr10:uidLastSave="{00000000-0000-0000-0000-000000000000}"/>
  <bookViews>
    <workbookView xWindow="28680" yWindow="-120" windowWidth="29040" windowHeight="15720" tabRatio="768" xr2:uid="{00000000-000D-0000-FFFF-FFFF00000000}"/>
  </bookViews>
  <sheets>
    <sheet name="사업 종합 난이도 평가" sheetId="8" r:id="rId1"/>
    <sheet name="1.기술적난이도" sheetId="2" r:id="rId2"/>
    <sheet name="2.요구사항복잡성" sheetId="3" r:id="rId3"/>
    <sheet name="3.프로젝트팀구성" sheetId="4" r:id="rId4"/>
    <sheet name="4.프로젝트관리" sheetId="5" r:id="rId5"/>
    <sheet name="5.외부의존성" sheetId="6" r:id="rId6"/>
    <sheet name="Sheet6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D51" i="8"/>
  <c r="F51" i="8" s="1"/>
  <c r="D52" i="8"/>
  <c r="F52" i="8" s="1"/>
  <c r="D53" i="8"/>
  <c r="F53" i="8" s="1"/>
  <c r="D11" i="4"/>
  <c r="E10" i="4"/>
  <c r="E9" i="4"/>
  <c r="E8" i="4"/>
  <c r="E7" i="4"/>
  <c r="E6" i="4"/>
  <c r="E5" i="4"/>
  <c r="E4" i="4"/>
  <c r="D10" i="6"/>
  <c r="E9" i="6"/>
  <c r="E8" i="6"/>
  <c r="E7" i="6"/>
  <c r="E6" i="6"/>
  <c r="E5" i="6"/>
  <c r="E4" i="6"/>
  <c r="E11" i="4" l="1"/>
  <c r="E10" i="6"/>
  <c r="D71" i="8"/>
  <c r="D72" i="8"/>
  <c r="D73" i="8"/>
  <c r="D74" i="8"/>
  <c r="D75" i="8"/>
  <c r="D70" i="8"/>
  <c r="D59" i="8"/>
  <c r="D60" i="8"/>
  <c r="D61" i="8"/>
  <c r="D62" i="8"/>
  <c r="D63" i="8"/>
  <c r="D64" i="8"/>
  <c r="D65" i="8"/>
  <c r="D58" i="8"/>
  <c r="D48" i="8"/>
  <c r="D49" i="8"/>
  <c r="D50" i="8"/>
  <c r="D47" i="8"/>
  <c r="D35" i="8"/>
  <c r="D36" i="8"/>
  <c r="D37" i="8"/>
  <c r="D38" i="8"/>
  <c r="D39" i="8"/>
  <c r="D40" i="8"/>
  <c r="D41" i="8"/>
  <c r="D42" i="8"/>
  <c r="D34" i="8"/>
  <c r="D21" i="8"/>
  <c r="D22" i="8"/>
  <c r="D23" i="8"/>
  <c r="D24" i="8"/>
  <c r="D25" i="8"/>
  <c r="D26" i="8"/>
  <c r="D27" i="8"/>
  <c r="D28" i="8"/>
  <c r="D29" i="8"/>
  <c r="D20" i="8"/>
  <c r="E76" i="8" l="1"/>
  <c r="F75" i="8"/>
  <c r="F74" i="8"/>
  <c r="F73" i="8"/>
  <c r="F72" i="8"/>
  <c r="F71" i="8"/>
  <c r="F70" i="8"/>
  <c r="D76" i="8"/>
  <c r="E66" i="8"/>
  <c r="F65" i="8"/>
  <c r="F64" i="8"/>
  <c r="F63" i="8"/>
  <c r="F62" i="8"/>
  <c r="F61" i="8"/>
  <c r="F60" i="8"/>
  <c r="F59" i="8"/>
  <c r="F58" i="8"/>
  <c r="E54" i="8"/>
  <c r="D54" i="8"/>
  <c r="F50" i="8"/>
  <c r="F49" i="8"/>
  <c r="F48" i="8"/>
  <c r="F47" i="8"/>
  <c r="E43" i="8"/>
  <c r="F42" i="8"/>
  <c r="F41" i="8"/>
  <c r="F40" i="8"/>
  <c r="F39" i="8"/>
  <c r="F38" i="8"/>
  <c r="F37" i="8"/>
  <c r="F36" i="8"/>
  <c r="F35" i="8"/>
  <c r="D43" i="8"/>
  <c r="E30" i="8"/>
  <c r="E12" i="8"/>
  <c r="F54" i="8" l="1"/>
  <c r="D9" i="8" s="1"/>
  <c r="F9" i="8" s="1"/>
  <c r="F66" i="8"/>
  <c r="D10" i="8" s="1"/>
  <c r="F10" i="8" s="1"/>
  <c r="F76" i="8"/>
  <c r="D11" i="8" s="1"/>
  <c r="F11" i="8" s="1"/>
  <c r="D66" i="8"/>
  <c r="F34" i="8"/>
  <c r="F43" i="8" s="1"/>
  <c r="D8" i="8" s="1"/>
  <c r="F8" i="8" s="1"/>
  <c r="D58" i="7" l="1"/>
  <c r="C58" i="7"/>
  <c r="E57" i="7"/>
  <c r="E56" i="7"/>
  <c r="E55" i="7"/>
  <c r="E54" i="7"/>
  <c r="E53" i="7"/>
  <c r="E52" i="7"/>
  <c r="E51" i="7"/>
  <c r="D47" i="7"/>
  <c r="C47" i="7"/>
  <c r="E46" i="7"/>
  <c r="E45" i="7"/>
  <c r="E44" i="7"/>
  <c r="E43" i="7"/>
  <c r="E42" i="7"/>
  <c r="E41" i="7"/>
  <c r="E40" i="7"/>
  <c r="E39" i="7"/>
  <c r="D35" i="7"/>
  <c r="C35" i="7"/>
  <c r="E30" i="7"/>
  <c r="E35" i="7" s="1"/>
  <c r="D26" i="7"/>
  <c r="C26" i="7"/>
  <c r="E25" i="7"/>
  <c r="E24" i="7"/>
  <c r="E23" i="7"/>
  <c r="E22" i="7"/>
  <c r="E21" i="7"/>
  <c r="E20" i="7"/>
  <c r="E19" i="7"/>
  <c r="E18" i="7"/>
  <c r="E17" i="7"/>
  <c r="D13" i="7"/>
  <c r="C13" i="7"/>
  <c r="E12" i="7"/>
  <c r="E11" i="7"/>
  <c r="E10" i="7"/>
  <c r="E9" i="7"/>
  <c r="E8" i="7"/>
  <c r="E7" i="7"/>
  <c r="E6" i="7"/>
  <c r="E5" i="7"/>
  <c r="E4" i="7"/>
  <c r="E3" i="7"/>
  <c r="E58" i="7" l="1"/>
  <c r="E13" i="7"/>
  <c r="E26" i="7"/>
  <c r="E47" i="7"/>
  <c r="E5" i="5"/>
  <c r="E6" i="5"/>
  <c r="E7" i="5"/>
  <c r="E8" i="5"/>
  <c r="E9" i="5"/>
  <c r="E10" i="5"/>
  <c r="E11" i="5"/>
  <c r="C12" i="5"/>
  <c r="D12" i="5"/>
  <c r="E4" i="5"/>
  <c r="C13" i="3"/>
  <c r="D13" i="3"/>
  <c r="E12" i="3"/>
  <c r="E11" i="3"/>
  <c r="E10" i="3"/>
  <c r="E9" i="3"/>
  <c r="E8" i="3"/>
  <c r="E7" i="3"/>
  <c r="E6" i="3"/>
  <c r="E5" i="3"/>
  <c r="E4" i="3"/>
  <c r="D14" i="2"/>
  <c r="C14" i="2"/>
  <c r="E9" i="2"/>
  <c r="E10" i="2"/>
  <c r="E11" i="2"/>
  <c r="E12" i="2"/>
  <c r="E13" i="2"/>
  <c r="E8" i="2"/>
  <c r="E7" i="2"/>
  <c r="E6" i="2"/>
  <c r="E5" i="2"/>
  <c r="E4" i="2"/>
  <c r="F29" i="8" l="1"/>
  <c r="F22" i="8"/>
  <c r="F28" i="8"/>
  <c r="F24" i="8"/>
  <c r="F27" i="8"/>
  <c r="F25" i="8"/>
  <c r="F23" i="8"/>
  <c r="F26" i="8"/>
  <c r="F21" i="8"/>
  <c r="E13" i="3"/>
  <c r="E12" i="5"/>
  <c r="E14" i="2"/>
  <c r="D30" i="8" l="1"/>
  <c r="F20" i="8"/>
  <c r="F30" i="8" s="1"/>
  <c r="D7" i="8" s="1"/>
  <c r="D12" i="8" l="1"/>
  <c r="F7" i="8"/>
  <c r="F12" i="8" s="1"/>
</calcChain>
</file>

<file path=xl/sharedStrings.xml><?xml version="1.0" encoding="utf-8"?>
<sst xmlns="http://schemas.openxmlformats.org/spreadsheetml/2006/main" count="444" uniqueCount="316">
  <si>
    <t>항목</t>
  </si>
  <si>
    <t>가중치</t>
  </si>
  <si>
    <t>결과 점수</t>
  </si>
  <si>
    <t>기술적 난이도</t>
  </si>
  <si>
    <t>요구사항의 복잡성</t>
  </si>
  <si>
    <t>외부 의존성</t>
  </si>
  <si>
    <t>총합</t>
  </si>
  <si>
    <t>난이도 해석</t>
  </si>
  <si>
    <t>1. 기술 스택</t>
  </si>
  <si>
    <t>2. 아키텍처</t>
  </si>
  <si>
    <t>4. 보안</t>
  </si>
  <si>
    <t>5. 성능</t>
  </si>
  <si>
    <t>6. 시스템 통합</t>
  </si>
  <si>
    <t>8. 테스트 및 품질 보증</t>
  </si>
  <si>
    <t>9. 배포 및 운영</t>
  </si>
  <si>
    <t>10. 기술적 리스크</t>
  </si>
  <si>
    <t>활용 방법</t>
  </si>
  <si>
    <t>항목별로 가중치를 부여하여 기술적 난이도의 총점을 계산합니다.</t>
  </si>
  <si>
    <t>점수에 따라 적절한 리스크 관리 계획 및 추가 리소스 할당을 고려합니다.</t>
  </si>
  <si>
    <t>위 체크리스트는 프로젝트의 복잡성과 특성에 따라 세부적으로 조정하여 사용할 수 있습니다.</t>
  </si>
  <si>
    <t>기술 스택</t>
    <phoneticPr fontId="1" type="noConversion"/>
  </si>
  <si>
    <t>아키텍처</t>
    <phoneticPr fontId="1" type="noConversion"/>
  </si>
  <si>
    <t>데이터 관리</t>
    <phoneticPr fontId="1" type="noConversion"/>
  </si>
  <si>
    <t>보안</t>
    <phoneticPr fontId="1" type="noConversion"/>
  </si>
  <si>
    <t>성능</t>
    <phoneticPr fontId="1" type="noConversion"/>
  </si>
  <si>
    <t>시스템 통합</t>
    <phoneticPr fontId="1" type="noConversion"/>
  </si>
  <si>
    <t>개발 도구 및 환경</t>
    <phoneticPr fontId="1" type="noConversion"/>
  </si>
  <si>
    <t>테스트 및 품질 보증</t>
    <phoneticPr fontId="1" type="noConversion"/>
  </si>
  <si>
    <t>배포 및 운영</t>
    <phoneticPr fontId="1" type="noConversion"/>
  </si>
  <si>
    <t>기술적 리스크</t>
    <phoneticPr fontId="1" type="noConversion"/>
  </si>
  <si>
    <t>No</t>
    <phoneticPr fontId="1" type="noConversion"/>
  </si>
  <si>
    <t>1. 기능 및 범위</t>
  </si>
  <si>
    <t>2. 요구사항의 명확성</t>
  </si>
  <si>
    <t>4. 사용자 및 사용 시나리오</t>
  </si>
  <si>
    <t>6. 성능 및 확장성</t>
  </si>
  <si>
    <t>7. 보안 및 규정 준수</t>
  </si>
  <si>
    <t>기능 및 범위</t>
  </si>
  <si>
    <t>요구사항의 명확성</t>
  </si>
  <si>
    <t>요구사항 변경 가능성</t>
  </si>
  <si>
    <t>사용자 및 사용 시나리오</t>
  </si>
  <si>
    <t>데이터 및 비즈니스 규칙</t>
  </si>
  <si>
    <t>성능 및 확장성</t>
  </si>
  <si>
    <t>보안 및 규정 준수</t>
  </si>
  <si>
    <t>우선순위 및 가치</t>
  </si>
  <si>
    <t>프로젝트 팀 구성</t>
    <phoneticPr fontId="1" type="noConversion"/>
  </si>
  <si>
    <t>1. 팀원의 기술 숙련도</t>
  </si>
  <si>
    <t>2. 팀원의 도메인 지식</t>
  </si>
  <si>
    <t>4. 인력 가용성</t>
  </si>
  <si>
    <t>• 새로운 기술 학습이 필요한 팀원의 수</t>
    <phoneticPr fontId="1" type="noConversion"/>
  </si>
  <si>
    <t>기술 숙련도</t>
    <phoneticPr fontId="1" type="noConversion"/>
  </si>
  <si>
    <t>도메인 지식</t>
    <phoneticPr fontId="1" type="noConversion"/>
  </si>
  <si>
    <t>경험</t>
    <phoneticPr fontId="1" type="noConversion"/>
  </si>
  <si>
    <t>인력 가용성</t>
    <phoneticPr fontId="1" type="noConversion"/>
  </si>
  <si>
    <t>협업 능력</t>
    <phoneticPr fontId="1" type="noConversion"/>
  </si>
  <si>
    <r>
      <rPr>
        <sz val="10"/>
        <color theme="1"/>
        <rFont val="맑은 고딕"/>
        <family val="3"/>
        <charset val="129"/>
      </rPr>
      <t xml:space="preserve">• </t>
    </r>
    <r>
      <rPr>
        <sz val="10"/>
        <color theme="1"/>
        <rFont val="맑은 고딕"/>
        <family val="3"/>
        <charset val="129"/>
        <scheme val="minor"/>
      </rPr>
      <t>관련 기술/프레임워크 사용 경험이 있는 팀원의 비율</t>
    </r>
    <phoneticPr fontId="1" type="noConversion"/>
  </si>
  <si>
    <t>1. 일정 관리</t>
  </si>
  <si>
    <t>2. 리소스 관리</t>
  </si>
  <si>
    <t>3. 리스크 관리</t>
  </si>
  <si>
    <t>4. 이해관계자 관리</t>
  </si>
  <si>
    <t>5. 품질 관리</t>
  </si>
  <si>
    <t>6. 의존성 관리</t>
  </si>
  <si>
    <t>일정 관리</t>
    <phoneticPr fontId="1" type="noConversion"/>
  </si>
  <si>
    <t>리소스 관리</t>
    <phoneticPr fontId="1" type="noConversion"/>
  </si>
  <si>
    <t>리스크 관리</t>
    <phoneticPr fontId="1" type="noConversion"/>
  </si>
  <si>
    <t>이해관계자 관리</t>
    <phoneticPr fontId="1" type="noConversion"/>
  </si>
  <si>
    <t>품질 관리</t>
    <phoneticPr fontId="1" type="noConversion"/>
  </si>
  <si>
    <t>의존성관리</t>
    <phoneticPr fontId="1" type="noConversion"/>
  </si>
  <si>
    <t>의사소통 및 협업</t>
    <phoneticPr fontId="1" type="noConversion"/>
  </si>
  <si>
    <t>기타 운영 요소</t>
    <phoneticPr fontId="1" type="noConversion"/>
  </si>
  <si>
    <t>3. 외부 공급자의 신뢰도</t>
  </si>
  <si>
    <t>4. 기술적 통합 난이도</t>
  </si>
  <si>
    <t>API 안정성</t>
  </si>
  <si>
    <t>규제 준수 요구사항</t>
  </si>
  <si>
    <t>공급자의 안정성</t>
  </si>
  <si>
    <t>통합 복잡성</t>
  </si>
  <si>
    <t>유지보수 난이도</t>
  </si>
  <si>
    <t>비용 및 계약</t>
  </si>
  <si>
    <t>의존성 대체 가능성</t>
  </si>
  <si>
    <t>1. 기술적 난이도 체크 항목</t>
    <phoneticPr fontId="1" type="noConversion"/>
  </si>
  <si>
    <t>2. 요구사항의 복잡성 체크 항목</t>
    <phoneticPr fontId="1" type="noConversion"/>
  </si>
  <si>
    <t>3. 프로젝트 팀 구성 난이도 체크 항목</t>
    <phoneticPr fontId="1" type="noConversion"/>
  </si>
  <si>
    <t>4. 프로젝트 관리 난이도 체크 항목</t>
    <phoneticPr fontId="1" type="noConversion"/>
  </si>
  <si>
    <t>5. 외부 의존성 관리 난이도 체크 항목</t>
    <phoneticPr fontId="1" type="noConversion"/>
  </si>
  <si>
    <r>
      <rPr>
        <sz val="10"/>
        <color theme="1"/>
        <rFont val="맑은 고딕"/>
        <family val="3"/>
        <charset val="129"/>
      </rPr>
      <t xml:space="preserve">▣ </t>
    </r>
    <r>
      <rPr>
        <sz val="10"/>
        <color theme="1"/>
        <rFont val="맑은 고딕"/>
        <family val="3"/>
        <charset val="129"/>
        <scheme val="minor"/>
      </rPr>
      <t>프로젝트에서 요구되는 기술 스택에 대한 숙련도</t>
    </r>
    <phoneticPr fontId="1" type="noConversion"/>
  </si>
  <si>
    <t>▣ 전문 기술을 가진 인력의 확보 여부</t>
    <phoneticPr fontId="1" type="noConversion"/>
  </si>
  <si>
    <t>▣ 프로젝트가 다루는 도메인(예: 금융, 의료, 제조)에 대한 이해도</t>
    <phoneticPr fontId="1" type="noConversion"/>
  </si>
  <si>
    <t>▣ 관련 산업 프로젝트 경험 여부</t>
    <phoneticPr fontId="1" type="noConversion"/>
  </si>
  <si>
    <t>3. 팀 구성원의 경험</t>
    <phoneticPr fontId="1" type="noConversion"/>
  </si>
  <si>
    <t>▣ 이전 유사 프로젝트 경험이 있는 팀원의 수</t>
    <phoneticPr fontId="1" type="noConversion"/>
  </si>
  <si>
    <t>▣ 프로젝트 관리 경험(예: 팀 리드, PM 등)을 가진 인력의 유무</t>
    <phoneticPr fontId="1" type="noConversion"/>
  </si>
  <si>
    <t>▣ 신입 개발자와 숙련된 개발자 간의 균형</t>
    <phoneticPr fontId="1" type="noConversion"/>
  </si>
  <si>
    <t>▣ 팀원 간의 커뮤니케이션 스킬과 협업 경험</t>
    <phoneticPr fontId="1" type="noConversion"/>
  </si>
  <si>
    <t>▣ 다양한 부서 및 외부 협력 업체와의 조율 능력</t>
    <phoneticPr fontId="1" type="noConversion"/>
  </si>
  <si>
    <t>▣ 외부 협력 인력의 기술 적합성과 협력 난이도</t>
    <phoneticPr fontId="1" type="noConversion"/>
  </si>
  <si>
    <t>각 항목에 대해 점수화 (예: 1~10)하여 평가합니다.</t>
    <phoneticPr fontId="1" type="noConversion"/>
  </si>
  <si>
    <t>점수(1-10)</t>
    <phoneticPr fontId="1" type="noConversion"/>
  </si>
  <si>
    <r>
      <t>1.0~3.0 : 매우 낮음</t>
    </r>
    <r>
      <rPr>
        <sz val="10"/>
        <color theme="1"/>
        <rFont val="맑은 고딕"/>
        <family val="3"/>
        <charset val="129"/>
        <scheme val="minor"/>
      </rPr>
      <t xml:space="preserve"> - 거의 고려할 필요가 없음.</t>
    </r>
    <phoneticPr fontId="1" type="noConversion"/>
  </si>
  <si>
    <r>
      <t>3.1~5.0 : 낮음</t>
    </r>
    <r>
      <rPr>
        <sz val="10"/>
        <color theme="1"/>
        <rFont val="맑은 고딕"/>
        <family val="3"/>
        <charset val="129"/>
        <scheme val="minor"/>
      </rPr>
      <t xml:space="preserve"> - 약간의 관리가 필요함.</t>
    </r>
    <phoneticPr fontId="1" type="noConversion"/>
  </si>
  <si>
    <r>
      <t>5.1~7.0: 보통</t>
    </r>
    <r>
      <rPr>
        <sz val="10"/>
        <color theme="1"/>
        <rFont val="맑은 고딕"/>
        <family val="3"/>
        <charset val="129"/>
        <scheme val="minor"/>
      </rPr>
      <t xml:space="preserve"> - 일정 수준의 주의와 관리가 필요함.</t>
    </r>
    <phoneticPr fontId="1" type="noConversion"/>
  </si>
  <si>
    <r>
      <t>7.1~9.0: 높음</t>
    </r>
    <r>
      <rPr>
        <sz val="10"/>
        <color theme="1"/>
        <rFont val="맑은 고딕"/>
        <family val="3"/>
        <charset val="129"/>
        <scheme val="minor"/>
      </rPr>
      <t xml:space="preserve"> - 집중적인 관리가 필요함.</t>
    </r>
    <phoneticPr fontId="1" type="noConversion"/>
  </si>
  <si>
    <r>
      <t>9.1~10.0: 매우 높음</t>
    </r>
    <r>
      <rPr>
        <sz val="10"/>
        <color theme="1"/>
        <rFont val="맑은 고딕"/>
        <family val="3"/>
        <charset val="129"/>
        <scheme val="minor"/>
      </rPr>
      <t xml:space="preserve"> - 매우 어려운 요소이며 고도의 주의가 필요함.</t>
    </r>
    <phoneticPr fontId="1" type="noConversion"/>
  </si>
  <si>
    <r>
      <t>3.1~5.0 : 낮음</t>
    </r>
    <r>
      <rPr>
        <sz val="10"/>
        <color theme="1"/>
        <rFont val="맑은 고딕"/>
        <family val="3"/>
        <charset val="129"/>
        <scheme val="minor"/>
      </rPr>
      <t xml:space="preserve"> - 관리가 필요하지만 리스크가 낮고 통제가 쉬움.</t>
    </r>
    <phoneticPr fontId="1" type="noConversion"/>
  </si>
  <si>
    <r>
      <t>1.0~3.0 : 매우 낮음</t>
    </r>
    <r>
      <rPr>
        <sz val="10"/>
        <color theme="1"/>
        <rFont val="맑은 고딕"/>
        <family val="3"/>
        <charset val="129"/>
        <scheme val="minor"/>
      </rPr>
      <t xml:space="preserve"> - 리스크 및 관리 필요성이 거의 없음.</t>
    </r>
    <phoneticPr fontId="1" type="noConversion"/>
  </si>
  <si>
    <r>
      <t>5.1~7.0 : 보통</t>
    </r>
    <r>
      <rPr>
        <sz val="10"/>
        <color theme="1"/>
        <rFont val="맑은 고딕"/>
        <family val="3"/>
        <charset val="129"/>
        <scheme val="minor"/>
      </rPr>
      <t xml:space="preserve"> - 일부 리스크가 존재하며 관리가 필요.</t>
    </r>
    <phoneticPr fontId="1" type="noConversion"/>
  </si>
  <si>
    <r>
      <t>7.1~9.0 : 높음</t>
    </r>
    <r>
      <rPr>
        <sz val="10"/>
        <color theme="1"/>
        <rFont val="맑은 고딕"/>
        <family val="3"/>
        <charset val="129"/>
        <scheme val="minor"/>
      </rPr>
      <t xml:space="preserve"> - 리스크가 크고 적극적인 관리 및 자원 투자가 필요.</t>
    </r>
    <phoneticPr fontId="1" type="noConversion"/>
  </si>
  <si>
    <r>
      <t>9.1~10.0 : 매우 높음</t>
    </r>
    <r>
      <rPr>
        <sz val="10"/>
        <color theme="1"/>
        <rFont val="맑은 고딕"/>
        <family val="3"/>
        <charset val="129"/>
        <scheme val="minor"/>
      </rPr>
      <t xml:space="preserve"> - 높은 리스크와 복잡성으로 인해 프로젝트 성공에 큰 영향을 미침.</t>
    </r>
    <phoneticPr fontId="1" type="noConversion"/>
  </si>
  <si>
    <t>팀 구성에 전혀 문제가 없으며, 프로젝트 수행이 매우 원활할 것으로 예상됨.</t>
  </si>
  <si>
    <t>소규모의 문제나 약간의 조정이 필요하지만, 대부분 원활한 진행이 가능.</t>
  </si>
  <si>
    <t>일부 어려움이 예상되며, 팀원들의 추가 조정이나 교육이 필요할 수 있음.</t>
  </si>
  <si>
    <t>팀 구성의 여러 측면에서 도전 과제가 존재하며, 리스크 관리 및 추가 자원 투입이 필요.</t>
  </si>
  <si>
    <t>팀 구성에서 심각한 문제가 예상되며, 성공적인 프로젝트 수행을 위해 대대적인 개선이 필요.</t>
  </si>
  <si>
    <t>1.0~3.0 매우낮음</t>
  </si>
  <si>
    <t>3.1~5.0 낮음</t>
  </si>
  <si>
    <t>5.1~7.0 보통</t>
  </si>
  <si>
    <t>7.1~8.5 높음</t>
  </si>
  <si>
    <t>8.6~10.0 매우 높음</t>
  </si>
  <si>
    <t>▣ 팀원의 이탈 가능성(퇴사, 병가 등)</t>
    <phoneticPr fontId="1" type="noConversion"/>
  </si>
  <si>
    <t>▣ 주요 인력에 대한 의존도와 대체 계획의 유무</t>
    <phoneticPr fontId="1" type="noConversion"/>
  </si>
  <si>
    <t>▣ 기존 팀 내 갈등 또는 새로운 팀원 간의 갈등 가능성</t>
    <phoneticPr fontId="1" type="noConversion"/>
  </si>
  <si>
    <t>사업 난이도 종합 평가</t>
    <phoneticPr fontId="1" type="noConversion"/>
  </si>
  <si>
    <t>각탭의 결과를 반영한것으로 수정하지 마세요</t>
    <phoneticPr fontId="1" type="noConversion"/>
  </si>
  <si>
    <t>프로젝트 관리 요소</t>
    <phoneticPr fontId="1" type="noConversion"/>
  </si>
  <si>
    <t>1.기술적 난이도</t>
    <phoneticPr fontId="1" type="noConversion"/>
  </si>
  <si>
    <t>각탭의 결과를 반영한것으로 수정하지 마세요</t>
    <phoneticPr fontId="1" type="noConversion"/>
  </si>
  <si>
    <t>기술 스택</t>
    <phoneticPr fontId="1" type="noConversion"/>
  </si>
  <si>
    <t>아키텍처</t>
    <phoneticPr fontId="1" type="noConversion"/>
  </si>
  <si>
    <t>보안</t>
    <phoneticPr fontId="1" type="noConversion"/>
  </si>
  <si>
    <t>시스템 통합</t>
    <phoneticPr fontId="1" type="noConversion"/>
  </si>
  <si>
    <t>배포 및 운영</t>
    <phoneticPr fontId="1" type="noConversion"/>
  </si>
  <si>
    <t>기술적 리스크</t>
    <phoneticPr fontId="1" type="noConversion"/>
  </si>
  <si>
    <t>2.요구사항 복잡성</t>
    <phoneticPr fontId="1" type="noConversion"/>
  </si>
  <si>
    <t>각탭의 결과를 반영한것으로 수정하지 마세요</t>
    <phoneticPr fontId="1" type="noConversion"/>
  </si>
  <si>
    <t>No</t>
    <phoneticPr fontId="1" type="noConversion"/>
  </si>
  <si>
    <t>점수(1-10)</t>
    <phoneticPr fontId="1" type="noConversion"/>
  </si>
  <si>
    <t>각탭의 결과를 반영한것으로 수정하지 마세요</t>
    <phoneticPr fontId="1" type="noConversion"/>
  </si>
  <si>
    <t>No</t>
    <phoneticPr fontId="1" type="noConversion"/>
  </si>
  <si>
    <t>4. 프로젝트 관리</t>
    <phoneticPr fontId="1" type="noConversion"/>
  </si>
  <si>
    <t>점수(1-10)</t>
    <phoneticPr fontId="1" type="noConversion"/>
  </si>
  <si>
    <t>5.외부 의존성</t>
    <phoneticPr fontId="1" type="noConversion"/>
  </si>
  <si>
    <t>No</t>
    <phoneticPr fontId="1" type="noConversion"/>
  </si>
  <si>
    <t>점수(1-10)</t>
    <phoneticPr fontId="1" type="noConversion"/>
  </si>
  <si>
    <t>RISK 낮음</t>
    <phoneticPr fontId="1" type="noConversion"/>
  </si>
  <si>
    <t>낮음</t>
    <phoneticPr fontId="1" type="noConversion"/>
  </si>
  <si>
    <t>중간</t>
    <phoneticPr fontId="1" type="noConversion"/>
  </si>
  <si>
    <t>높음</t>
    <phoneticPr fontId="1" type="noConversion"/>
  </si>
  <si>
    <t>매우높음</t>
    <phoneticPr fontId="1" type="noConversion"/>
  </si>
  <si>
    <t>종합 의견</t>
    <phoneticPr fontId="1" type="noConversion"/>
  </si>
  <si>
    <t>▣ 프로젝트에서 사용될 기술이나 프레임워크 신규 여부</t>
    <phoneticPr fontId="1" type="noConversion"/>
  </si>
  <si>
    <t>▣ 기존에 사용 중인 기술과 호환성 및 재사용 가능 여부</t>
    <phoneticPr fontId="1" type="noConversion"/>
  </si>
  <si>
    <t>▣ 학습 커브가 있는 새로운 기술에 대한 고려 필요 여부</t>
    <phoneticPr fontId="1" type="noConversion"/>
  </si>
  <si>
    <t>▣ 기술에 대한 표준화, 상세화, 레퍼런스 보유 여부</t>
    <phoneticPr fontId="1" type="noConversion"/>
  </si>
  <si>
    <t>▣ 프로젝트는 아키텍처의 복잡성(고가용성 고려, 대용량 처리, MSA 등 고려 여부)</t>
    <phoneticPr fontId="1" type="noConversion"/>
  </si>
  <si>
    <t>▣ 아키텍처 설계 및 구현의 잠재적인 리스크 여부</t>
    <phoneticPr fontId="1" type="noConversion"/>
  </si>
  <si>
    <t>▣ 분산 시스템의 설계 또는 클라우드 기반 환경의 구축 등 고려 요구가 있는지 여부</t>
    <phoneticPr fontId="1" type="noConversion"/>
  </si>
  <si>
    <t>▣ 시스템 간의 상호작용(인터페이스, API 통합)의 복잡성이 있는지 여부</t>
    <phoneticPr fontId="1" type="noConversion"/>
  </si>
  <si>
    <t>▣ 표준 데이터 모델을 사용해도 되는지, 복잡한 추가적 설계가 많은지 여부</t>
    <phoneticPr fontId="1" type="noConversion"/>
  </si>
  <si>
    <t>▣ 대규모 데이터 처리(예: 빅데이터, 실시간 처리)를 고려한 설계가 되어야 하는지 여부</t>
    <phoneticPr fontId="1" type="noConversion"/>
  </si>
  <si>
    <t>▣ 데이터의 정합성과 일관성, 개인정보보호를 위한 암호화 처리 필요 여부</t>
    <phoneticPr fontId="1" type="noConversion"/>
  </si>
  <si>
    <t>▣ 일반 보안 사항이 아닌 별도의 기술 접목이 필요한지 여부 (AD, SSO, 2단계 인증 등)</t>
    <phoneticPr fontId="1" type="noConversion"/>
  </si>
  <si>
    <t>▣ 보안 요구사항(예: 암호화, 인증, 권한 관리 등)의 복잡성, 추가 요구사항 여부</t>
    <phoneticPr fontId="1" type="noConversion"/>
  </si>
  <si>
    <t>▣ 데이터 및 시스템에 대한 보안성 검토 요구사항 여부(웹취약점, 시큐어코딩 등)</t>
    <phoneticPr fontId="1" type="noConversion"/>
  </si>
  <si>
    <t>▣ 초당 처리량(TPS), 응답 시간, 가용성 등 성능 요구사항 고려 필요 여부</t>
    <phoneticPr fontId="1" type="noConversion"/>
  </si>
  <si>
    <t>▣ 고가용성(HA) 및 확장성(Scalability)을 위한 설계 여부</t>
    <phoneticPr fontId="1" type="noConversion"/>
  </si>
  <si>
    <t>▣ 성능 테스트와 최적화에 대한 요구사항이 존재하고 대응할 수 있는 수준인지 여부</t>
    <phoneticPr fontId="1" type="noConversion"/>
  </si>
  <si>
    <t>▣ 시스템 통합(연계) 대상이 많은지 여부(15개 이상의 연계대상 유무)</t>
    <phoneticPr fontId="1" type="noConversion"/>
  </si>
  <si>
    <t>▣ 레거시 시스템과 업무절차의 연계가 필요한지 여부(프로세스, 태그매핑, SOP등)</t>
    <phoneticPr fontId="1" type="noConversion"/>
  </si>
  <si>
    <t>▣ 시스템 간의 데이터 변환이나 실시간 동기화등 데이터 처리 요건이 있는지 여부</t>
    <phoneticPr fontId="1" type="noConversion"/>
  </si>
  <si>
    <t>7. 개발 및 운영 환경</t>
    <phoneticPr fontId="1" type="noConversion"/>
  </si>
  <si>
    <t>▣ 개발시스템, 테스트시스템, 운영시스템의 구분이 명확하고 프로세스 준수 여부</t>
    <phoneticPr fontId="1" type="noConversion"/>
  </si>
  <si>
    <t>▣ 웹 호환성, 시스템 운영체제 호환성, 웹표준 등 다양한 환경을 지원하여야 하는지 여부</t>
    <phoneticPr fontId="1" type="noConversion"/>
  </si>
  <si>
    <t>▣ 운영 환경이 새로운 시스템 구축인지, 기존 시스템에 반영해야 하는지, 서비스의 위험성</t>
    <phoneticPr fontId="1" type="noConversion"/>
  </si>
  <si>
    <t>▣ 단위테스트, 통합테스트, 사용자 테스트, 성능 테스트 등 까다로운 테스트 절차 진행 여부</t>
    <phoneticPr fontId="1" type="noConversion"/>
  </si>
  <si>
    <t>▣ 품질보증 활동을 요구하고 난위도 높은 품질 요구사항이 있는가?(예외처리, 에러로그, 팝업)</t>
    <phoneticPr fontId="1" type="noConversion"/>
  </si>
  <si>
    <t>▣ 테스트 케이스가 복잡하고 다양하며, QA의 투입 필요성이 있는 프로젝트인지 여부</t>
    <phoneticPr fontId="1" type="noConversion"/>
  </si>
  <si>
    <t>▣ 배포 프로세스의 복잡성이 있는지 여부 (배포일정, 무중단, 서비스 중요도여부)</t>
    <phoneticPr fontId="1" type="noConversion"/>
  </si>
  <si>
    <t>▣ 시스템 사용자 수가 많아서 운영 지원이 매우 빠르게 요구되고 다양하고 많은지 여부</t>
    <phoneticPr fontId="1" type="noConversion"/>
  </si>
  <si>
    <t>▣ 모니터링 및 로깅 시스템의 구축이 필요 여부</t>
    <phoneticPr fontId="1" type="noConversion"/>
  </si>
  <si>
    <t>▣ 솔루션의 성숙도, 기술 성숙도를 고려하여 프로젝트의 잠재적 리스크 여부</t>
    <phoneticPr fontId="1" type="noConversion"/>
  </si>
  <si>
    <t>▣ 솔루션의 지원 범위가 매우 한정적인가, 추가 커스터마이징 및 R&amp;D 개발이 필요한지 여부</t>
    <phoneticPr fontId="1" type="noConversion"/>
  </si>
  <si>
    <t>▣ 기술 도메인에 따라 많은 영향을 줄 수 있는 사업인지 여부(도메인 이해도, 외부 기술 의존)</t>
    <phoneticPr fontId="1" type="noConversion"/>
  </si>
  <si>
    <t>▣ 기능 요구사항의 수와 다양성, 비기능 요구사항의 어려움이 많이 존재하는지 여부</t>
    <phoneticPr fontId="1" type="noConversion"/>
  </si>
  <si>
    <t>▣ 기능 및 범위가 명확하게 파악할 수 있는지 여부(RFP 유무, 불명확 정도, 잠재적 범위 고려)</t>
    <phoneticPr fontId="1" type="noConversion"/>
  </si>
  <si>
    <t>▣ 주요 기능 하위에 세분화된 기능들이 많이 존재하는 프로젝트 인가?(숨겨진 기능이 예상되는지)</t>
    <phoneticPr fontId="1" type="noConversion"/>
  </si>
  <si>
    <t>▣ 요구사항이 비교적 명확하게 정의되어 제시되었는지 여부</t>
    <phoneticPr fontId="1" type="noConversion"/>
  </si>
  <si>
    <t>▣ 시스템 통합, 마이그레이션, 테스트, 컨설팅 등 구축 범위가 2개 이상 영역에 포함되는지 여부</t>
    <phoneticPr fontId="1" type="noConversion"/>
  </si>
  <si>
    <t>▣ 체계적의 RFP가 구성되었거나, 사전에 Presale가 되어 RFP를 제시 하였는지 여부</t>
    <phoneticPr fontId="1" type="noConversion"/>
  </si>
  <si>
    <t>▣ 요구사항이 명확하지 않거나, 방향성이 수립되지 않을 만한 요구사항이 얼마나 많은지 여부</t>
    <phoneticPr fontId="1" type="noConversion"/>
  </si>
  <si>
    <t>▣ 사용자가 테스트 혹은 사용하면서 추가적인 요구사항이 발생할 수 있는 프로젝트 인지 여부</t>
    <phoneticPr fontId="1" type="noConversion"/>
  </si>
  <si>
    <t>▣ 예상되는 사용자 수가 많고, 조직이 광범위 한지 여부</t>
    <phoneticPr fontId="1" type="noConversion"/>
  </si>
  <si>
    <t>▣ 사용자 인터페이스(UI)와 사용자 경험(UX)에 대한 요구사항이 복잡한지 여부</t>
    <phoneticPr fontId="1" type="noConversion"/>
  </si>
  <si>
    <t>▣ 다수의 절차, 사용자 시나리오를 정의하거나 동적 절차, 다양한 기기를 사용에 지원 필요 여부</t>
    <phoneticPr fontId="1" type="noConversion"/>
  </si>
  <si>
    <t>▣ 데이터 처리 및 저장 요구사항이 복잡하고 다양한지 여부</t>
    <phoneticPr fontId="1" type="noConversion"/>
  </si>
  <si>
    <t>▣ 성능 요구사항이 존재하며, 그 수준이 높은지 여부 (Response Time, 부하테스트 고려 등)</t>
    <phoneticPr fontId="1" type="noConversion"/>
  </si>
  <si>
    <t>▣ 요구사항이 확장성을 고려해야 하는지 여부(멀티태넌시, 시스템 확장, 아키텍처 고려 등)</t>
    <phoneticPr fontId="1" type="noConversion"/>
  </si>
  <si>
    <t>▣ 보안 요구사항을 위하여 추가적인 기술 도입이나 개발이 필요한지 여부</t>
    <phoneticPr fontId="1" type="noConversion"/>
  </si>
  <si>
    <t>▣ 보안 요구사항이 매우 까다로운 사업이고 사업수행을 위한 보안 관리가 철저한지 여부(프로젝트 환경구성, 자료반출 어려움, 출입관리 등)</t>
    <phoneticPr fontId="1" type="noConversion"/>
  </si>
  <si>
    <t>8. 시스템 연계</t>
    <phoneticPr fontId="1" type="noConversion"/>
  </si>
  <si>
    <t>▣ 시스템 연계 요구사항에 대응하기 위한 기술이 엣지(센서, 게이트웨이)단을 고려해야 하고 프로토콜이나 연계 방안이 복잡한지 여부</t>
    <phoneticPr fontId="1" type="noConversion"/>
  </si>
  <si>
    <t>▣ 외부 시스템의 연계 시 대응할 수 있는 지원 조직의 유무, 연계를 위해 분석, 설계 및 개발이 많이 소요될 가능성이 있는지 여부</t>
    <phoneticPr fontId="1" type="noConversion"/>
  </si>
  <si>
    <t>5. 데이터 및 비즈니스 로직</t>
    <phoneticPr fontId="1" type="noConversion"/>
  </si>
  <si>
    <t>개발 및 운영 환경</t>
    <phoneticPr fontId="1" type="noConversion"/>
  </si>
  <si>
    <t>▣ 기존 데이터 마이그레이션 여부(마이그레이션 복잡성, 첨부파일 포함여부)</t>
    <phoneticPr fontId="1" type="noConversion"/>
  </si>
  <si>
    <t>3. 데이터 구축</t>
    <phoneticPr fontId="1" type="noConversion"/>
  </si>
  <si>
    <t>데이터 구축</t>
    <phoneticPr fontId="1" type="noConversion"/>
  </si>
  <si>
    <t>보안 및 규정 준수</t>
    <phoneticPr fontId="1" type="noConversion"/>
  </si>
  <si>
    <t>데이터 및 비즈니스 로직</t>
  </si>
  <si>
    <t>데이터 및 비즈니스 로직</t>
    <phoneticPr fontId="1" type="noConversion"/>
  </si>
  <si>
    <t>3. 이해관계자 복잡성</t>
    <phoneticPr fontId="1" type="noConversion"/>
  </si>
  <si>
    <t>▣ 요구사항 도출 및 정의를 위한 다양한 조직, 사용자, 이해관계자 유무</t>
    <phoneticPr fontId="1" type="noConversion"/>
  </si>
  <si>
    <t>▣ 시스템이 복잡한 로직을 포함하여 설계되어야 하는지 여부(계산 로직 복잡, 복합 알고리즘, 업무규칙수의 개수, 예외 처리, 조건부 분기)</t>
    <phoneticPr fontId="1" type="noConversion"/>
  </si>
  <si>
    <t>▣ 데이터 수집, 처리, 저장, 제공 등 데이터와 로직의 구현이 어려운지 여부(데이터 변환, 실시간 처리, 배치 처리, 데이터 검증 규칙)</t>
    <phoneticPr fontId="1" type="noConversion"/>
  </si>
  <si>
    <t xml:space="preserve">▣ 사업을 추진하는 고객 조직의 유무, 주사업자 및 사업관리에 따른 대응 어려움, 대규모 프로젝트 참여 여부 </t>
    <phoneticPr fontId="1" type="noConversion"/>
  </si>
  <si>
    <t>이해관계자 복잡성</t>
  </si>
  <si>
    <t>이해관계자 복잡성</t>
    <phoneticPr fontId="1" type="noConversion"/>
  </si>
  <si>
    <t>시스템 연계</t>
  </si>
  <si>
    <t>시스템 연계</t>
    <phoneticPr fontId="1" type="noConversion"/>
  </si>
  <si>
    <t>9. 긴급도</t>
    <phoneticPr fontId="1" type="noConversion"/>
  </si>
  <si>
    <t>긴급도</t>
  </si>
  <si>
    <t>긴급도</t>
    <phoneticPr fontId="1" type="noConversion"/>
  </si>
  <si>
    <t>▣ 요구사항 중 빠르게 사전 구축 되거나 빠르게 수행되어야 프로젝트 진행이 수월할 수 있는 요구사항이 있는지 여부</t>
    <phoneticPr fontId="1" type="noConversion"/>
  </si>
  <si>
    <t>▣ 프로젝트의 구축 일정이 매우 부족하거나 긴급도를 요구하고 있는지 여부</t>
    <phoneticPr fontId="1" type="noConversion"/>
  </si>
  <si>
    <t>▣ 애자일 개발 방법론을 요구하거나 잦은 오픈일정을 요구하여 다수의 시스템 반영과 테스트가 반복될 수 있는지 여부</t>
    <phoneticPr fontId="1" type="noConversion"/>
  </si>
  <si>
    <t>▣ 프로젝트 수행 일정이 충분히 확보되었는지 여부</t>
    <phoneticPr fontId="1" type="noConversion"/>
  </si>
  <si>
    <t>▣ 주요 단계별 일정과 목표가 충분히 설정될 수 있는지 여부</t>
    <phoneticPr fontId="1" type="noConversion"/>
  </si>
  <si>
    <t>▣ 일정이 장기간으로 진행되어 명확하지 않은지 여부</t>
    <phoneticPr fontId="1" type="noConversion"/>
  </si>
  <si>
    <t>▣ 빠른 일정으로 반드시 수행해야 하는지 여부</t>
    <phoneticPr fontId="1" type="noConversion"/>
  </si>
  <si>
    <t>▣ 가용한 인력의 투입이 확정되어 있는지 여부</t>
    <phoneticPr fontId="1" type="noConversion"/>
  </si>
  <si>
    <t>▣ 초기 PM이 확정되어 사업을 설계하고 진행하였는지 여부</t>
    <phoneticPr fontId="1" type="noConversion"/>
  </si>
  <si>
    <t>▣ 외부 업체 및 외주의 사용으로 인력에 대한 불확실성이 높은지 여부</t>
    <phoneticPr fontId="1" type="noConversion"/>
  </si>
  <si>
    <t>▣ 프로젝트 진행에 따른 예상 리스크가 식별될 수 있는지 여부</t>
    <phoneticPr fontId="1" type="noConversion"/>
  </si>
  <si>
    <t>▣ 리스크에 대한 대비책이 마련되어 있는지 여부</t>
    <phoneticPr fontId="1" type="noConversion"/>
  </si>
  <si>
    <t>▣ 기술적 불확실성이 높은 요구 기능이 있는지 여부</t>
    <phoneticPr fontId="1" type="noConversion"/>
  </si>
  <si>
    <t>▣ 프로젝트 범위의 불명확성, 변경 가능성이 높은지 여부</t>
    <phoneticPr fontId="1" type="noConversion"/>
  </si>
  <si>
    <t>▣ 이해관계자가 식별되어 있거나, 수행사와의 교류가 높은지 여부</t>
    <phoneticPr fontId="1" type="noConversion"/>
  </si>
  <si>
    <t>▣ 이해관계자와 커뮤니케이션이 비교적 수월한지 여부</t>
    <phoneticPr fontId="1" type="noConversion"/>
  </si>
  <si>
    <t>▣ 빠른 의사결정을 진행하기 위한 조직(TFT), 담당자가 있는지 여부</t>
    <phoneticPr fontId="1" type="noConversion"/>
  </si>
  <si>
    <t>▣ 고객의 기대치에 따라, 기술적/영업적 대응이 가능한지 여부</t>
    <phoneticPr fontId="1" type="noConversion"/>
  </si>
  <si>
    <t>▣ 프로젝트 품질 요구사항이 명확한지 여부(산출물 등)</t>
    <phoneticPr fontId="1" type="noConversion"/>
  </si>
  <si>
    <t>▣ 고객의 테스트 환경 구성, 테스트 검증을 위한 절차가 명확하고 현실적으로 대응할 수 있는지 여부</t>
    <phoneticPr fontId="1" type="noConversion"/>
  </si>
  <si>
    <t>▣ 감리(내부/외부 감리), 감사, 테스트 조직 등 품질을 검토하는 조직이 존재하여 심도있는 대응이 필요한지 여부</t>
    <phoneticPr fontId="1" type="noConversion"/>
  </si>
  <si>
    <t>▣ 프로젝트 내부, 수행사 내부 조직간 서로 협업이 많이 이루어져야 하는지 여부</t>
    <phoneticPr fontId="1" type="noConversion"/>
  </si>
  <si>
    <t>▣ 프로젝트가 외부 시스템, 공급업체, 외주 인력 등 의존성이 높은지 여부</t>
    <phoneticPr fontId="1" type="noConversion"/>
  </si>
  <si>
    <t>▣ 프로젝트로 인해 고객사의 조직, 업무체계, 절차 등 신규 혹은 변경이 요구되는지 여부</t>
    <phoneticPr fontId="1" type="noConversion"/>
  </si>
  <si>
    <t>▣ 시스템 혹은 기능, 업무 절차 등이 지속적으로 현행화되거나 관리되어야 하는지 여부</t>
    <phoneticPr fontId="1" type="noConversion"/>
  </si>
  <si>
    <t>▣ 법적/규제 요건: 프로젝트에 적용되는 규제나 법적 요구사항에 따라 관리의 복잡성이 있는지 여부</t>
    <phoneticPr fontId="1" type="noConversion"/>
  </si>
  <si>
    <t>▣ 표준 준수, 보안 준수에 따른 관리요소가 많이 존재 여부</t>
    <phoneticPr fontId="1" type="noConversion"/>
  </si>
  <si>
    <t>▣ 사업관리가 필요하며, 프로젝트 규모와 관리적 요소가 많은 사업인지 여부</t>
    <phoneticPr fontId="1" type="noConversion"/>
  </si>
  <si>
    <t>7. 변화 관리</t>
    <phoneticPr fontId="1" type="noConversion"/>
  </si>
  <si>
    <t>8. 기타 요소</t>
    <phoneticPr fontId="1" type="noConversion"/>
  </si>
  <si>
    <t>기타 요소</t>
  </si>
  <si>
    <t>기타 요소</t>
    <phoneticPr fontId="1" type="noConversion"/>
  </si>
  <si>
    <t>변화 관리</t>
  </si>
  <si>
    <t>변화 관리</t>
    <phoneticPr fontId="1" type="noConversion"/>
  </si>
  <si>
    <t>1. 사업 구조의 위험성</t>
    <phoneticPr fontId="1" type="noConversion"/>
  </si>
  <si>
    <t>▣ 타 기업이 주사업자로 효과적인 수행이 가능한지 여부, 위험도가 높은지 여부</t>
    <phoneticPr fontId="1" type="noConversion"/>
  </si>
  <si>
    <t>▣ 컨소시엄의 복잡성으로 의사소통의 어려움, 협업의 복잡성, 리스크 가능성이 있는지 여부</t>
    <phoneticPr fontId="1" type="noConversion"/>
  </si>
  <si>
    <t>▣ 단일 구조로 수행하지만 협력업체의 필요성 혹은 기술적 리스크가 존재하는지 여부</t>
    <phoneticPr fontId="1" type="noConversion"/>
  </si>
  <si>
    <t>▣ 대규모 사업으로 일부 영역을 담당하지만 다양한 관리 요소 및 제약, 커뮤니케이션 복잡성 여부</t>
    <phoneticPr fontId="1" type="noConversion"/>
  </si>
  <si>
    <t xml:space="preserve">2. 도메인 지식 </t>
    <phoneticPr fontId="1" type="noConversion"/>
  </si>
  <si>
    <t>▣ 외부 도메인 지식과 기술을 적용하여 신규 시스템을 구축하는지 여부</t>
    <phoneticPr fontId="1" type="noConversion"/>
  </si>
  <si>
    <t>▣ 경험하지 못한 새로운 영역의 전문성을 가진 업체의 데이터와 기술을 적용 하는지 여부</t>
    <phoneticPr fontId="1" type="noConversion"/>
  </si>
  <si>
    <t>▣ 타 솔루션과 통합적인 비즈니스 모델로 시스템을 구축하는지 여부(Embeded, 모듈화 등)</t>
    <phoneticPr fontId="1" type="noConversion"/>
  </si>
  <si>
    <t>▣ 외부 협력업체의 기업 안정성에 리스크 여부</t>
    <phoneticPr fontId="1" type="noConversion"/>
  </si>
  <si>
    <t>▣ 명확한 업무 범위 구분과 R&amp;R 수립 가능 여부</t>
    <phoneticPr fontId="1" type="noConversion"/>
  </si>
  <si>
    <t>▣ 외부 공급자의 협업 경험이 많은지 여부</t>
    <phoneticPr fontId="1" type="noConversion"/>
  </si>
  <si>
    <t>▣ 기술 통합의 복잡성이 높으며, 다양한 요구사항 커스터마이징 필요 여부</t>
    <phoneticPr fontId="1" type="noConversion"/>
  </si>
  <si>
    <t>▣ 사전 테스트 또는 협업을 통한 기술적 접근이 용이한지 여부</t>
    <phoneticPr fontId="1" type="noConversion"/>
  </si>
  <si>
    <t>▣ 통합에 따른 아키텍처 변경, 추가적인 고려사항, 이슈가 많이 존재하는지 여부</t>
    <phoneticPr fontId="1" type="noConversion"/>
  </si>
  <si>
    <t>5. 유지보수 용이성</t>
    <phoneticPr fontId="1" type="noConversion"/>
  </si>
  <si>
    <t>▣ 외부에 의존하지 않고 유지보수를 수행할 수 있는지 여부</t>
    <phoneticPr fontId="1" type="noConversion"/>
  </si>
  <si>
    <t>▣ 유지보수 시 연계 시스템에 따른 이슈 발생 혹은 잠재적 리스크 발생 가능성 여부</t>
    <phoneticPr fontId="1" type="noConversion"/>
  </si>
  <si>
    <t>▣ 외부 인력을 투입하여 상주 유지보수 필요 여부</t>
    <phoneticPr fontId="1" type="noConversion"/>
  </si>
  <si>
    <t>6. 사업 비용 및 검수</t>
    <phoneticPr fontId="1" type="noConversion"/>
  </si>
  <si>
    <t>▣ 프로젝트에 따른 추가 비용 발생 요소가 있는지 여부(사무실 임대, 장비 렌탈, 워크샵, 기타 비용)</t>
    <phoneticPr fontId="1" type="noConversion"/>
  </si>
  <si>
    <t>▣ 프로젝트 검수를 방해할 수 있는 외부 요인이 있는지 여부(검수 절차, 아웃소싱 조직 여부, 협력사 등)</t>
    <phoneticPr fontId="1" type="noConversion"/>
  </si>
  <si>
    <t>사업 구조의 위험성</t>
    <phoneticPr fontId="1" type="noConversion"/>
  </si>
  <si>
    <t>외부 공급자의 신뢰도</t>
    <phoneticPr fontId="1" type="noConversion"/>
  </si>
  <si>
    <t>기술적 통합 난이도</t>
    <phoneticPr fontId="1" type="noConversion"/>
  </si>
  <si>
    <t>유지보수 용이성</t>
    <phoneticPr fontId="1" type="noConversion"/>
  </si>
  <si>
    <t>사업 비용 및 검수</t>
    <phoneticPr fontId="1" type="noConversion"/>
  </si>
  <si>
    <t>▣ 프로젝트 팀 구성을 위한 가용인력의 유무</t>
    <phoneticPr fontId="1" type="noConversion"/>
  </si>
  <si>
    <t xml:space="preserve">▣ 구성된 프로젝트 팀의 업무 중복성 </t>
    <phoneticPr fontId="1" type="noConversion"/>
  </si>
  <si>
    <t>▣ 프로젝트 기술 리더의 유무, 대체 가능 인력 유무</t>
    <phoneticPr fontId="1" type="noConversion"/>
  </si>
  <si>
    <t>5. PM의 경험</t>
    <phoneticPr fontId="1" type="noConversion"/>
  </si>
  <si>
    <t>▣ 프로젝트 고객 대응 경험</t>
    <phoneticPr fontId="1" type="noConversion"/>
  </si>
  <si>
    <t>6. 외부 인력 리스크</t>
    <phoneticPr fontId="1" type="noConversion"/>
  </si>
  <si>
    <t>▣ 외주 인력이나 컨설팅 업체의 의존성이 높은지 여부</t>
    <phoneticPr fontId="1" type="noConversion"/>
  </si>
  <si>
    <t>7. 리스크 요소 평가</t>
    <phoneticPr fontId="1" type="noConversion"/>
  </si>
  <si>
    <t>PM의 경험</t>
    <phoneticPr fontId="1" type="noConversion"/>
  </si>
  <si>
    <t>외부 인력 리스크</t>
    <phoneticPr fontId="1" type="noConversion"/>
  </si>
  <si>
    <t xml:space="preserve">리스크 요소 </t>
    <phoneticPr fontId="1" type="noConversion"/>
  </si>
  <si>
    <t>3.프로젝트 팀 구성</t>
    <phoneticPr fontId="1" type="noConversion"/>
  </si>
  <si>
    <t>기술 숙련도</t>
  </si>
  <si>
    <t>도메인 지식</t>
  </si>
  <si>
    <t>경험</t>
  </si>
  <si>
    <t>인력 가용성</t>
  </si>
  <si>
    <t>PM의 경험</t>
  </si>
  <si>
    <t>외부 인력 리스크</t>
  </si>
  <si>
    <t xml:space="preserve">리스크 요소 </t>
  </si>
  <si>
    <t>일정 관리</t>
  </si>
  <si>
    <t>리소스 관리</t>
  </si>
  <si>
    <t>리스크 관리</t>
  </si>
  <si>
    <t>이해관계자 관리</t>
  </si>
  <si>
    <t>품질 관리</t>
  </si>
  <si>
    <t>의존성관리</t>
  </si>
  <si>
    <t>사업 구조의 위험성</t>
  </si>
  <si>
    <t>외부 공급자의 신뢰도</t>
  </si>
  <si>
    <t>기술적 통합 난이도</t>
  </si>
  <si>
    <t>유지보수 용이성</t>
  </si>
  <si>
    <t>사업 비용 및 검수</t>
  </si>
  <si>
    <t>▣ 프로젝트 투입 공수가 충분히 확보되고 진행에 이슈가 없는지 여부</t>
    <phoneticPr fontId="1" type="noConversion"/>
  </si>
  <si>
    <t>UCMDB</t>
    <phoneticPr fontId="1" type="noConversion"/>
  </si>
  <si>
    <t>취약점</t>
    <phoneticPr fontId="1" type="noConversion"/>
  </si>
  <si>
    <t xml:space="preserve"> </t>
    <phoneticPr fontId="1" type="noConversion"/>
  </si>
  <si>
    <t>프로젝트 명 : 현대제철 AI-Safeguard 통합관제 SW 구축 추가 개발</t>
    <phoneticPr fontId="1" type="noConversion"/>
  </si>
  <si>
    <t>내용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</si>
</sst>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66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9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9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176" fontId="2" fillId="0" borderId="1" xfId="0" applyNumberFormat="1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 wrapText="1"/>
    </xf>
    <xf numFmtId="9" fontId="7" fillId="6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2"/>
    </xf>
    <xf numFmtId="2" fontId="2" fillId="7" borderId="1" xfId="0" applyNumberFormat="1" applyFont="1" applyFill="1" applyBorder="1" applyAlignment="1">
      <alignment horizontal="center" vertical="center" wrapText="1"/>
    </xf>
    <xf numFmtId="176" fontId="2" fillId="7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6" fontId="2" fillId="0" borderId="8" xfId="0" applyNumberFormat="1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9" fontId="3" fillId="3" borderId="10" xfId="0" applyNumberFormat="1" applyFont="1" applyFill="1" applyBorder="1" applyAlignment="1">
      <alignment horizontal="center" vertical="center" wrapText="1"/>
    </xf>
    <xf numFmtId="176" fontId="3" fillId="3" borderId="11" xfId="0" applyNumberFormat="1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2:J76"/>
  <sheetViews>
    <sheetView tabSelected="1" topLeftCell="A44" zoomScale="85" zoomScaleNormal="85" workbookViewId="0">
      <selection activeCell="B16" sqref="B16"/>
    </sheetView>
  </sheetViews>
  <sheetFormatPr defaultColWidth="9" defaultRowHeight="15.6" x14ac:dyDescent="0.4"/>
  <cols>
    <col min="1" max="1" width="11.59765625" style="30" customWidth="1"/>
    <col min="2" max="2" width="3.69921875" style="30" bestFit="1" customWidth="1"/>
    <col min="3" max="3" width="24.296875" style="29" customWidth="1"/>
    <col min="4" max="6" width="11.296875" style="29" customWidth="1"/>
    <col min="7" max="7" width="6.09765625" style="29" customWidth="1"/>
    <col min="8" max="8" width="6.69921875" style="29" customWidth="1"/>
    <col min="9" max="9" width="16.59765625" style="29" customWidth="1"/>
    <col min="10" max="10" width="29" style="29" customWidth="1"/>
    <col min="11" max="16384" width="9" style="29"/>
  </cols>
  <sheetData>
    <row r="2" spans="2:10" ht="19.2" x14ac:dyDescent="0.4">
      <c r="B2" s="37" t="s">
        <v>314</v>
      </c>
    </row>
    <row r="3" spans="2:10" ht="19.2" x14ac:dyDescent="0.4">
      <c r="B3" s="37"/>
    </row>
    <row r="4" spans="2:10" ht="21" x14ac:dyDescent="0.4">
      <c r="B4" s="17" t="s">
        <v>119</v>
      </c>
    </row>
    <row r="5" spans="2:10" ht="21.6" thickBot="1" x14ac:dyDescent="0.45">
      <c r="B5" s="17"/>
      <c r="F5" s="38" t="s">
        <v>120</v>
      </c>
    </row>
    <row r="6" spans="2:10" ht="19.2" x14ac:dyDescent="0.4">
      <c r="B6" s="39" t="s">
        <v>30</v>
      </c>
      <c r="C6" s="40" t="s">
        <v>0</v>
      </c>
      <c r="D6" s="40" t="s">
        <v>95</v>
      </c>
      <c r="E6" s="40" t="s">
        <v>1</v>
      </c>
      <c r="F6" s="41" t="s">
        <v>2</v>
      </c>
      <c r="I6" s="61" t="s">
        <v>7</v>
      </c>
      <c r="J6" s="61"/>
    </row>
    <row r="7" spans="2:10" x14ac:dyDescent="0.4">
      <c r="B7" s="42">
        <v>1</v>
      </c>
      <c r="C7" s="43" t="s">
        <v>3</v>
      </c>
      <c r="D7" s="35">
        <f>F30</f>
        <v>3.1999999999999993</v>
      </c>
      <c r="E7" s="2">
        <v>0.3</v>
      </c>
      <c r="F7" s="44">
        <f>D7*E7</f>
        <v>0.95999999999999974</v>
      </c>
      <c r="I7" s="54">
        <v>1</v>
      </c>
      <c r="J7" s="55" t="s">
        <v>141</v>
      </c>
    </row>
    <row r="8" spans="2:10" x14ac:dyDescent="0.4">
      <c r="B8" s="42">
        <v>2</v>
      </c>
      <c r="C8" s="43" t="s">
        <v>4</v>
      </c>
      <c r="D8" s="35">
        <f>F43</f>
        <v>3.1</v>
      </c>
      <c r="E8" s="2">
        <v>0.25</v>
      </c>
      <c r="F8" s="44">
        <f t="shared" ref="F8:F11" si="0">D8*E8</f>
        <v>0.77500000000000002</v>
      </c>
      <c r="I8" s="54">
        <v>3</v>
      </c>
      <c r="J8" s="56" t="s">
        <v>142</v>
      </c>
    </row>
    <row r="9" spans="2:10" x14ac:dyDescent="0.4">
      <c r="B9" s="42">
        <v>3</v>
      </c>
      <c r="C9" s="43" t="s">
        <v>44</v>
      </c>
      <c r="D9" s="36">
        <f>F54</f>
        <v>3.5500000000000003</v>
      </c>
      <c r="E9" s="2">
        <v>0.2</v>
      </c>
      <c r="F9" s="44">
        <f t="shared" si="0"/>
        <v>0.71000000000000008</v>
      </c>
      <c r="I9" s="54">
        <v>4</v>
      </c>
      <c r="J9" s="57" t="s">
        <v>143</v>
      </c>
    </row>
    <row r="10" spans="2:10" x14ac:dyDescent="0.4">
      <c r="B10" s="42">
        <v>4</v>
      </c>
      <c r="C10" s="43" t="s">
        <v>121</v>
      </c>
      <c r="D10" s="36">
        <f>F66</f>
        <v>3.1500000000000008</v>
      </c>
      <c r="E10" s="2">
        <v>0.15</v>
      </c>
      <c r="F10" s="44">
        <f t="shared" si="0"/>
        <v>0.47250000000000009</v>
      </c>
      <c r="I10" s="54">
        <v>6</v>
      </c>
      <c r="J10" s="58" t="s">
        <v>144</v>
      </c>
    </row>
    <row r="11" spans="2:10" x14ac:dyDescent="0.4">
      <c r="B11" s="42">
        <v>5</v>
      </c>
      <c r="C11" s="43" t="s">
        <v>5</v>
      </c>
      <c r="D11" s="36">
        <f>F76</f>
        <v>3.1999999999999997</v>
      </c>
      <c r="E11" s="2">
        <v>0.1</v>
      </c>
      <c r="F11" s="44">
        <f t="shared" si="0"/>
        <v>0.32</v>
      </c>
      <c r="I11" s="54">
        <v>8</v>
      </c>
      <c r="J11" s="59" t="s">
        <v>145</v>
      </c>
    </row>
    <row r="12" spans="2:10" ht="16.2" thickBot="1" x14ac:dyDescent="0.45">
      <c r="B12" s="62" t="s">
        <v>6</v>
      </c>
      <c r="C12" s="63"/>
      <c r="D12" s="45">
        <f>SUM(D7:D11)</f>
        <v>16.2</v>
      </c>
      <c r="E12" s="46">
        <f>SUM(E7:E11)</f>
        <v>1</v>
      </c>
      <c r="F12" s="47">
        <f>SUM(F7:F11)</f>
        <v>3.2374999999999998</v>
      </c>
    </row>
    <row r="13" spans="2:10" ht="16.2" thickBot="1" x14ac:dyDescent="0.45">
      <c r="C13" s="30"/>
      <c r="D13" s="30"/>
      <c r="E13" s="30"/>
      <c r="F13" s="30"/>
    </row>
    <row r="14" spans="2:10" x14ac:dyDescent="0.4">
      <c r="B14" s="64" t="s">
        <v>146</v>
      </c>
      <c r="C14" s="65"/>
      <c r="D14" s="65"/>
      <c r="E14" s="65"/>
      <c r="F14" s="66"/>
    </row>
    <row r="15" spans="2:10" ht="151.19999999999999" customHeight="1" thickBot="1" x14ac:dyDescent="0.45">
      <c r="B15" s="67" t="s">
        <v>315</v>
      </c>
      <c r="C15" s="68"/>
      <c r="D15" s="68"/>
      <c r="E15" s="68"/>
      <c r="F15" s="69"/>
    </row>
    <row r="16" spans="2:10" x14ac:dyDescent="0.4">
      <c r="C16" s="30"/>
      <c r="D16" s="30"/>
      <c r="E16" s="30"/>
      <c r="F16" s="30"/>
    </row>
    <row r="17" spans="1:6" s="49" customFormat="1" x14ac:dyDescent="0.4">
      <c r="A17" s="48"/>
      <c r="B17" s="48"/>
    </row>
    <row r="18" spans="1:6" x14ac:dyDescent="0.4">
      <c r="B18" s="29" t="s">
        <v>122</v>
      </c>
      <c r="F18" s="38" t="s">
        <v>123</v>
      </c>
    </row>
    <row r="19" spans="1:6" x14ac:dyDescent="0.4">
      <c r="B19" s="6" t="s">
        <v>30</v>
      </c>
      <c r="C19" s="6" t="s">
        <v>0</v>
      </c>
      <c r="D19" s="6" t="s">
        <v>95</v>
      </c>
      <c r="E19" s="6" t="s">
        <v>1</v>
      </c>
      <c r="F19" s="6" t="s">
        <v>2</v>
      </c>
    </row>
    <row r="20" spans="1:6" x14ac:dyDescent="0.4">
      <c r="B20" s="32">
        <v>1</v>
      </c>
      <c r="C20" s="33" t="s">
        <v>124</v>
      </c>
      <c r="D20" s="52">
        <f>'1.기술적난이도'!C4</f>
        <v>2</v>
      </c>
      <c r="E20" s="2">
        <v>0.1</v>
      </c>
      <c r="F20" s="11">
        <f>D20*E20</f>
        <v>0.2</v>
      </c>
    </row>
    <row r="21" spans="1:6" x14ac:dyDescent="0.4">
      <c r="B21" s="32">
        <v>2</v>
      </c>
      <c r="C21" s="33" t="s">
        <v>125</v>
      </c>
      <c r="D21" s="52">
        <f>'1.기술적난이도'!C5</f>
        <v>2</v>
      </c>
      <c r="E21" s="2">
        <v>0.1</v>
      </c>
      <c r="F21" s="11">
        <f t="shared" ref="F21:F29" si="1">D21*E21</f>
        <v>0.2</v>
      </c>
    </row>
    <row r="22" spans="1:6" x14ac:dyDescent="0.4">
      <c r="B22" s="32">
        <v>3</v>
      </c>
      <c r="C22" s="33" t="s">
        <v>22</v>
      </c>
      <c r="D22" s="52">
        <f>'1.기술적난이도'!C6</f>
        <v>4</v>
      </c>
      <c r="E22" s="2">
        <v>0.1</v>
      </c>
      <c r="F22" s="11">
        <f t="shared" si="1"/>
        <v>0.4</v>
      </c>
    </row>
    <row r="23" spans="1:6" x14ac:dyDescent="0.4">
      <c r="B23" s="32">
        <v>4</v>
      </c>
      <c r="C23" s="33" t="s">
        <v>126</v>
      </c>
      <c r="D23" s="52">
        <f>'1.기술적난이도'!C7</f>
        <v>3</v>
      </c>
      <c r="E23" s="2">
        <v>0.1</v>
      </c>
      <c r="F23" s="11">
        <f t="shared" si="1"/>
        <v>0.30000000000000004</v>
      </c>
    </row>
    <row r="24" spans="1:6" x14ac:dyDescent="0.4">
      <c r="B24" s="32">
        <v>5</v>
      </c>
      <c r="C24" s="33" t="s">
        <v>24</v>
      </c>
      <c r="D24" s="52">
        <f>'1.기술적난이도'!C8</f>
        <v>5</v>
      </c>
      <c r="E24" s="2">
        <v>0.1</v>
      </c>
      <c r="F24" s="11">
        <f t="shared" si="1"/>
        <v>0.5</v>
      </c>
    </row>
    <row r="25" spans="1:6" x14ac:dyDescent="0.4">
      <c r="B25" s="32">
        <v>6</v>
      </c>
      <c r="C25" s="33" t="s">
        <v>127</v>
      </c>
      <c r="D25" s="52">
        <f>'1.기술적난이도'!C9</f>
        <v>2</v>
      </c>
      <c r="E25" s="2">
        <v>0.1</v>
      </c>
      <c r="F25" s="11">
        <f t="shared" si="1"/>
        <v>0.2</v>
      </c>
    </row>
    <row r="26" spans="1:6" x14ac:dyDescent="0.4">
      <c r="B26" s="32">
        <v>7</v>
      </c>
      <c r="C26" s="33" t="s">
        <v>200</v>
      </c>
      <c r="D26" s="52">
        <f>'1.기술적난이도'!C10</f>
        <v>5</v>
      </c>
      <c r="E26" s="2">
        <v>0.1</v>
      </c>
      <c r="F26" s="11">
        <f t="shared" si="1"/>
        <v>0.5</v>
      </c>
    </row>
    <row r="27" spans="1:6" x14ac:dyDescent="0.4">
      <c r="B27" s="32">
        <v>8</v>
      </c>
      <c r="C27" s="33" t="s">
        <v>27</v>
      </c>
      <c r="D27" s="52">
        <f>'1.기술적난이도'!C11</f>
        <v>3</v>
      </c>
      <c r="E27" s="2">
        <v>0.1</v>
      </c>
      <c r="F27" s="11">
        <f t="shared" si="1"/>
        <v>0.30000000000000004</v>
      </c>
    </row>
    <row r="28" spans="1:6" x14ac:dyDescent="0.4">
      <c r="B28" s="32">
        <v>9</v>
      </c>
      <c r="C28" s="33" t="s">
        <v>128</v>
      </c>
      <c r="D28" s="52">
        <f>'1.기술적난이도'!C12</f>
        <v>3</v>
      </c>
      <c r="E28" s="2">
        <v>0.1</v>
      </c>
      <c r="F28" s="11">
        <f t="shared" si="1"/>
        <v>0.30000000000000004</v>
      </c>
    </row>
    <row r="29" spans="1:6" x14ac:dyDescent="0.4">
      <c r="B29" s="32">
        <v>10</v>
      </c>
      <c r="C29" s="33" t="s">
        <v>129</v>
      </c>
      <c r="D29" s="52">
        <f>'1.기술적난이도'!C13</f>
        <v>3</v>
      </c>
      <c r="E29" s="2">
        <v>0.1</v>
      </c>
      <c r="F29" s="11">
        <f t="shared" si="1"/>
        <v>0.30000000000000004</v>
      </c>
    </row>
    <row r="30" spans="1:6" x14ac:dyDescent="0.4">
      <c r="B30" s="60" t="s">
        <v>6</v>
      </c>
      <c r="C30" s="60"/>
      <c r="D30" s="3">
        <f>SUM(D20:D29)</f>
        <v>32</v>
      </c>
      <c r="E30" s="9">
        <f>SUM(E20:E29)</f>
        <v>0.99999999999999989</v>
      </c>
      <c r="F30" s="53">
        <f>SUM(F20:F29)</f>
        <v>3.1999999999999993</v>
      </c>
    </row>
    <row r="32" spans="1:6" x14ac:dyDescent="0.4">
      <c r="B32" s="31" t="s">
        <v>130</v>
      </c>
      <c r="F32" s="38" t="s">
        <v>131</v>
      </c>
    </row>
    <row r="33" spans="2:6" x14ac:dyDescent="0.4">
      <c r="B33" s="6" t="s">
        <v>132</v>
      </c>
      <c r="C33" s="6" t="s">
        <v>0</v>
      </c>
      <c r="D33" s="6" t="s">
        <v>133</v>
      </c>
      <c r="E33" s="6" t="s">
        <v>1</v>
      </c>
      <c r="F33" s="6" t="s">
        <v>2</v>
      </c>
    </row>
    <row r="34" spans="2:6" x14ac:dyDescent="0.4">
      <c r="B34" s="32">
        <v>1</v>
      </c>
      <c r="C34" s="33" t="s">
        <v>36</v>
      </c>
      <c r="D34" s="52">
        <f>'2.요구사항복잡성'!C4</f>
        <v>3</v>
      </c>
      <c r="E34" s="2">
        <v>0.15</v>
      </c>
      <c r="F34" s="11">
        <f>D34*E34</f>
        <v>0.44999999999999996</v>
      </c>
    </row>
    <row r="35" spans="2:6" x14ac:dyDescent="0.4">
      <c r="B35" s="32">
        <v>2</v>
      </c>
      <c r="C35" s="33" t="s">
        <v>37</v>
      </c>
      <c r="D35" s="52">
        <f>'2.요구사항복잡성'!C5</f>
        <v>3</v>
      </c>
      <c r="E35" s="2">
        <v>0.15</v>
      </c>
      <c r="F35" s="11">
        <f t="shared" ref="F35:F42" si="2">D35*E35</f>
        <v>0.44999999999999996</v>
      </c>
    </row>
    <row r="36" spans="2:6" x14ac:dyDescent="0.4">
      <c r="B36" s="32">
        <v>3</v>
      </c>
      <c r="C36" s="33" t="s">
        <v>212</v>
      </c>
      <c r="D36" s="52">
        <f>'2.요구사항복잡성'!C6</f>
        <v>3</v>
      </c>
      <c r="E36" s="2">
        <v>0.1</v>
      </c>
      <c r="F36" s="11">
        <f t="shared" si="2"/>
        <v>0.30000000000000004</v>
      </c>
    </row>
    <row r="37" spans="2:6" x14ac:dyDescent="0.4">
      <c r="B37" s="32">
        <v>4</v>
      </c>
      <c r="C37" s="33" t="s">
        <v>39</v>
      </c>
      <c r="D37" s="52">
        <f>'2.요구사항복잡성'!C7</f>
        <v>2</v>
      </c>
      <c r="E37" s="2">
        <v>0.1</v>
      </c>
      <c r="F37" s="11">
        <f t="shared" si="2"/>
        <v>0.2</v>
      </c>
    </row>
    <row r="38" spans="2:6" x14ac:dyDescent="0.4">
      <c r="B38" s="32">
        <v>5</v>
      </c>
      <c r="C38" s="33" t="s">
        <v>205</v>
      </c>
      <c r="D38" s="52">
        <f>'2.요구사항복잡성'!C8</f>
        <v>3</v>
      </c>
      <c r="E38" s="2">
        <v>0.1</v>
      </c>
      <c r="F38" s="11">
        <f t="shared" si="2"/>
        <v>0.30000000000000004</v>
      </c>
    </row>
    <row r="39" spans="2:6" x14ac:dyDescent="0.4">
      <c r="B39" s="32">
        <v>6</v>
      </c>
      <c r="C39" s="33" t="s">
        <v>41</v>
      </c>
      <c r="D39" s="52">
        <f>'2.요구사항복잡성'!C9</f>
        <v>5</v>
      </c>
      <c r="E39" s="2">
        <v>0.1</v>
      </c>
      <c r="F39" s="11">
        <f t="shared" si="2"/>
        <v>0.5</v>
      </c>
    </row>
    <row r="40" spans="2:6" x14ac:dyDescent="0.4">
      <c r="B40" s="32">
        <v>7</v>
      </c>
      <c r="C40" s="33" t="s">
        <v>42</v>
      </c>
      <c r="D40" s="52">
        <f>'2.요구사항복잡성'!C10</f>
        <v>3</v>
      </c>
      <c r="E40" s="2">
        <v>0.1</v>
      </c>
      <c r="F40" s="11">
        <f t="shared" si="2"/>
        <v>0.30000000000000004</v>
      </c>
    </row>
    <row r="41" spans="2:6" x14ac:dyDescent="0.4">
      <c r="B41" s="32">
        <v>8</v>
      </c>
      <c r="C41" s="33" t="s">
        <v>214</v>
      </c>
      <c r="D41" s="52">
        <f>'2.요구사항복잡성'!C11</f>
        <v>4</v>
      </c>
      <c r="E41" s="2">
        <v>0.1</v>
      </c>
      <c r="F41" s="11">
        <f t="shared" si="2"/>
        <v>0.4</v>
      </c>
    </row>
    <row r="42" spans="2:6" x14ac:dyDescent="0.4">
      <c r="B42" s="32">
        <v>9</v>
      </c>
      <c r="C42" s="33" t="s">
        <v>217</v>
      </c>
      <c r="D42" s="52">
        <f>'2.요구사항복잡성'!C12</f>
        <v>2</v>
      </c>
      <c r="E42" s="2">
        <v>0.1</v>
      </c>
      <c r="F42" s="11">
        <f t="shared" si="2"/>
        <v>0.2</v>
      </c>
    </row>
    <row r="43" spans="2:6" x14ac:dyDescent="0.4">
      <c r="B43" s="60" t="s">
        <v>6</v>
      </c>
      <c r="C43" s="60"/>
      <c r="D43" s="3">
        <f>SUM(D34:D42)</f>
        <v>28</v>
      </c>
      <c r="E43" s="9">
        <f>SUM(E34:E42)</f>
        <v>0.99999999999999989</v>
      </c>
      <c r="F43" s="53">
        <f>SUM(F34:F42)</f>
        <v>3.1</v>
      </c>
    </row>
    <row r="45" spans="2:6" x14ac:dyDescent="0.4">
      <c r="B45" s="31" t="s">
        <v>291</v>
      </c>
      <c r="F45" s="38" t="s">
        <v>134</v>
      </c>
    </row>
    <row r="46" spans="2:6" x14ac:dyDescent="0.4">
      <c r="B46" s="6" t="s">
        <v>135</v>
      </c>
      <c r="C46" s="6" t="s">
        <v>0</v>
      </c>
      <c r="D46" s="6" t="s">
        <v>133</v>
      </c>
      <c r="E46" s="6" t="s">
        <v>1</v>
      </c>
      <c r="F46" s="6" t="s">
        <v>2</v>
      </c>
    </row>
    <row r="47" spans="2:6" x14ac:dyDescent="0.4">
      <c r="B47" s="32">
        <v>1</v>
      </c>
      <c r="C47" s="50" t="s">
        <v>292</v>
      </c>
      <c r="D47" s="52">
        <f>'3.프로젝트팀구성'!C4</f>
        <v>4</v>
      </c>
      <c r="E47" s="2">
        <v>0.2</v>
      </c>
      <c r="F47" s="11">
        <f t="shared" ref="F47:F53" si="3">D47*E47</f>
        <v>0.8</v>
      </c>
    </row>
    <row r="48" spans="2:6" x14ac:dyDescent="0.4">
      <c r="B48" s="32">
        <v>2</v>
      </c>
      <c r="C48" s="50" t="s">
        <v>293</v>
      </c>
      <c r="D48" s="52">
        <f>'3.프로젝트팀구성'!C5</f>
        <v>5</v>
      </c>
      <c r="E48" s="2">
        <v>0.15</v>
      </c>
      <c r="F48" s="11">
        <f t="shared" si="3"/>
        <v>0.75</v>
      </c>
    </row>
    <row r="49" spans="2:6" x14ac:dyDescent="0.4">
      <c r="B49" s="32">
        <v>3</v>
      </c>
      <c r="C49" s="50" t="s">
        <v>294</v>
      </c>
      <c r="D49" s="52">
        <f>'3.프로젝트팀구성'!C6</f>
        <v>3</v>
      </c>
      <c r="E49" s="2">
        <v>0.15</v>
      </c>
      <c r="F49" s="11">
        <f t="shared" si="3"/>
        <v>0.44999999999999996</v>
      </c>
    </row>
    <row r="50" spans="2:6" x14ac:dyDescent="0.4">
      <c r="B50" s="32">
        <v>4</v>
      </c>
      <c r="C50" s="50" t="s">
        <v>295</v>
      </c>
      <c r="D50" s="52">
        <f>'3.프로젝트팀구성'!C7</f>
        <v>3</v>
      </c>
      <c r="E50" s="2">
        <v>0.15</v>
      </c>
      <c r="F50" s="11">
        <f t="shared" si="3"/>
        <v>0.44999999999999996</v>
      </c>
    </row>
    <row r="51" spans="2:6" x14ac:dyDescent="0.4">
      <c r="B51" s="32">
        <v>5</v>
      </c>
      <c r="C51" s="50" t="s">
        <v>296</v>
      </c>
      <c r="D51" s="52">
        <f>'3.프로젝트팀구성'!C8</f>
        <v>4</v>
      </c>
      <c r="E51" s="2">
        <v>0.2</v>
      </c>
      <c r="F51" s="11">
        <f t="shared" si="3"/>
        <v>0.8</v>
      </c>
    </row>
    <row r="52" spans="2:6" x14ac:dyDescent="0.4">
      <c r="B52" s="32">
        <v>6</v>
      </c>
      <c r="C52" s="50" t="s">
        <v>297</v>
      </c>
      <c r="D52" s="52">
        <f>'3.프로젝트팀구성'!C9</f>
        <v>2</v>
      </c>
      <c r="E52" s="2">
        <v>0.1</v>
      </c>
      <c r="F52" s="11">
        <f t="shared" si="3"/>
        <v>0.2</v>
      </c>
    </row>
    <row r="53" spans="2:6" x14ac:dyDescent="0.4">
      <c r="B53" s="32">
        <v>7</v>
      </c>
      <c r="C53" s="50" t="s">
        <v>298</v>
      </c>
      <c r="D53" s="52">
        <f>'3.프로젝트팀구성'!C10</f>
        <v>2</v>
      </c>
      <c r="E53" s="2">
        <v>0.05</v>
      </c>
      <c r="F53" s="11">
        <f t="shared" si="3"/>
        <v>0.1</v>
      </c>
    </row>
    <row r="54" spans="2:6" x14ac:dyDescent="0.4">
      <c r="B54" s="60" t="s">
        <v>6</v>
      </c>
      <c r="C54" s="60"/>
      <c r="D54" s="3">
        <f>SUM(D47:D53)</f>
        <v>23</v>
      </c>
      <c r="E54" s="9">
        <f>SUM(E47:E53)</f>
        <v>1</v>
      </c>
      <c r="F54" s="12">
        <f>SUM(F47:F53)</f>
        <v>3.5500000000000003</v>
      </c>
    </row>
    <row r="56" spans="2:6" x14ac:dyDescent="0.4">
      <c r="B56" s="31" t="s">
        <v>136</v>
      </c>
      <c r="F56" s="38" t="s">
        <v>120</v>
      </c>
    </row>
    <row r="57" spans="2:6" x14ac:dyDescent="0.4">
      <c r="B57" s="6" t="s">
        <v>30</v>
      </c>
      <c r="C57" s="6" t="s">
        <v>0</v>
      </c>
      <c r="D57" s="6" t="s">
        <v>137</v>
      </c>
      <c r="E57" s="6" t="s">
        <v>1</v>
      </c>
      <c r="F57" s="6" t="s">
        <v>2</v>
      </c>
    </row>
    <row r="58" spans="2:6" x14ac:dyDescent="0.4">
      <c r="B58" s="32">
        <v>1</v>
      </c>
      <c r="C58" s="50" t="s">
        <v>299</v>
      </c>
      <c r="D58" s="52">
        <f>'4.프로젝트관리'!C4</f>
        <v>3</v>
      </c>
      <c r="E58" s="2">
        <v>0.2</v>
      </c>
      <c r="F58" s="11">
        <f>D58*E58</f>
        <v>0.60000000000000009</v>
      </c>
    </row>
    <row r="59" spans="2:6" x14ac:dyDescent="0.4">
      <c r="B59" s="32">
        <v>2</v>
      </c>
      <c r="C59" s="50" t="s">
        <v>300</v>
      </c>
      <c r="D59" s="52">
        <f>'4.프로젝트관리'!C5</f>
        <v>3</v>
      </c>
      <c r="E59" s="2">
        <v>0.15</v>
      </c>
      <c r="F59" s="11">
        <f t="shared" ref="F59:F65" si="4">D59*E59</f>
        <v>0.44999999999999996</v>
      </c>
    </row>
    <row r="60" spans="2:6" x14ac:dyDescent="0.4">
      <c r="B60" s="32">
        <v>3</v>
      </c>
      <c r="C60" s="50" t="s">
        <v>301</v>
      </c>
      <c r="D60" s="52">
        <f>'4.프로젝트관리'!C6</f>
        <v>4</v>
      </c>
      <c r="E60" s="2">
        <v>0.1</v>
      </c>
      <c r="F60" s="11">
        <f t="shared" si="4"/>
        <v>0.4</v>
      </c>
    </row>
    <row r="61" spans="2:6" x14ac:dyDescent="0.4">
      <c r="B61" s="32">
        <v>4</v>
      </c>
      <c r="C61" s="50" t="s">
        <v>302</v>
      </c>
      <c r="D61" s="52">
        <f>'4.프로젝트관리'!C7</f>
        <v>2</v>
      </c>
      <c r="E61" s="2">
        <v>0.1</v>
      </c>
      <c r="F61" s="11">
        <f t="shared" si="4"/>
        <v>0.2</v>
      </c>
    </row>
    <row r="62" spans="2:6" x14ac:dyDescent="0.4">
      <c r="B62" s="32">
        <v>5</v>
      </c>
      <c r="C62" s="50" t="s">
        <v>303</v>
      </c>
      <c r="D62" s="52">
        <f>'4.프로젝트관리'!C8</f>
        <v>5</v>
      </c>
      <c r="E62" s="2">
        <v>0.1</v>
      </c>
      <c r="F62" s="11">
        <f t="shared" si="4"/>
        <v>0.5</v>
      </c>
    </row>
    <row r="63" spans="2:6" x14ac:dyDescent="0.4">
      <c r="B63" s="32">
        <v>6</v>
      </c>
      <c r="C63" s="50" t="s">
        <v>304</v>
      </c>
      <c r="D63" s="52">
        <f>'4.프로젝트관리'!C9</f>
        <v>4</v>
      </c>
      <c r="E63" s="2">
        <v>0.15</v>
      </c>
      <c r="F63" s="11">
        <f t="shared" si="4"/>
        <v>0.6</v>
      </c>
    </row>
    <row r="64" spans="2:6" x14ac:dyDescent="0.4">
      <c r="B64" s="32">
        <v>7</v>
      </c>
      <c r="C64" s="50" t="s">
        <v>251</v>
      </c>
      <c r="D64" s="52">
        <f>'4.프로젝트관리'!C10</f>
        <v>2</v>
      </c>
      <c r="E64" s="2">
        <v>0.1</v>
      </c>
      <c r="F64" s="11">
        <f t="shared" si="4"/>
        <v>0.2</v>
      </c>
    </row>
    <row r="65" spans="2:6" x14ac:dyDescent="0.4">
      <c r="B65" s="32">
        <v>8</v>
      </c>
      <c r="C65" s="50" t="s">
        <v>249</v>
      </c>
      <c r="D65" s="52">
        <f>'4.프로젝트관리'!C11</f>
        <v>2</v>
      </c>
      <c r="E65" s="2">
        <v>0.1</v>
      </c>
      <c r="F65" s="11">
        <f t="shared" si="4"/>
        <v>0.2</v>
      </c>
    </row>
    <row r="66" spans="2:6" x14ac:dyDescent="0.4">
      <c r="B66" s="60" t="s">
        <v>6</v>
      </c>
      <c r="C66" s="60"/>
      <c r="D66" s="12">
        <f>SUM(D58:D65)</f>
        <v>25</v>
      </c>
      <c r="E66" s="9">
        <f>SUM(E58:E65)</f>
        <v>0.99999999999999989</v>
      </c>
      <c r="F66" s="12">
        <f>SUM(F58:F65)</f>
        <v>3.1500000000000008</v>
      </c>
    </row>
    <row r="68" spans="2:6" x14ac:dyDescent="0.4">
      <c r="B68" s="31" t="s">
        <v>138</v>
      </c>
      <c r="F68" s="38" t="s">
        <v>131</v>
      </c>
    </row>
    <row r="69" spans="2:6" x14ac:dyDescent="0.4">
      <c r="B69" s="6" t="s">
        <v>139</v>
      </c>
      <c r="C69" s="6" t="s">
        <v>0</v>
      </c>
      <c r="D69" s="6" t="s">
        <v>140</v>
      </c>
      <c r="E69" s="6" t="s">
        <v>1</v>
      </c>
      <c r="F69" s="6" t="s">
        <v>2</v>
      </c>
    </row>
    <row r="70" spans="2:6" x14ac:dyDescent="0.4">
      <c r="B70" s="32">
        <v>1</v>
      </c>
      <c r="C70" s="50" t="s">
        <v>305</v>
      </c>
      <c r="D70" s="52">
        <f>'5.외부의존성'!C4</f>
        <v>3</v>
      </c>
      <c r="E70" s="2">
        <v>0.3</v>
      </c>
      <c r="F70" s="11">
        <f>D70*E70</f>
        <v>0.89999999999999991</v>
      </c>
    </row>
    <row r="71" spans="2:6" x14ac:dyDescent="0.4">
      <c r="B71" s="32">
        <v>2</v>
      </c>
      <c r="C71" s="50" t="s">
        <v>293</v>
      </c>
      <c r="D71" s="52">
        <f>'5.외부의존성'!C5</f>
        <v>3</v>
      </c>
      <c r="E71" s="2">
        <v>0.15</v>
      </c>
      <c r="F71" s="11">
        <f t="shared" ref="F71:F75" si="5">D71*E71</f>
        <v>0.44999999999999996</v>
      </c>
    </row>
    <row r="72" spans="2:6" x14ac:dyDescent="0.4">
      <c r="B72" s="32">
        <v>3</v>
      </c>
      <c r="C72" s="50" t="s">
        <v>306</v>
      </c>
      <c r="D72" s="52">
        <f>'5.외부의존성'!C6</f>
        <v>3</v>
      </c>
      <c r="E72" s="2">
        <v>0.15</v>
      </c>
      <c r="F72" s="11">
        <f t="shared" si="5"/>
        <v>0.44999999999999996</v>
      </c>
    </row>
    <row r="73" spans="2:6" x14ac:dyDescent="0.4">
      <c r="B73" s="32">
        <v>4</v>
      </c>
      <c r="C73" s="50" t="s">
        <v>307</v>
      </c>
      <c r="D73" s="52">
        <f>'5.외부의존성'!C7</f>
        <v>3</v>
      </c>
      <c r="E73" s="2">
        <v>0.2</v>
      </c>
      <c r="F73" s="11">
        <f t="shared" si="5"/>
        <v>0.60000000000000009</v>
      </c>
    </row>
    <row r="74" spans="2:6" x14ac:dyDescent="0.4">
      <c r="B74" s="32">
        <v>5</v>
      </c>
      <c r="C74" s="50" t="s">
        <v>308</v>
      </c>
      <c r="D74" s="52">
        <f>'5.외부의존성'!C8</f>
        <v>4</v>
      </c>
      <c r="E74" s="2">
        <v>0.1</v>
      </c>
      <c r="F74" s="11">
        <f t="shared" si="5"/>
        <v>0.4</v>
      </c>
    </row>
    <row r="75" spans="2:6" x14ac:dyDescent="0.4">
      <c r="B75" s="32">
        <v>6</v>
      </c>
      <c r="C75" s="50" t="s">
        <v>309</v>
      </c>
      <c r="D75" s="52">
        <f>'5.외부의존성'!C9</f>
        <v>4</v>
      </c>
      <c r="E75" s="2">
        <v>0.1</v>
      </c>
      <c r="F75" s="11">
        <f t="shared" si="5"/>
        <v>0.4</v>
      </c>
    </row>
    <row r="76" spans="2:6" x14ac:dyDescent="0.4">
      <c r="B76" s="60" t="s">
        <v>6</v>
      </c>
      <c r="C76" s="60"/>
      <c r="D76" s="12">
        <f>SUM(D70:D75)</f>
        <v>20</v>
      </c>
      <c r="E76" s="9">
        <f>SUM(E70:E75)</f>
        <v>1</v>
      </c>
      <c r="F76" s="12">
        <f>SUM(F70:F75)</f>
        <v>3.1999999999999997</v>
      </c>
    </row>
  </sheetData>
  <mergeCells count="9">
    <mergeCell ref="B66:C66"/>
    <mergeCell ref="B76:C76"/>
    <mergeCell ref="I6:J6"/>
    <mergeCell ref="B12:C12"/>
    <mergeCell ref="B30:C30"/>
    <mergeCell ref="B43:C43"/>
    <mergeCell ref="B54:C54"/>
    <mergeCell ref="B14:F14"/>
    <mergeCell ref="B15:F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>
      <selection activeCell="C14" sqref="C14"/>
    </sheetView>
  </sheetViews>
  <sheetFormatPr defaultColWidth="9" defaultRowHeight="15.6" x14ac:dyDescent="0.4"/>
  <cols>
    <col min="1" max="1" width="3.69921875" style="30" bestFit="1" customWidth="1"/>
    <col min="2" max="2" width="22" style="29" bestFit="1" customWidth="1"/>
    <col min="3" max="6" width="9" style="29"/>
    <col min="7" max="7" width="21.296875" style="29" bestFit="1" customWidth="1"/>
    <col min="8" max="8" width="74.19921875" style="29" customWidth="1"/>
    <col min="9" max="9" width="8.59765625" style="29" customWidth="1"/>
    <col min="10" max="16384" width="9" style="29"/>
  </cols>
  <sheetData>
    <row r="1" spans="1:8" ht="21" x14ac:dyDescent="0.4">
      <c r="A1" s="17" t="s">
        <v>78</v>
      </c>
    </row>
    <row r="2" spans="1:8" x14ac:dyDescent="0.4">
      <c r="G2" s="4"/>
    </row>
    <row r="3" spans="1:8" x14ac:dyDescent="0.4">
      <c r="A3" s="6" t="s">
        <v>30</v>
      </c>
      <c r="B3" s="6" t="s">
        <v>0</v>
      </c>
      <c r="C3" s="6" t="s">
        <v>95</v>
      </c>
      <c r="D3" s="6" t="s">
        <v>1</v>
      </c>
      <c r="E3" s="6" t="s">
        <v>2</v>
      </c>
      <c r="G3" s="70" t="s">
        <v>8</v>
      </c>
      <c r="H3" s="28" t="s">
        <v>147</v>
      </c>
    </row>
    <row r="4" spans="1:8" x14ac:dyDescent="0.4">
      <c r="A4" s="32">
        <v>1</v>
      </c>
      <c r="B4" s="33" t="s">
        <v>20</v>
      </c>
      <c r="C4" s="51">
        <v>2</v>
      </c>
      <c r="D4" s="2">
        <v>0.1</v>
      </c>
      <c r="E4" s="11">
        <f>C4*D4</f>
        <v>0.2</v>
      </c>
      <c r="G4" s="70"/>
      <c r="H4" s="28" t="s">
        <v>148</v>
      </c>
    </row>
    <row r="5" spans="1:8" x14ac:dyDescent="0.4">
      <c r="A5" s="32">
        <v>2</v>
      </c>
      <c r="B5" s="33" t="s">
        <v>21</v>
      </c>
      <c r="C5" s="51">
        <v>2</v>
      </c>
      <c r="D5" s="2">
        <v>0.1</v>
      </c>
      <c r="E5" s="11">
        <f t="shared" ref="E5:E13" si="0">C5*D5</f>
        <v>0.2</v>
      </c>
      <c r="G5" s="70"/>
      <c r="H5" s="28" t="s">
        <v>149</v>
      </c>
    </row>
    <row r="6" spans="1:8" x14ac:dyDescent="0.4">
      <c r="A6" s="32">
        <v>3</v>
      </c>
      <c r="B6" s="33" t="s">
        <v>203</v>
      </c>
      <c r="C6" s="51">
        <v>4</v>
      </c>
      <c r="D6" s="2">
        <v>0.1</v>
      </c>
      <c r="E6" s="11">
        <f t="shared" si="0"/>
        <v>0.4</v>
      </c>
      <c r="F6" s="29" t="s">
        <v>311</v>
      </c>
      <c r="G6" s="70"/>
      <c r="H6" s="28" t="s">
        <v>150</v>
      </c>
    </row>
    <row r="7" spans="1:8" x14ac:dyDescent="0.4">
      <c r="A7" s="32">
        <v>4</v>
      </c>
      <c r="B7" s="33" t="s">
        <v>23</v>
      </c>
      <c r="C7" s="51">
        <v>3</v>
      </c>
      <c r="D7" s="2">
        <v>0.1</v>
      </c>
      <c r="E7" s="11">
        <f t="shared" si="0"/>
        <v>0.30000000000000004</v>
      </c>
      <c r="F7" s="29" t="s">
        <v>312</v>
      </c>
      <c r="G7" s="70" t="s">
        <v>9</v>
      </c>
      <c r="H7" s="28" t="s">
        <v>151</v>
      </c>
    </row>
    <row r="8" spans="1:8" x14ac:dyDescent="0.4">
      <c r="A8" s="32">
        <v>5</v>
      </c>
      <c r="B8" s="33" t="s">
        <v>24</v>
      </c>
      <c r="C8" s="51">
        <v>5</v>
      </c>
      <c r="D8" s="2">
        <v>0.1</v>
      </c>
      <c r="E8" s="11">
        <f t="shared" si="0"/>
        <v>0.5</v>
      </c>
      <c r="G8" s="70"/>
      <c r="H8" s="28" t="s">
        <v>152</v>
      </c>
    </row>
    <row r="9" spans="1:8" x14ac:dyDescent="0.4">
      <c r="A9" s="32">
        <v>6</v>
      </c>
      <c r="B9" s="33" t="s">
        <v>25</v>
      </c>
      <c r="C9" s="51">
        <v>2</v>
      </c>
      <c r="D9" s="2">
        <v>0.1</v>
      </c>
      <c r="E9" s="11">
        <f t="shared" si="0"/>
        <v>0.2</v>
      </c>
      <c r="G9" s="70"/>
      <c r="H9" s="28" t="s">
        <v>153</v>
      </c>
    </row>
    <row r="10" spans="1:8" x14ac:dyDescent="0.4">
      <c r="A10" s="32">
        <v>7</v>
      </c>
      <c r="B10" s="33" t="s">
        <v>200</v>
      </c>
      <c r="C10" s="51">
        <v>5</v>
      </c>
      <c r="D10" s="2">
        <v>0.1</v>
      </c>
      <c r="E10" s="11">
        <f t="shared" si="0"/>
        <v>0.5</v>
      </c>
      <c r="G10" s="70"/>
      <c r="H10" s="28" t="s">
        <v>154</v>
      </c>
    </row>
    <row r="11" spans="1:8" x14ac:dyDescent="0.4">
      <c r="A11" s="32">
        <v>8</v>
      </c>
      <c r="B11" s="33" t="s">
        <v>27</v>
      </c>
      <c r="C11" s="51">
        <v>3</v>
      </c>
      <c r="D11" s="2">
        <v>0.1</v>
      </c>
      <c r="E11" s="11">
        <f t="shared" si="0"/>
        <v>0.30000000000000004</v>
      </c>
      <c r="G11" s="70" t="s">
        <v>202</v>
      </c>
      <c r="H11" s="28" t="s">
        <v>155</v>
      </c>
    </row>
    <row r="12" spans="1:8" x14ac:dyDescent="0.4">
      <c r="A12" s="32">
        <v>9</v>
      </c>
      <c r="B12" s="33" t="s">
        <v>28</v>
      </c>
      <c r="C12" s="51">
        <v>3</v>
      </c>
      <c r="D12" s="2">
        <v>0.1</v>
      </c>
      <c r="E12" s="11">
        <f t="shared" si="0"/>
        <v>0.30000000000000004</v>
      </c>
      <c r="G12" s="70"/>
      <c r="H12" s="28" t="s">
        <v>156</v>
      </c>
    </row>
    <row r="13" spans="1:8" x14ac:dyDescent="0.4">
      <c r="A13" s="32">
        <v>10</v>
      </c>
      <c r="B13" s="33" t="s">
        <v>29</v>
      </c>
      <c r="C13" s="51">
        <v>3</v>
      </c>
      <c r="D13" s="2">
        <v>0.1</v>
      </c>
      <c r="E13" s="11">
        <f t="shared" si="0"/>
        <v>0.30000000000000004</v>
      </c>
      <c r="G13" s="70"/>
      <c r="H13" s="28" t="s">
        <v>157</v>
      </c>
    </row>
    <row r="14" spans="1:8" ht="16.5" customHeight="1" x14ac:dyDescent="0.4">
      <c r="A14" s="60" t="s">
        <v>6</v>
      </c>
      <c r="B14" s="60"/>
      <c r="C14" s="3">
        <f>SUM(C4:C13)</f>
        <v>32</v>
      </c>
      <c r="D14" s="9">
        <f>SUM(D4:D13)</f>
        <v>0.99999999999999989</v>
      </c>
      <c r="E14" s="53">
        <f>SUM(E4:E13)</f>
        <v>3.1999999999999993</v>
      </c>
      <c r="G14" s="70"/>
      <c r="H14" s="28" t="s">
        <v>201</v>
      </c>
    </row>
    <row r="15" spans="1:8" x14ac:dyDescent="0.4">
      <c r="G15" s="70" t="s">
        <v>10</v>
      </c>
      <c r="H15" s="28" t="s">
        <v>158</v>
      </c>
    </row>
    <row r="16" spans="1:8" x14ac:dyDescent="0.4">
      <c r="A16" s="4" t="s">
        <v>16</v>
      </c>
      <c r="G16" s="70"/>
      <c r="H16" s="28" t="s">
        <v>159</v>
      </c>
    </row>
    <row r="17" spans="1:8" x14ac:dyDescent="0.4">
      <c r="A17" s="31" t="s">
        <v>94</v>
      </c>
      <c r="G17" s="70"/>
      <c r="H17" s="28" t="s">
        <v>160</v>
      </c>
    </row>
    <row r="18" spans="1:8" x14ac:dyDescent="0.4">
      <c r="A18" s="71" t="s">
        <v>17</v>
      </c>
      <c r="B18" s="71"/>
      <c r="C18" s="71"/>
      <c r="D18" s="71"/>
      <c r="E18" s="71"/>
      <c r="G18" s="70" t="s">
        <v>11</v>
      </c>
      <c r="H18" s="28" t="s">
        <v>161</v>
      </c>
    </row>
    <row r="19" spans="1:8" x14ac:dyDescent="0.4">
      <c r="A19" s="71" t="s">
        <v>18</v>
      </c>
      <c r="B19" s="71"/>
      <c r="C19" s="71"/>
      <c r="D19" s="71"/>
      <c r="E19" s="71"/>
      <c r="G19" s="70"/>
      <c r="H19" s="28" t="s">
        <v>162</v>
      </c>
    </row>
    <row r="20" spans="1:8" x14ac:dyDescent="0.4">
      <c r="A20" s="29"/>
      <c r="G20" s="70"/>
      <c r="H20" s="28" t="s">
        <v>163</v>
      </c>
    </row>
    <row r="21" spans="1:8" x14ac:dyDescent="0.4">
      <c r="A21" s="71" t="s">
        <v>19</v>
      </c>
      <c r="B21" s="71"/>
      <c r="C21" s="71"/>
      <c r="D21" s="71"/>
      <c r="E21" s="71"/>
      <c r="G21" s="70" t="s">
        <v>12</v>
      </c>
      <c r="H21" s="28" t="s">
        <v>164</v>
      </c>
    </row>
    <row r="22" spans="1:8" x14ac:dyDescent="0.4">
      <c r="A22" s="29"/>
      <c r="G22" s="70"/>
      <c r="H22" s="28" t="s">
        <v>165</v>
      </c>
    </row>
    <row r="23" spans="1:8" x14ac:dyDescent="0.4">
      <c r="A23" s="29"/>
      <c r="G23" s="70"/>
      <c r="H23" s="28" t="s">
        <v>166</v>
      </c>
    </row>
    <row r="24" spans="1:8" x14ac:dyDescent="0.4">
      <c r="A24" s="29"/>
      <c r="G24" s="70" t="s">
        <v>167</v>
      </c>
      <c r="H24" s="28" t="s">
        <v>168</v>
      </c>
    </row>
    <row r="25" spans="1:8" x14ac:dyDescent="0.4">
      <c r="A25" s="29"/>
      <c r="G25" s="70"/>
      <c r="H25" s="28" t="s">
        <v>169</v>
      </c>
    </row>
    <row r="26" spans="1:8" x14ac:dyDescent="0.4">
      <c r="A26" s="29"/>
      <c r="G26" s="70"/>
      <c r="H26" s="28" t="s">
        <v>170</v>
      </c>
    </row>
    <row r="27" spans="1:8" x14ac:dyDescent="0.4">
      <c r="A27" s="29"/>
      <c r="G27" s="70" t="s">
        <v>13</v>
      </c>
      <c r="H27" s="28" t="s">
        <v>171</v>
      </c>
    </row>
    <row r="28" spans="1:8" x14ac:dyDescent="0.4">
      <c r="A28" s="29"/>
      <c r="G28" s="70"/>
      <c r="H28" s="28" t="s">
        <v>172</v>
      </c>
    </row>
    <row r="29" spans="1:8" x14ac:dyDescent="0.4">
      <c r="A29" s="29"/>
      <c r="G29" s="70"/>
      <c r="H29" s="28" t="s">
        <v>173</v>
      </c>
    </row>
    <row r="30" spans="1:8" x14ac:dyDescent="0.4">
      <c r="A30" s="29"/>
      <c r="G30" s="70" t="s">
        <v>14</v>
      </c>
      <c r="H30" s="28" t="s">
        <v>174</v>
      </c>
    </row>
    <row r="31" spans="1:8" x14ac:dyDescent="0.4">
      <c r="A31" s="29"/>
      <c r="G31" s="70"/>
      <c r="H31" s="28" t="s">
        <v>176</v>
      </c>
    </row>
    <row r="32" spans="1:8" x14ac:dyDescent="0.4">
      <c r="A32" s="29"/>
      <c r="G32" s="70"/>
      <c r="H32" s="28" t="s">
        <v>175</v>
      </c>
    </row>
    <row r="33" spans="1:8" x14ac:dyDescent="0.4">
      <c r="A33" s="29"/>
      <c r="G33" s="70" t="s">
        <v>15</v>
      </c>
      <c r="H33" s="28" t="s">
        <v>177</v>
      </c>
    </row>
    <row r="34" spans="1:8" x14ac:dyDescent="0.4">
      <c r="A34" s="29"/>
      <c r="G34" s="70"/>
      <c r="H34" s="28" t="s">
        <v>178</v>
      </c>
    </row>
    <row r="35" spans="1:8" ht="13.5" customHeight="1" x14ac:dyDescent="0.4">
      <c r="A35" s="29"/>
      <c r="G35" s="70"/>
      <c r="H35" s="28" t="s">
        <v>179</v>
      </c>
    </row>
    <row r="36" spans="1:8" x14ac:dyDescent="0.4">
      <c r="A36" s="29"/>
    </row>
  </sheetData>
  <mergeCells count="14">
    <mergeCell ref="G33:G35"/>
    <mergeCell ref="G30:G32"/>
    <mergeCell ref="G27:G29"/>
    <mergeCell ref="G24:G26"/>
    <mergeCell ref="G21:G23"/>
    <mergeCell ref="G7:G10"/>
    <mergeCell ref="G3:G6"/>
    <mergeCell ref="A14:B14"/>
    <mergeCell ref="A21:E21"/>
    <mergeCell ref="A19:E19"/>
    <mergeCell ref="A18:E18"/>
    <mergeCell ref="G18:G20"/>
    <mergeCell ref="G15:G17"/>
    <mergeCell ref="G11:G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workbookViewId="0">
      <selection activeCell="C13" sqref="C13"/>
    </sheetView>
  </sheetViews>
  <sheetFormatPr defaultColWidth="9" defaultRowHeight="15.6" x14ac:dyDescent="0.35"/>
  <cols>
    <col min="1" max="1" width="3.69921875" style="1" bestFit="1" customWidth="1"/>
    <col min="2" max="2" width="22.69921875" style="1" bestFit="1" customWidth="1"/>
    <col min="3" max="6" width="9" style="1"/>
    <col min="7" max="7" width="25" style="1" bestFit="1" customWidth="1"/>
    <col min="8" max="8" width="108.296875" style="1" customWidth="1"/>
    <col min="9" max="16384" width="9" style="1"/>
  </cols>
  <sheetData>
    <row r="1" spans="1:8" ht="21" x14ac:dyDescent="0.35">
      <c r="A1" s="17" t="s">
        <v>79</v>
      </c>
    </row>
    <row r="3" spans="1:8" x14ac:dyDescent="0.35">
      <c r="A3" s="6" t="s">
        <v>30</v>
      </c>
      <c r="B3" s="6" t="s">
        <v>0</v>
      </c>
      <c r="C3" s="6" t="s">
        <v>95</v>
      </c>
      <c r="D3" s="6" t="s">
        <v>1</v>
      </c>
      <c r="E3" s="6" t="s">
        <v>2</v>
      </c>
      <c r="G3" s="70" t="s">
        <v>31</v>
      </c>
      <c r="H3" s="28" t="s">
        <v>180</v>
      </c>
    </row>
    <row r="4" spans="1:8" x14ac:dyDescent="0.35">
      <c r="A4" s="14">
        <v>1</v>
      </c>
      <c r="B4" s="15" t="s">
        <v>36</v>
      </c>
      <c r="C4" s="51">
        <v>3</v>
      </c>
      <c r="D4" s="2">
        <v>0.15</v>
      </c>
      <c r="E4" s="11">
        <f>C4*D4</f>
        <v>0.44999999999999996</v>
      </c>
      <c r="G4" s="70"/>
      <c r="H4" s="28" t="s">
        <v>181</v>
      </c>
    </row>
    <row r="5" spans="1:8" x14ac:dyDescent="0.35">
      <c r="A5" s="14">
        <v>2</v>
      </c>
      <c r="B5" s="15" t="s">
        <v>37</v>
      </c>
      <c r="C5" s="51">
        <v>3</v>
      </c>
      <c r="D5" s="2">
        <v>0.15</v>
      </c>
      <c r="E5" s="11">
        <f t="shared" ref="E5:E12" si="0">C5*D5</f>
        <v>0.44999999999999996</v>
      </c>
      <c r="G5" s="70"/>
      <c r="H5" s="28" t="s">
        <v>182</v>
      </c>
    </row>
    <row r="6" spans="1:8" x14ac:dyDescent="0.35">
      <c r="A6" s="14">
        <v>3</v>
      </c>
      <c r="B6" s="15" t="s">
        <v>213</v>
      </c>
      <c r="C6" s="51">
        <v>3</v>
      </c>
      <c r="D6" s="2">
        <v>0.1</v>
      </c>
      <c r="E6" s="11">
        <f t="shared" si="0"/>
        <v>0.30000000000000004</v>
      </c>
      <c r="G6" s="70"/>
      <c r="H6" s="28" t="s">
        <v>184</v>
      </c>
    </row>
    <row r="7" spans="1:8" x14ac:dyDescent="0.35">
      <c r="A7" s="14">
        <v>4</v>
      </c>
      <c r="B7" s="15" t="s">
        <v>39</v>
      </c>
      <c r="C7" s="51">
        <v>2</v>
      </c>
      <c r="D7" s="2">
        <v>0.1</v>
      </c>
      <c r="E7" s="11">
        <f t="shared" si="0"/>
        <v>0.2</v>
      </c>
      <c r="G7" s="70" t="s">
        <v>32</v>
      </c>
      <c r="H7" s="28" t="s">
        <v>183</v>
      </c>
    </row>
    <row r="8" spans="1:8" x14ac:dyDescent="0.35">
      <c r="A8" s="14">
        <v>5</v>
      </c>
      <c r="B8" s="15" t="s">
        <v>206</v>
      </c>
      <c r="C8" s="51">
        <v>3</v>
      </c>
      <c r="D8" s="2">
        <v>0.1</v>
      </c>
      <c r="E8" s="11">
        <f t="shared" si="0"/>
        <v>0.30000000000000004</v>
      </c>
      <c r="G8" s="70"/>
      <c r="H8" s="28" t="s">
        <v>185</v>
      </c>
    </row>
    <row r="9" spans="1:8" x14ac:dyDescent="0.35">
      <c r="A9" s="14">
        <v>6</v>
      </c>
      <c r="B9" s="15" t="s">
        <v>41</v>
      </c>
      <c r="C9" s="51">
        <v>5</v>
      </c>
      <c r="D9" s="2">
        <v>0.1</v>
      </c>
      <c r="E9" s="11">
        <f t="shared" si="0"/>
        <v>0.5</v>
      </c>
      <c r="G9" s="70"/>
      <c r="H9" s="28" t="s">
        <v>186</v>
      </c>
    </row>
    <row r="10" spans="1:8" x14ac:dyDescent="0.35">
      <c r="A10" s="14">
        <v>7</v>
      </c>
      <c r="B10" s="15" t="s">
        <v>204</v>
      </c>
      <c r="C10" s="51">
        <v>3</v>
      </c>
      <c r="D10" s="2">
        <v>0.1</v>
      </c>
      <c r="E10" s="11">
        <f t="shared" si="0"/>
        <v>0.30000000000000004</v>
      </c>
      <c r="G10" s="70" t="s">
        <v>207</v>
      </c>
      <c r="H10" s="28" t="s">
        <v>208</v>
      </c>
    </row>
    <row r="11" spans="1:8" x14ac:dyDescent="0.35">
      <c r="A11" s="14">
        <v>8</v>
      </c>
      <c r="B11" s="15" t="s">
        <v>215</v>
      </c>
      <c r="C11" s="51">
        <v>4</v>
      </c>
      <c r="D11" s="2">
        <v>0.1</v>
      </c>
      <c r="E11" s="11">
        <f t="shared" si="0"/>
        <v>0.4</v>
      </c>
      <c r="G11" s="70"/>
      <c r="H11" s="28" t="s">
        <v>187</v>
      </c>
    </row>
    <row r="12" spans="1:8" x14ac:dyDescent="0.35">
      <c r="A12" s="14">
        <v>9</v>
      </c>
      <c r="B12" s="15" t="s">
        <v>218</v>
      </c>
      <c r="C12" s="51">
        <v>2</v>
      </c>
      <c r="D12" s="2">
        <v>0.1</v>
      </c>
      <c r="E12" s="11">
        <f t="shared" si="0"/>
        <v>0.2</v>
      </c>
      <c r="G12" s="70"/>
      <c r="H12" s="28" t="s">
        <v>211</v>
      </c>
    </row>
    <row r="13" spans="1:8" x14ac:dyDescent="0.35">
      <c r="A13" s="60" t="s">
        <v>6</v>
      </c>
      <c r="B13" s="60"/>
      <c r="C13" s="3">
        <f>SUM(C4:C12)</f>
        <v>28</v>
      </c>
      <c r="D13" s="9">
        <f>SUM(D4:D12)</f>
        <v>0.99999999999999989</v>
      </c>
      <c r="E13" s="53">
        <f>SUM(E4:E12)</f>
        <v>3.1</v>
      </c>
      <c r="G13" s="70" t="s">
        <v>33</v>
      </c>
      <c r="H13" s="28" t="s">
        <v>188</v>
      </c>
    </row>
    <row r="14" spans="1:8" x14ac:dyDescent="0.35">
      <c r="G14" s="70"/>
      <c r="H14" s="28" t="s">
        <v>190</v>
      </c>
    </row>
    <row r="15" spans="1:8" x14ac:dyDescent="0.35">
      <c r="G15" s="70"/>
      <c r="H15" s="28" t="s">
        <v>189</v>
      </c>
    </row>
    <row r="16" spans="1:8" x14ac:dyDescent="0.35">
      <c r="G16" s="70" t="s">
        <v>199</v>
      </c>
      <c r="H16" s="28" t="s">
        <v>191</v>
      </c>
    </row>
    <row r="17" spans="7:8" x14ac:dyDescent="0.35">
      <c r="G17" s="70"/>
      <c r="H17" s="28" t="s">
        <v>209</v>
      </c>
    </row>
    <row r="18" spans="7:8" x14ac:dyDescent="0.35">
      <c r="G18" s="70"/>
      <c r="H18" s="28" t="s">
        <v>210</v>
      </c>
    </row>
    <row r="19" spans="7:8" x14ac:dyDescent="0.35">
      <c r="G19" s="70" t="s">
        <v>34</v>
      </c>
      <c r="H19" s="28" t="s">
        <v>192</v>
      </c>
    </row>
    <row r="20" spans="7:8" x14ac:dyDescent="0.35">
      <c r="G20" s="70"/>
      <c r="H20" s="28" t="s">
        <v>193</v>
      </c>
    </row>
    <row r="21" spans="7:8" x14ac:dyDescent="0.35">
      <c r="G21" s="70" t="s">
        <v>35</v>
      </c>
      <c r="H21" s="28" t="s">
        <v>194</v>
      </c>
    </row>
    <row r="22" spans="7:8" x14ac:dyDescent="0.35">
      <c r="G22" s="70"/>
      <c r="H22" s="28" t="s">
        <v>195</v>
      </c>
    </row>
    <row r="23" spans="7:8" x14ac:dyDescent="0.35">
      <c r="G23" s="70" t="s">
        <v>196</v>
      </c>
      <c r="H23" s="28" t="s">
        <v>197</v>
      </c>
    </row>
    <row r="24" spans="7:8" x14ac:dyDescent="0.35">
      <c r="G24" s="70"/>
      <c r="H24" s="28" t="s">
        <v>198</v>
      </c>
    </row>
    <row r="25" spans="7:8" x14ac:dyDescent="0.35">
      <c r="G25" s="70" t="s">
        <v>216</v>
      </c>
      <c r="H25" s="28" t="s">
        <v>219</v>
      </c>
    </row>
    <row r="26" spans="7:8" x14ac:dyDescent="0.35">
      <c r="G26" s="70"/>
      <c r="H26" s="28" t="s">
        <v>220</v>
      </c>
    </row>
    <row r="27" spans="7:8" ht="13.5" customHeight="1" x14ac:dyDescent="0.35">
      <c r="G27" s="70"/>
      <c r="H27" s="28" t="s">
        <v>221</v>
      </c>
    </row>
  </sheetData>
  <mergeCells count="10">
    <mergeCell ref="G25:G27"/>
    <mergeCell ref="G23:G24"/>
    <mergeCell ref="G21:G22"/>
    <mergeCell ref="G19:G20"/>
    <mergeCell ref="G10:G12"/>
    <mergeCell ref="G7:G9"/>
    <mergeCell ref="G3:G6"/>
    <mergeCell ref="A13:B13"/>
    <mergeCell ref="G16:G18"/>
    <mergeCell ref="G13:G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C11" sqref="C11"/>
    </sheetView>
  </sheetViews>
  <sheetFormatPr defaultColWidth="9" defaultRowHeight="15.6" x14ac:dyDescent="0.35"/>
  <cols>
    <col min="1" max="1" width="3.69921875" style="5" bestFit="1" customWidth="1"/>
    <col min="2" max="2" width="19.296875" style="1" customWidth="1"/>
    <col min="3" max="3" width="9" style="1" bestFit="1" customWidth="1"/>
    <col min="4" max="4" width="6.296875" style="1" bestFit="1" customWidth="1"/>
    <col min="5" max="5" width="8.59765625" style="1" bestFit="1" customWidth="1"/>
    <col min="6" max="6" width="10.19921875" style="1" customWidth="1"/>
    <col min="7" max="7" width="19.19921875" style="1" bestFit="1" customWidth="1"/>
    <col min="8" max="8" width="60.796875" style="1" bestFit="1" customWidth="1"/>
    <col min="9" max="16384" width="9" style="1"/>
  </cols>
  <sheetData>
    <row r="1" spans="1:8" ht="21" x14ac:dyDescent="0.35">
      <c r="A1" s="17" t="s">
        <v>80</v>
      </c>
    </row>
    <row r="3" spans="1:8" x14ac:dyDescent="0.35">
      <c r="A3" s="6" t="s">
        <v>30</v>
      </c>
      <c r="B3" s="6" t="s">
        <v>0</v>
      </c>
      <c r="C3" s="6" t="s">
        <v>95</v>
      </c>
      <c r="D3" s="6" t="s">
        <v>1</v>
      </c>
      <c r="E3" s="6" t="s">
        <v>2</v>
      </c>
      <c r="G3" s="70" t="s">
        <v>45</v>
      </c>
      <c r="H3" s="28" t="s">
        <v>83</v>
      </c>
    </row>
    <row r="4" spans="1:8" x14ac:dyDescent="0.35">
      <c r="A4" s="14">
        <v>1</v>
      </c>
      <c r="B4" s="10" t="s">
        <v>49</v>
      </c>
      <c r="C4" s="51">
        <v>4</v>
      </c>
      <c r="D4" s="2">
        <v>0.2</v>
      </c>
      <c r="E4" s="11">
        <f t="shared" ref="E4:E10" si="0">C4*D4</f>
        <v>0.8</v>
      </c>
      <c r="G4" s="70"/>
      <c r="H4" s="34" t="s">
        <v>54</v>
      </c>
    </row>
    <row r="5" spans="1:8" x14ac:dyDescent="0.35">
      <c r="A5" s="14">
        <v>2</v>
      </c>
      <c r="B5" s="10" t="s">
        <v>50</v>
      </c>
      <c r="C5" s="51">
        <v>5</v>
      </c>
      <c r="D5" s="2">
        <v>0.15</v>
      </c>
      <c r="E5" s="11">
        <f t="shared" si="0"/>
        <v>0.75</v>
      </c>
      <c r="G5" s="70"/>
      <c r="H5" s="34" t="s">
        <v>48</v>
      </c>
    </row>
    <row r="6" spans="1:8" x14ac:dyDescent="0.35">
      <c r="A6" s="14">
        <v>3</v>
      </c>
      <c r="B6" s="10" t="s">
        <v>51</v>
      </c>
      <c r="C6" s="51">
        <v>3</v>
      </c>
      <c r="D6" s="2">
        <v>0.15</v>
      </c>
      <c r="E6" s="11">
        <f t="shared" si="0"/>
        <v>0.44999999999999996</v>
      </c>
      <c r="G6" s="70"/>
      <c r="H6" s="28" t="s">
        <v>84</v>
      </c>
    </row>
    <row r="7" spans="1:8" x14ac:dyDescent="0.35">
      <c r="A7" s="14">
        <v>4</v>
      </c>
      <c r="B7" s="10" t="s">
        <v>52</v>
      </c>
      <c r="C7" s="51">
        <v>3</v>
      </c>
      <c r="D7" s="2">
        <v>0.15</v>
      </c>
      <c r="E7" s="11">
        <f t="shared" si="0"/>
        <v>0.44999999999999996</v>
      </c>
      <c r="G7" s="70" t="s">
        <v>46</v>
      </c>
      <c r="H7" s="28" t="s">
        <v>85</v>
      </c>
    </row>
    <row r="8" spans="1:8" x14ac:dyDescent="0.35">
      <c r="A8" s="14">
        <v>5</v>
      </c>
      <c r="B8" s="10" t="s">
        <v>288</v>
      </c>
      <c r="C8" s="51">
        <v>4</v>
      </c>
      <c r="D8" s="2">
        <v>0.2</v>
      </c>
      <c r="E8" s="11">
        <f t="shared" si="0"/>
        <v>0.8</v>
      </c>
      <c r="G8" s="70"/>
      <c r="H8" s="28" t="s">
        <v>86</v>
      </c>
    </row>
    <row r="9" spans="1:8" ht="15.6" customHeight="1" x14ac:dyDescent="0.35">
      <c r="A9" s="14">
        <v>6</v>
      </c>
      <c r="B9" s="10" t="s">
        <v>289</v>
      </c>
      <c r="C9" s="51">
        <v>2</v>
      </c>
      <c r="D9" s="2">
        <v>0.1</v>
      </c>
      <c r="E9" s="11">
        <f t="shared" si="0"/>
        <v>0.2</v>
      </c>
      <c r="G9" s="70" t="s">
        <v>87</v>
      </c>
      <c r="H9" s="28" t="s">
        <v>88</v>
      </c>
    </row>
    <row r="10" spans="1:8" x14ac:dyDescent="0.35">
      <c r="A10" s="14">
        <v>7</v>
      </c>
      <c r="B10" s="10" t="s">
        <v>290</v>
      </c>
      <c r="C10" s="51">
        <v>2</v>
      </c>
      <c r="D10" s="2">
        <v>0.05</v>
      </c>
      <c r="E10" s="11">
        <f t="shared" si="0"/>
        <v>0.1</v>
      </c>
      <c r="G10" s="70"/>
      <c r="H10" s="28" t="s">
        <v>89</v>
      </c>
    </row>
    <row r="11" spans="1:8" x14ac:dyDescent="0.35">
      <c r="A11" s="60" t="s">
        <v>6</v>
      </c>
      <c r="B11" s="60"/>
      <c r="C11" s="3">
        <f>SUM(C4:C10)</f>
        <v>23</v>
      </c>
      <c r="D11" s="9">
        <f>SUM(D4:D10)</f>
        <v>1</v>
      </c>
      <c r="E11" s="12">
        <f>SUM(E4:E10)</f>
        <v>3.5500000000000003</v>
      </c>
      <c r="G11" s="70"/>
      <c r="H11" s="28" t="s">
        <v>90</v>
      </c>
    </row>
    <row r="12" spans="1:8" x14ac:dyDescent="0.35">
      <c r="A12" s="1"/>
      <c r="G12" s="70" t="s">
        <v>47</v>
      </c>
      <c r="H12" s="28" t="s">
        <v>280</v>
      </c>
    </row>
    <row r="13" spans="1:8" x14ac:dyDescent="0.35">
      <c r="A13" s="1"/>
      <c r="G13" s="70"/>
      <c r="H13" s="28" t="s">
        <v>281</v>
      </c>
    </row>
    <row r="14" spans="1:8" x14ac:dyDescent="0.35">
      <c r="A14" s="1"/>
      <c r="G14" s="70"/>
      <c r="H14" s="28" t="s">
        <v>282</v>
      </c>
    </row>
    <row r="15" spans="1:8" x14ac:dyDescent="0.35">
      <c r="A15" s="1"/>
      <c r="G15" s="70" t="s">
        <v>283</v>
      </c>
      <c r="H15" s="28" t="s">
        <v>91</v>
      </c>
    </row>
    <row r="16" spans="1:8" x14ac:dyDescent="0.35">
      <c r="A16" s="1"/>
      <c r="G16" s="70"/>
      <c r="H16" s="28" t="s">
        <v>284</v>
      </c>
    </row>
    <row r="17" spans="1:8" x14ac:dyDescent="0.35">
      <c r="A17" s="1"/>
      <c r="G17" s="70"/>
      <c r="H17" s="28" t="s">
        <v>92</v>
      </c>
    </row>
    <row r="18" spans="1:8" x14ac:dyDescent="0.35">
      <c r="A18" s="1"/>
      <c r="G18" s="70" t="s">
        <v>285</v>
      </c>
      <c r="H18" s="28" t="s">
        <v>286</v>
      </c>
    </row>
    <row r="19" spans="1:8" ht="13.5" customHeight="1" x14ac:dyDescent="0.35">
      <c r="A19" s="1"/>
      <c r="G19" s="70"/>
      <c r="H19" s="28" t="s">
        <v>93</v>
      </c>
    </row>
    <row r="20" spans="1:8" x14ac:dyDescent="0.35">
      <c r="G20" s="70" t="s">
        <v>287</v>
      </c>
      <c r="H20" s="28" t="s">
        <v>116</v>
      </c>
    </row>
    <row r="21" spans="1:8" x14ac:dyDescent="0.35">
      <c r="G21" s="70"/>
      <c r="H21" s="28" t="s">
        <v>117</v>
      </c>
    </row>
    <row r="22" spans="1:8" x14ac:dyDescent="0.35">
      <c r="G22" s="70"/>
      <c r="H22" s="28" t="s">
        <v>118</v>
      </c>
    </row>
    <row r="23" spans="1:8" x14ac:dyDescent="0.35">
      <c r="A23" s="75" t="s">
        <v>7</v>
      </c>
      <c r="B23" s="75"/>
      <c r="C23" s="5"/>
    </row>
    <row r="24" spans="1:8" x14ac:dyDescent="0.35">
      <c r="A24" s="74" t="s">
        <v>111</v>
      </c>
      <c r="B24" s="74"/>
      <c r="C24" s="72" t="s">
        <v>106</v>
      </c>
      <c r="D24" s="72"/>
      <c r="E24" s="72"/>
      <c r="F24" s="72"/>
      <c r="G24" s="72"/>
      <c r="H24" s="72"/>
    </row>
    <row r="25" spans="1:8" x14ac:dyDescent="0.35">
      <c r="A25" s="74" t="s">
        <v>112</v>
      </c>
      <c r="B25" s="74"/>
      <c r="C25" s="72" t="s">
        <v>107</v>
      </c>
      <c r="D25" s="72"/>
      <c r="E25" s="72"/>
      <c r="F25" s="72"/>
      <c r="G25" s="72"/>
      <c r="H25" s="72"/>
    </row>
    <row r="26" spans="1:8" ht="17.399999999999999" x14ac:dyDescent="0.35">
      <c r="A26" s="74" t="s">
        <v>113</v>
      </c>
      <c r="B26" s="74"/>
      <c r="C26" s="72" t="s">
        <v>108</v>
      </c>
      <c r="D26" s="73"/>
      <c r="E26" s="73"/>
      <c r="F26" s="73"/>
      <c r="G26" s="73"/>
      <c r="H26" s="73"/>
    </row>
    <row r="27" spans="1:8" ht="17.399999999999999" x14ac:dyDescent="0.35">
      <c r="A27" s="74" t="s">
        <v>114</v>
      </c>
      <c r="B27" s="74"/>
      <c r="C27" s="72" t="s">
        <v>109</v>
      </c>
      <c r="D27" s="73"/>
      <c r="E27" s="73"/>
      <c r="F27" s="73"/>
      <c r="G27" s="73"/>
      <c r="H27" s="73"/>
    </row>
    <row r="28" spans="1:8" ht="17.399999999999999" x14ac:dyDescent="0.35">
      <c r="A28" s="74" t="s">
        <v>115</v>
      </c>
      <c r="B28" s="74"/>
      <c r="C28" s="72" t="s">
        <v>110</v>
      </c>
      <c r="D28" s="73"/>
      <c r="E28" s="73"/>
      <c r="F28" s="73"/>
      <c r="G28" s="73"/>
      <c r="H28" s="73"/>
    </row>
    <row r="31" spans="1:8" x14ac:dyDescent="0.35">
      <c r="G31" s="7"/>
    </row>
  </sheetData>
  <mergeCells count="19">
    <mergeCell ref="A25:B25"/>
    <mergeCell ref="A26:B26"/>
    <mergeCell ref="A27:B27"/>
    <mergeCell ref="A28:B28"/>
    <mergeCell ref="A23:B23"/>
    <mergeCell ref="A24:B24"/>
    <mergeCell ref="A11:B11"/>
    <mergeCell ref="G3:G6"/>
    <mergeCell ref="G7:G8"/>
    <mergeCell ref="G9:G11"/>
    <mergeCell ref="G12:G14"/>
    <mergeCell ref="C26:H26"/>
    <mergeCell ref="C27:H27"/>
    <mergeCell ref="C28:H28"/>
    <mergeCell ref="G15:G17"/>
    <mergeCell ref="G18:G19"/>
    <mergeCell ref="G20:G22"/>
    <mergeCell ref="C24:H24"/>
    <mergeCell ref="C25:H2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topLeftCell="A15" workbookViewId="0">
      <selection activeCell="C12" sqref="C12"/>
    </sheetView>
  </sheetViews>
  <sheetFormatPr defaultColWidth="9" defaultRowHeight="15.6" x14ac:dyDescent="0.35"/>
  <cols>
    <col min="1" max="1" width="3.69921875" style="1" bestFit="1" customWidth="1"/>
    <col min="2" max="2" width="19.5" style="1" customWidth="1"/>
    <col min="3" max="6" width="9" style="1"/>
    <col min="7" max="7" width="18.796875" style="1" bestFit="1" customWidth="1"/>
    <col min="8" max="8" width="91.09765625" style="1" bestFit="1" customWidth="1"/>
    <col min="9" max="16384" width="9" style="1"/>
  </cols>
  <sheetData>
    <row r="1" spans="1:8" ht="21" x14ac:dyDescent="0.35">
      <c r="A1" s="17" t="s">
        <v>81</v>
      </c>
    </row>
    <row r="3" spans="1:8" x14ac:dyDescent="0.35">
      <c r="A3" s="6" t="s">
        <v>30</v>
      </c>
      <c r="B3" s="6" t="s">
        <v>0</v>
      </c>
      <c r="C3" s="6" t="s">
        <v>95</v>
      </c>
      <c r="D3" s="6" t="s">
        <v>1</v>
      </c>
      <c r="E3" s="6" t="s">
        <v>2</v>
      </c>
      <c r="G3" s="70" t="s">
        <v>55</v>
      </c>
      <c r="H3" s="28" t="s">
        <v>222</v>
      </c>
    </row>
    <row r="4" spans="1:8" x14ac:dyDescent="0.35">
      <c r="A4" s="14">
        <v>1</v>
      </c>
      <c r="B4" s="10" t="s">
        <v>61</v>
      </c>
      <c r="C4" s="51">
        <v>3</v>
      </c>
      <c r="D4" s="2">
        <v>0.2</v>
      </c>
      <c r="E4" s="11">
        <f>C4*D4</f>
        <v>0.60000000000000009</v>
      </c>
      <c r="G4" s="70"/>
      <c r="H4" s="28" t="s">
        <v>223</v>
      </c>
    </row>
    <row r="5" spans="1:8" x14ac:dyDescent="0.35">
      <c r="A5" s="14">
        <v>2</v>
      </c>
      <c r="B5" s="10" t="s">
        <v>62</v>
      </c>
      <c r="C5" s="51">
        <v>3</v>
      </c>
      <c r="D5" s="2">
        <v>0.15</v>
      </c>
      <c r="E5" s="11">
        <f t="shared" ref="E5:E11" si="0">C5*D5</f>
        <v>0.44999999999999996</v>
      </c>
      <c r="G5" s="70"/>
      <c r="H5" s="28" t="s">
        <v>224</v>
      </c>
    </row>
    <row r="6" spans="1:8" x14ac:dyDescent="0.35">
      <c r="A6" s="14">
        <v>3</v>
      </c>
      <c r="B6" s="10" t="s">
        <v>63</v>
      </c>
      <c r="C6" s="51">
        <v>4</v>
      </c>
      <c r="D6" s="2">
        <v>0.1</v>
      </c>
      <c r="E6" s="11">
        <f t="shared" si="0"/>
        <v>0.4</v>
      </c>
      <c r="G6" s="70"/>
      <c r="H6" s="28" t="s">
        <v>225</v>
      </c>
    </row>
    <row r="7" spans="1:8" x14ac:dyDescent="0.35">
      <c r="A7" s="14">
        <v>4</v>
      </c>
      <c r="B7" s="10" t="s">
        <v>64</v>
      </c>
      <c r="C7" s="51">
        <v>2</v>
      </c>
      <c r="D7" s="2">
        <v>0.1</v>
      </c>
      <c r="E7" s="11">
        <f t="shared" si="0"/>
        <v>0.2</v>
      </c>
      <c r="G7" s="70" t="s">
        <v>56</v>
      </c>
      <c r="H7" s="28" t="s">
        <v>310</v>
      </c>
    </row>
    <row r="8" spans="1:8" x14ac:dyDescent="0.35">
      <c r="A8" s="14">
        <v>5</v>
      </c>
      <c r="B8" s="10" t="s">
        <v>65</v>
      </c>
      <c r="C8" s="51">
        <v>5</v>
      </c>
      <c r="D8" s="2">
        <v>0.1</v>
      </c>
      <c r="E8" s="11">
        <f t="shared" si="0"/>
        <v>0.5</v>
      </c>
      <c r="G8" s="70"/>
      <c r="H8" s="28" t="s">
        <v>226</v>
      </c>
    </row>
    <row r="9" spans="1:8" x14ac:dyDescent="0.35">
      <c r="A9" s="14">
        <v>6</v>
      </c>
      <c r="B9" s="10" t="s">
        <v>66</v>
      </c>
      <c r="C9" s="51">
        <v>4</v>
      </c>
      <c r="D9" s="2">
        <v>0.15</v>
      </c>
      <c r="E9" s="11">
        <f t="shared" si="0"/>
        <v>0.6</v>
      </c>
      <c r="G9" s="70"/>
      <c r="H9" s="28" t="s">
        <v>227</v>
      </c>
    </row>
    <row r="10" spans="1:8" x14ac:dyDescent="0.35">
      <c r="A10" s="14">
        <v>7</v>
      </c>
      <c r="B10" s="10" t="s">
        <v>252</v>
      </c>
      <c r="C10" s="51">
        <v>2</v>
      </c>
      <c r="D10" s="2">
        <v>0.1</v>
      </c>
      <c r="E10" s="11">
        <f t="shared" si="0"/>
        <v>0.2</v>
      </c>
      <c r="G10" s="70"/>
      <c r="H10" s="28" t="s">
        <v>228</v>
      </c>
    </row>
    <row r="11" spans="1:8" x14ac:dyDescent="0.35">
      <c r="A11" s="14">
        <v>8</v>
      </c>
      <c r="B11" s="10" t="s">
        <v>250</v>
      </c>
      <c r="C11" s="51">
        <v>2</v>
      </c>
      <c r="D11" s="2">
        <v>0.1</v>
      </c>
      <c r="E11" s="11">
        <f t="shared" si="0"/>
        <v>0.2</v>
      </c>
      <c r="G11" s="70" t="s">
        <v>57</v>
      </c>
      <c r="H11" s="28" t="s">
        <v>229</v>
      </c>
    </row>
    <row r="12" spans="1:8" x14ac:dyDescent="0.35">
      <c r="A12" s="60" t="s">
        <v>6</v>
      </c>
      <c r="B12" s="60"/>
      <c r="C12" s="12">
        <f>SUM(C4:C11)</f>
        <v>25</v>
      </c>
      <c r="D12" s="9">
        <f>SUM(D4:D11)</f>
        <v>0.99999999999999989</v>
      </c>
      <c r="E12" s="12">
        <f>SUM(E4:E11)</f>
        <v>3.1500000000000008</v>
      </c>
      <c r="G12" s="70"/>
      <c r="H12" s="28" t="s">
        <v>230</v>
      </c>
    </row>
    <row r="13" spans="1:8" x14ac:dyDescent="0.35">
      <c r="G13" s="70"/>
      <c r="H13" s="28" t="s">
        <v>231</v>
      </c>
    </row>
    <row r="14" spans="1:8" x14ac:dyDescent="0.35">
      <c r="B14" s="13" t="s">
        <v>7</v>
      </c>
      <c r="C14" s="5"/>
      <c r="D14" s="5"/>
      <c r="E14" s="5"/>
      <c r="G14" s="70"/>
      <c r="H14" s="28" t="s">
        <v>232</v>
      </c>
    </row>
    <row r="15" spans="1:8" x14ac:dyDescent="0.35">
      <c r="B15" s="76" t="s">
        <v>96</v>
      </c>
      <c r="C15" s="76"/>
      <c r="D15" s="76"/>
      <c r="E15" s="76"/>
      <c r="G15" s="70" t="s">
        <v>58</v>
      </c>
      <c r="H15" s="28" t="s">
        <v>233</v>
      </c>
    </row>
    <row r="16" spans="1:8" x14ac:dyDescent="0.35">
      <c r="B16" s="76" t="s">
        <v>97</v>
      </c>
      <c r="C16" s="77"/>
      <c r="D16" s="77"/>
      <c r="E16" s="77"/>
      <c r="G16" s="70"/>
      <c r="H16" s="28" t="s">
        <v>234</v>
      </c>
    </row>
    <row r="17" spans="2:8" x14ac:dyDescent="0.35">
      <c r="B17" s="76" t="s">
        <v>98</v>
      </c>
      <c r="C17" s="77"/>
      <c r="D17" s="77"/>
      <c r="E17" s="77"/>
      <c r="G17" s="70"/>
      <c r="H17" s="28" t="s">
        <v>235</v>
      </c>
    </row>
    <row r="18" spans="2:8" x14ac:dyDescent="0.35">
      <c r="B18" s="76" t="s">
        <v>99</v>
      </c>
      <c r="C18" s="77"/>
      <c r="D18" s="77"/>
      <c r="E18" s="77"/>
      <c r="G18" s="70"/>
      <c r="H18" s="28" t="s">
        <v>236</v>
      </c>
    </row>
    <row r="19" spans="2:8" x14ac:dyDescent="0.35">
      <c r="B19" s="76" t="s">
        <v>100</v>
      </c>
      <c r="C19" s="77"/>
      <c r="D19" s="77"/>
      <c r="E19" s="77"/>
      <c r="G19" s="70" t="s">
        <v>59</v>
      </c>
      <c r="H19" s="28" t="s">
        <v>237</v>
      </c>
    </row>
    <row r="20" spans="2:8" x14ac:dyDescent="0.35">
      <c r="G20" s="70"/>
      <c r="H20" s="28" t="s">
        <v>238</v>
      </c>
    </row>
    <row r="21" spans="2:8" x14ac:dyDescent="0.35">
      <c r="G21" s="70"/>
      <c r="H21" s="28" t="s">
        <v>239</v>
      </c>
    </row>
    <row r="22" spans="2:8" x14ac:dyDescent="0.35">
      <c r="G22" s="70" t="s">
        <v>60</v>
      </c>
      <c r="H22" s="28" t="s">
        <v>240</v>
      </c>
    </row>
    <row r="23" spans="2:8" x14ac:dyDescent="0.35">
      <c r="G23" s="70"/>
      <c r="H23" s="28" t="s">
        <v>241</v>
      </c>
    </row>
    <row r="24" spans="2:8" x14ac:dyDescent="0.35">
      <c r="G24" s="70" t="s">
        <v>247</v>
      </c>
      <c r="H24" s="28" t="s">
        <v>242</v>
      </c>
    </row>
    <row r="25" spans="2:8" x14ac:dyDescent="0.35">
      <c r="G25" s="70"/>
      <c r="H25" s="28" t="s">
        <v>243</v>
      </c>
    </row>
    <row r="26" spans="2:8" x14ac:dyDescent="0.35">
      <c r="G26" s="70" t="s">
        <v>248</v>
      </c>
      <c r="H26" s="28" t="s">
        <v>244</v>
      </c>
    </row>
    <row r="27" spans="2:8" x14ac:dyDescent="0.35">
      <c r="G27" s="70"/>
      <c r="H27" s="28" t="s">
        <v>245</v>
      </c>
    </row>
    <row r="28" spans="2:8" x14ac:dyDescent="0.35">
      <c r="G28" s="70"/>
      <c r="H28" s="28" t="s">
        <v>246</v>
      </c>
    </row>
    <row r="29" spans="2:8" ht="13.5" customHeight="1" x14ac:dyDescent="0.35"/>
    <row r="43" spans="7:7" x14ac:dyDescent="0.35">
      <c r="G43" s="8"/>
    </row>
  </sheetData>
  <mergeCells count="14">
    <mergeCell ref="B18:E18"/>
    <mergeCell ref="B19:E19"/>
    <mergeCell ref="A12:B12"/>
    <mergeCell ref="B15:E15"/>
    <mergeCell ref="B16:E16"/>
    <mergeCell ref="B17:E17"/>
    <mergeCell ref="G11:G14"/>
    <mergeCell ref="G7:G10"/>
    <mergeCell ref="G3:G6"/>
    <mergeCell ref="G26:G28"/>
    <mergeCell ref="G24:G25"/>
    <mergeCell ref="G22:G23"/>
    <mergeCell ref="G19:G21"/>
    <mergeCell ref="G15:G1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topLeftCell="A12" workbookViewId="0">
      <selection activeCell="C10" sqref="C10"/>
    </sheetView>
  </sheetViews>
  <sheetFormatPr defaultColWidth="9.09765625" defaultRowHeight="15.6" x14ac:dyDescent="0.35"/>
  <cols>
    <col min="1" max="1" width="3.69921875" style="1" bestFit="1" customWidth="1"/>
    <col min="2" max="2" width="23.09765625" style="1" customWidth="1"/>
    <col min="3" max="6" width="9.09765625" style="1"/>
    <col min="7" max="7" width="27.796875" style="1" bestFit="1" customWidth="1"/>
    <col min="8" max="8" width="79.59765625" style="1" bestFit="1" customWidth="1"/>
    <col min="9" max="16384" width="9.09765625" style="1"/>
  </cols>
  <sheetData>
    <row r="1" spans="1:8" ht="21" x14ac:dyDescent="0.35">
      <c r="A1" s="17" t="s">
        <v>82</v>
      </c>
    </row>
    <row r="3" spans="1:8" x14ac:dyDescent="0.35">
      <c r="A3" s="6" t="s">
        <v>30</v>
      </c>
      <c r="B3" s="6" t="s">
        <v>0</v>
      </c>
      <c r="C3" s="6" t="s">
        <v>95</v>
      </c>
      <c r="D3" s="6" t="s">
        <v>1</v>
      </c>
      <c r="E3" s="6" t="s">
        <v>2</v>
      </c>
      <c r="G3" s="70" t="s">
        <v>253</v>
      </c>
      <c r="H3" s="28" t="s">
        <v>254</v>
      </c>
    </row>
    <row r="4" spans="1:8" x14ac:dyDescent="0.35">
      <c r="A4" s="14">
        <v>1</v>
      </c>
      <c r="B4" s="10" t="s">
        <v>275</v>
      </c>
      <c r="C4" s="51">
        <v>3</v>
      </c>
      <c r="D4" s="2">
        <v>0.3</v>
      </c>
      <c r="E4" s="11">
        <f>C4*D4</f>
        <v>0.89999999999999991</v>
      </c>
      <c r="G4" s="70"/>
      <c r="H4" s="28" t="s">
        <v>255</v>
      </c>
    </row>
    <row r="5" spans="1:8" x14ac:dyDescent="0.35">
      <c r="A5" s="14">
        <v>2</v>
      </c>
      <c r="B5" s="10" t="s">
        <v>50</v>
      </c>
      <c r="C5" s="51">
        <v>3</v>
      </c>
      <c r="D5" s="2">
        <v>0.15</v>
      </c>
      <c r="E5" s="11">
        <f t="shared" ref="E5:E9" si="0">C5*D5</f>
        <v>0.44999999999999996</v>
      </c>
      <c r="G5" s="70"/>
      <c r="H5" s="28" t="s">
        <v>256</v>
      </c>
    </row>
    <row r="6" spans="1:8" x14ac:dyDescent="0.35">
      <c r="A6" s="14">
        <v>3</v>
      </c>
      <c r="B6" s="10" t="s">
        <v>276</v>
      </c>
      <c r="C6" s="51">
        <v>3</v>
      </c>
      <c r="D6" s="2">
        <v>0.15</v>
      </c>
      <c r="E6" s="11">
        <f t="shared" si="0"/>
        <v>0.44999999999999996</v>
      </c>
      <c r="G6" s="70"/>
      <c r="H6" s="28" t="s">
        <v>257</v>
      </c>
    </row>
    <row r="7" spans="1:8" x14ac:dyDescent="0.35">
      <c r="A7" s="14">
        <v>4</v>
      </c>
      <c r="B7" s="10" t="s">
        <v>277</v>
      </c>
      <c r="C7" s="51">
        <v>3</v>
      </c>
      <c r="D7" s="2">
        <v>0.2</v>
      </c>
      <c r="E7" s="11">
        <f t="shared" si="0"/>
        <v>0.60000000000000009</v>
      </c>
      <c r="G7" s="70" t="s">
        <v>258</v>
      </c>
      <c r="H7" s="28" t="s">
        <v>259</v>
      </c>
    </row>
    <row r="8" spans="1:8" x14ac:dyDescent="0.35">
      <c r="A8" s="14">
        <v>5</v>
      </c>
      <c r="B8" s="10" t="s">
        <v>278</v>
      </c>
      <c r="C8" s="51">
        <v>4</v>
      </c>
      <c r="D8" s="2">
        <v>0.1</v>
      </c>
      <c r="E8" s="11">
        <f t="shared" si="0"/>
        <v>0.4</v>
      </c>
      <c r="G8" s="70"/>
      <c r="H8" s="28" t="s">
        <v>260</v>
      </c>
    </row>
    <row r="9" spans="1:8" x14ac:dyDescent="0.35">
      <c r="A9" s="14">
        <v>6</v>
      </c>
      <c r="B9" s="10" t="s">
        <v>279</v>
      </c>
      <c r="C9" s="51">
        <v>4</v>
      </c>
      <c r="D9" s="2">
        <v>0.1</v>
      </c>
      <c r="E9" s="11">
        <f t="shared" si="0"/>
        <v>0.4</v>
      </c>
      <c r="G9" s="70"/>
      <c r="H9" s="28" t="s">
        <v>261</v>
      </c>
    </row>
    <row r="10" spans="1:8" x14ac:dyDescent="0.35">
      <c r="A10" s="60" t="s">
        <v>6</v>
      </c>
      <c r="B10" s="60"/>
      <c r="C10" s="12" t="s">
        <v>313</v>
      </c>
      <c r="D10" s="9">
        <f>SUM(D3:D9)</f>
        <v>1</v>
      </c>
      <c r="E10" s="12">
        <f>SUM(E4:E9)</f>
        <v>3.1999999999999997</v>
      </c>
      <c r="G10" s="70" t="s">
        <v>69</v>
      </c>
      <c r="H10" s="28" t="s">
        <v>262</v>
      </c>
    </row>
    <row r="11" spans="1:8" ht="15.6" customHeight="1" x14ac:dyDescent="0.35">
      <c r="G11" s="70"/>
      <c r="H11" s="28" t="s">
        <v>263</v>
      </c>
    </row>
    <row r="12" spans="1:8" x14ac:dyDescent="0.35">
      <c r="G12" s="70"/>
      <c r="H12" s="28" t="s">
        <v>264</v>
      </c>
    </row>
    <row r="13" spans="1:8" x14ac:dyDescent="0.35">
      <c r="G13" s="70" t="s">
        <v>70</v>
      </c>
      <c r="H13" s="28" t="s">
        <v>265</v>
      </c>
    </row>
    <row r="14" spans="1:8" x14ac:dyDescent="0.35">
      <c r="B14" s="13" t="s">
        <v>7</v>
      </c>
      <c r="C14" s="5"/>
      <c r="D14" s="5"/>
      <c r="E14" s="5"/>
      <c r="G14" s="70"/>
      <c r="H14" s="28" t="s">
        <v>266</v>
      </c>
    </row>
    <row r="15" spans="1:8" x14ac:dyDescent="0.35">
      <c r="B15" s="76" t="s">
        <v>102</v>
      </c>
      <c r="C15" s="76"/>
      <c r="D15" s="76"/>
      <c r="E15" s="76"/>
      <c r="G15" s="70"/>
      <c r="H15" s="28" t="s">
        <v>267</v>
      </c>
    </row>
    <row r="16" spans="1:8" x14ac:dyDescent="0.35">
      <c r="B16" s="76" t="s">
        <v>101</v>
      </c>
      <c r="C16" s="77"/>
      <c r="D16" s="77"/>
      <c r="E16" s="77"/>
      <c r="G16" s="70" t="s">
        <v>268</v>
      </c>
      <c r="H16" s="28" t="s">
        <v>269</v>
      </c>
    </row>
    <row r="17" spans="2:8" x14ac:dyDescent="0.35">
      <c r="B17" s="76" t="s">
        <v>103</v>
      </c>
      <c r="C17" s="77"/>
      <c r="D17" s="77"/>
      <c r="E17" s="77"/>
      <c r="G17" s="70"/>
      <c r="H17" s="28" t="s">
        <v>270</v>
      </c>
    </row>
    <row r="18" spans="2:8" x14ac:dyDescent="0.35">
      <c r="B18" s="76" t="s">
        <v>104</v>
      </c>
      <c r="C18" s="77"/>
      <c r="D18" s="77"/>
      <c r="E18" s="77"/>
      <c r="G18" s="70"/>
      <c r="H18" s="28" t="s">
        <v>271</v>
      </c>
    </row>
    <row r="19" spans="2:8" x14ac:dyDescent="0.35">
      <c r="B19" s="76" t="s">
        <v>105</v>
      </c>
      <c r="C19" s="77"/>
      <c r="D19" s="77"/>
      <c r="E19" s="77"/>
      <c r="G19" s="70" t="s">
        <v>272</v>
      </c>
      <c r="H19" s="28" t="s">
        <v>273</v>
      </c>
    </row>
    <row r="20" spans="2:8" x14ac:dyDescent="0.35">
      <c r="G20" s="70"/>
      <c r="H20" s="28" t="s">
        <v>274</v>
      </c>
    </row>
    <row r="27" spans="2:8" ht="13.5" customHeight="1" x14ac:dyDescent="0.35"/>
    <row r="33" spans="7:7" x14ac:dyDescent="0.35">
      <c r="G33" s="8"/>
    </row>
  </sheetData>
  <mergeCells count="12">
    <mergeCell ref="B19:E19"/>
    <mergeCell ref="G19:G20"/>
    <mergeCell ref="G3:G6"/>
    <mergeCell ref="G7:G9"/>
    <mergeCell ref="G10:G12"/>
    <mergeCell ref="G13:G15"/>
    <mergeCell ref="G16:G18"/>
    <mergeCell ref="B15:E15"/>
    <mergeCell ref="B16:E16"/>
    <mergeCell ref="B17:E17"/>
    <mergeCell ref="B18:E18"/>
    <mergeCell ref="A10:B10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8"/>
  <sheetViews>
    <sheetView workbookViewId="0">
      <selection sqref="A1:E1"/>
    </sheetView>
  </sheetViews>
  <sheetFormatPr defaultColWidth="9" defaultRowHeight="10.8" x14ac:dyDescent="0.25"/>
  <cols>
    <col min="1" max="1" width="3.296875" style="16" bestFit="1" customWidth="1"/>
    <col min="2" max="2" width="19.5" style="16" bestFit="1" customWidth="1"/>
    <col min="3" max="5" width="7.796875" style="16" customWidth="1"/>
    <col min="6" max="16384" width="9" style="16"/>
  </cols>
  <sheetData>
    <row r="1" spans="1:5" x14ac:dyDescent="0.25">
      <c r="A1" s="78" t="s">
        <v>78</v>
      </c>
      <c r="B1" s="78"/>
      <c r="C1" s="78"/>
      <c r="D1" s="78"/>
      <c r="E1" s="78"/>
    </row>
    <row r="2" spans="1:5" x14ac:dyDescent="0.25">
      <c r="A2" s="18" t="s">
        <v>30</v>
      </c>
      <c r="B2" s="18" t="s">
        <v>0</v>
      </c>
      <c r="C2" s="18" t="s">
        <v>95</v>
      </c>
      <c r="D2" s="18" t="s">
        <v>1</v>
      </c>
      <c r="E2" s="18" t="s">
        <v>2</v>
      </c>
    </row>
    <row r="3" spans="1:5" x14ac:dyDescent="0.25">
      <c r="A3" s="22">
        <v>1</v>
      </c>
      <c r="B3" s="23" t="s">
        <v>20</v>
      </c>
      <c r="C3" s="24">
        <v>10</v>
      </c>
      <c r="D3" s="25">
        <v>0.1</v>
      </c>
      <c r="E3" s="26">
        <f>C3*D3</f>
        <v>1</v>
      </c>
    </row>
    <row r="4" spans="1:5" x14ac:dyDescent="0.25">
      <c r="A4" s="22">
        <v>2</v>
      </c>
      <c r="B4" s="23" t="s">
        <v>21</v>
      </c>
      <c r="C4" s="24">
        <v>10</v>
      </c>
      <c r="D4" s="25">
        <v>0.1</v>
      </c>
      <c r="E4" s="26">
        <f t="shared" ref="E4:E12" si="0">C4*D4</f>
        <v>1</v>
      </c>
    </row>
    <row r="5" spans="1:5" x14ac:dyDescent="0.25">
      <c r="A5" s="22">
        <v>3</v>
      </c>
      <c r="B5" s="23" t="s">
        <v>22</v>
      </c>
      <c r="C5" s="24">
        <v>10</v>
      </c>
      <c r="D5" s="25">
        <v>0.1</v>
      </c>
      <c r="E5" s="26">
        <f t="shared" si="0"/>
        <v>1</v>
      </c>
    </row>
    <row r="6" spans="1:5" x14ac:dyDescent="0.25">
      <c r="A6" s="22">
        <v>4</v>
      </c>
      <c r="B6" s="23" t="s">
        <v>23</v>
      </c>
      <c r="C6" s="24">
        <v>10</v>
      </c>
      <c r="D6" s="25">
        <v>0.1</v>
      </c>
      <c r="E6" s="26">
        <f t="shared" si="0"/>
        <v>1</v>
      </c>
    </row>
    <row r="7" spans="1:5" x14ac:dyDescent="0.25">
      <c r="A7" s="22">
        <v>5</v>
      </c>
      <c r="B7" s="23" t="s">
        <v>24</v>
      </c>
      <c r="C7" s="24">
        <v>10</v>
      </c>
      <c r="D7" s="25">
        <v>0.1</v>
      </c>
      <c r="E7" s="26">
        <f t="shared" si="0"/>
        <v>1</v>
      </c>
    </row>
    <row r="8" spans="1:5" x14ac:dyDescent="0.25">
      <c r="A8" s="22">
        <v>6</v>
      </c>
      <c r="B8" s="23" t="s">
        <v>25</v>
      </c>
      <c r="C8" s="24">
        <v>10</v>
      </c>
      <c r="D8" s="25">
        <v>0.1</v>
      </c>
      <c r="E8" s="26">
        <f t="shared" si="0"/>
        <v>1</v>
      </c>
    </row>
    <row r="9" spans="1:5" x14ac:dyDescent="0.25">
      <c r="A9" s="22">
        <v>7</v>
      </c>
      <c r="B9" s="23" t="s">
        <v>26</v>
      </c>
      <c r="C9" s="24">
        <v>10</v>
      </c>
      <c r="D9" s="25">
        <v>0.1</v>
      </c>
      <c r="E9" s="26">
        <f t="shared" si="0"/>
        <v>1</v>
      </c>
    </row>
    <row r="10" spans="1:5" x14ac:dyDescent="0.25">
      <c r="A10" s="22">
        <v>8</v>
      </c>
      <c r="B10" s="23" t="s">
        <v>27</v>
      </c>
      <c r="C10" s="24">
        <v>10</v>
      </c>
      <c r="D10" s="25">
        <v>0.1</v>
      </c>
      <c r="E10" s="26">
        <f t="shared" si="0"/>
        <v>1</v>
      </c>
    </row>
    <row r="11" spans="1:5" x14ac:dyDescent="0.25">
      <c r="A11" s="22">
        <v>9</v>
      </c>
      <c r="B11" s="23" t="s">
        <v>28</v>
      </c>
      <c r="C11" s="24">
        <v>10</v>
      </c>
      <c r="D11" s="25">
        <v>0.1</v>
      </c>
      <c r="E11" s="26">
        <f t="shared" si="0"/>
        <v>1</v>
      </c>
    </row>
    <row r="12" spans="1:5" x14ac:dyDescent="0.25">
      <c r="A12" s="22">
        <v>10</v>
      </c>
      <c r="B12" s="23" t="s">
        <v>29</v>
      </c>
      <c r="C12" s="24">
        <v>10</v>
      </c>
      <c r="D12" s="25">
        <v>0.1</v>
      </c>
      <c r="E12" s="26">
        <f t="shared" si="0"/>
        <v>1</v>
      </c>
    </row>
    <row r="13" spans="1:5" x14ac:dyDescent="0.25">
      <c r="A13" s="79" t="s">
        <v>6</v>
      </c>
      <c r="B13" s="79"/>
      <c r="C13" s="19">
        <f>SUM(C3:C12)</f>
        <v>100</v>
      </c>
      <c r="D13" s="20">
        <f>SUM(D3:D12)</f>
        <v>0.99999999999999989</v>
      </c>
      <c r="E13" s="19">
        <f>SUM(E3:E12)</f>
        <v>10</v>
      </c>
    </row>
    <row r="14" spans="1:5" x14ac:dyDescent="0.25">
      <c r="A14" s="80"/>
      <c r="B14" s="80"/>
      <c r="C14" s="80"/>
      <c r="D14" s="80"/>
      <c r="E14" s="80"/>
    </row>
    <row r="15" spans="1:5" x14ac:dyDescent="0.25">
      <c r="A15" s="80" t="s">
        <v>79</v>
      </c>
      <c r="B15" s="80"/>
      <c r="C15" s="80"/>
      <c r="D15" s="80"/>
      <c r="E15" s="80"/>
    </row>
    <row r="16" spans="1:5" x14ac:dyDescent="0.25">
      <c r="A16" s="18" t="s">
        <v>30</v>
      </c>
      <c r="B16" s="18" t="s">
        <v>0</v>
      </c>
      <c r="C16" s="18" t="s">
        <v>95</v>
      </c>
      <c r="D16" s="18" t="s">
        <v>1</v>
      </c>
      <c r="E16" s="18" t="s">
        <v>2</v>
      </c>
    </row>
    <row r="17" spans="1:5" x14ac:dyDescent="0.25">
      <c r="A17" s="22">
        <v>1</v>
      </c>
      <c r="B17" s="23" t="s">
        <v>36</v>
      </c>
      <c r="C17" s="24">
        <v>10</v>
      </c>
      <c r="D17" s="25">
        <v>0.15</v>
      </c>
      <c r="E17" s="26">
        <f>C17*D17</f>
        <v>1.5</v>
      </c>
    </row>
    <row r="18" spans="1:5" x14ac:dyDescent="0.25">
      <c r="A18" s="22">
        <v>2</v>
      </c>
      <c r="B18" s="23" t="s">
        <v>37</v>
      </c>
      <c r="C18" s="24">
        <v>10</v>
      </c>
      <c r="D18" s="25">
        <v>0.15</v>
      </c>
      <c r="E18" s="26">
        <f t="shared" ref="E18:E25" si="1">C18*D18</f>
        <v>1.5</v>
      </c>
    </row>
    <row r="19" spans="1:5" x14ac:dyDescent="0.25">
      <c r="A19" s="22">
        <v>3</v>
      </c>
      <c r="B19" s="23" t="s">
        <v>38</v>
      </c>
      <c r="C19" s="24">
        <v>10</v>
      </c>
      <c r="D19" s="25">
        <v>0.1</v>
      </c>
      <c r="E19" s="26">
        <f t="shared" si="1"/>
        <v>1</v>
      </c>
    </row>
    <row r="20" spans="1:5" x14ac:dyDescent="0.25">
      <c r="A20" s="22">
        <v>4</v>
      </c>
      <c r="B20" s="23" t="s">
        <v>39</v>
      </c>
      <c r="C20" s="24">
        <v>10</v>
      </c>
      <c r="D20" s="25">
        <v>0.1</v>
      </c>
      <c r="E20" s="26">
        <f t="shared" si="1"/>
        <v>1</v>
      </c>
    </row>
    <row r="21" spans="1:5" x14ac:dyDescent="0.25">
      <c r="A21" s="22">
        <v>5</v>
      </c>
      <c r="B21" s="23" t="s">
        <v>40</v>
      </c>
      <c r="C21" s="24">
        <v>10</v>
      </c>
      <c r="D21" s="25">
        <v>0.1</v>
      </c>
      <c r="E21" s="26">
        <f t="shared" si="1"/>
        <v>1</v>
      </c>
    </row>
    <row r="22" spans="1:5" x14ac:dyDescent="0.25">
      <c r="A22" s="22">
        <v>6</v>
      </c>
      <c r="B22" s="23" t="s">
        <v>41</v>
      </c>
      <c r="C22" s="24">
        <v>10</v>
      </c>
      <c r="D22" s="25">
        <v>0.1</v>
      </c>
      <c r="E22" s="26">
        <f t="shared" si="1"/>
        <v>1</v>
      </c>
    </row>
    <row r="23" spans="1:5" x14ac:dyDescent="0.25">
      <c r="A23" s="22">
        <v>7</v>
      </c>
      <c r="B23" s="23" t="s">
        <v>42</v>
      </c>
      <c r="C23" s="24">
        <v>10</v>
      </c>
      <c r="D23" s="25">
        <v>0.1</v>
      </c>
      <c r="E23" s="26">
        <f t="shared" si="1"/>
        <v>1</v>
      </c>
    </row>
    <row r="24" spans="1:5" x14ac:dyDescent="0.25">
      <c r="A24" s="22">
        <v>8</v>
      </c>
      <c r="B24" s="23" t="s">
        <v>5</v>
      </c>
      <c r="C24" s="24">
        <v>10</v>
      </c>
      <c r="D24" s="25">
        <v>0.1</v>
      </c>
      <c r="E24" s="26">
        <f t="shared" si="1"/>
        <v>1</v>
      </c>
    </row>
    <row r="25" spans="1:5" x14ac:dyDescent="0.25">
      <c r="A25" s="22">
        <v>9</v>
      </c>
      <c r="B25" s="23" t="s">
        <v>43</v>
      </c>
      <c r="C25" s="24">
        <v>10</v>
      </c>
      <c r="D25" s="25">
        <v>0.1</v>
      </c>
      <c r="E25" s="26">
        <f t="shared" si="1"/>
        <v>1</v>
      </c>
    </row>
    <row r="26" spans="1:5" x14ac:dyDescent="0.25">
      <c r="A26" s="79" t="s">
        <v>6</v>
      </c>
      <c r="B26" s="79"/>
      <c r="C26" s="19">
        <f>SUM(C17:C25)</f>
        <v>90</v>
      </c>
      <c r="D26" s="20">
        <f>SUM(D17:D25)</f>
        <v>0.99999999999999989</v>
      </c>
      <c r="E26" s="19">
        <f>SUM(E17:E25)</f>
        <v>10</v>
      </c>
    </row>
    <row r="27" spans="1:5" x14ac:dyDescent="0.25">
      <c r="A27" s="80"/>
      <c r="B27" s="80"/>
      <c r="C27" s="80"/>
      <c r="D27" s="80"/>
      <c r="E27" s="80"/>
    </row>
    <row r="28" spans="1:5" x14ac:dyDescent="0.25">
      <c r="A28" s="80" t="s">
        <v>80</v>
      </c>
      <c r="B28" s="80"/>
      <c r="C28" s="80"/>
      <c r="D28" s="80"/>
      <c r="E28" s="80"/>
    </row>
    <row r="29" spans="1:5" x14ac:dyDescent="0.25">
      <c r="A29" s="18" t="s">
        <v>30</v>
      </c>
      <c r="B29" s="18" t="s">
        <v>0</v>
      </c>
      <c r="C29" s="18" t="s">
        <v>95</v>
      </c>
      <c r="D29" s="18" t="s">
        <v>1</v>
      </c>
      <c r="E29" s="18" t="s">
        <v>2</v>
      </c>
    </row>
    <row r="30" spans="1:5" x14ac:dyDescent="0.25">
      <c r="A30" s="22">
        <v>1</v>
      </c>
      <c r="B30" s="27" t="s">
        <v>49</v>
      </c>
      <c r="C30" s="24">
        <v>4</v>
      </c>
      <c r="D30" s="25">
        <v>0.3</v>
      </c>
      <c r="E30" s="26">
        <f>C30*D30</f>
        <v>1.2</v>
      </c>
    </row>
    <row r="31" spans="1:5" x14ac:dyDescent="0.25">
      <c r="A31" s="22">
        <v>2</v>
      </c>
      <c r="B31" s="27" t="s">
        <v>50</v>
      </c>
      <c r="C31" s="24">
        <v>3</v>
      </c>
      <c r="D31" s="25">
        <v>0.2</v>
      </c>
      <c r="E31" s="26">
        <v>0.45</v>
      </c>
    </row>
    <row r="32" spans="1:5" x14ac:dyDescent="0.25">
      <c r="A32" s="22">
        <v>3</v>
      </c>
      <c r="B32" s="27" t="s">
        <v>51</v>
      </c>
      <c r="C32" s="24">
        <v>5</v>
      </c>
      <c r="D32" s="25">
        <v>0.2</v>
      </c>
      <c r="E32" s="26">
        <v>1</v>
      </c>
    </row>
    <row r="33" spans="1:5" x14ac:dyDescent="0.25">
      <c r="A33" s="22">
        <v>4</v>
      </c>
      <c r="B33" s="27" t="s">
        <v>52</v>
      </c>
      <c r="C33" s="24">
        <v>2</v>
      </c>
      <c r="D33" s="25">
        <v>0.2</v>
      </c>
      <c r="E33" s="26">
        <v>0.4</v>
      </c>
    </row>
    <row r="34" spans="1:5" x14ac:dyDescent="0.25">
      <c r="A34" s="22">
        <v>5</v>
      </c>
      <c r="B34" s="27" t="s">
        <v>53</v>
      </c>
      <c r="C34" s="24">
        <v>4</v>
      </c>
      <c r="D34" s="25">
        <v>0.1</v>
      </c>
      <c r="E34" s="26">
        <v>0.4</v>
      </c>
    </row>
    <row r="35" spans="1:5" x14ac:dyDescent="0.25">
      <c r="A35" s="79" t="s">
        <v>6</v>
      </c>
      <c r="B35" s="79"/>
      <c r="C35" s="19">
        <f>SUM(C30:C34)</f>
        <v>18</v>
      </c>
      <c r="D35" s="20">
        <f>SUM(D30:D34)</f>
        <v>0.99999999999999989</v>
      </c>
      <c r="E35" s="21">
        <f>SUM(E30:E34)</f>
        <v>3.4499999999999997</v>
      </c>
    </row>
    <row r="36" spans="1:5" x14ac:dyDescent="0.25">
      <c r="A36" s="80"/>
      <c r="B36" s="80"/>
      <c r="C36" s="80"/>
      <c r="D36" s="80"/>
      <c r="E36" s="80"/>
    </row>
    <row r="37" spans="1:5" x14ac:dyDescent="0.25">
      <c r="A37" s="80" t="s">
        <v>81</v>
      </c>
      <c r="B37" s="80"/>
      <c r="C37" s="80"/>
      <c r="D37" s="80"/>
      <c r="E37" s="80"/>
    </row>
    <row r="38" spans="1:5" x14ac:dyDescent="0.25">
      <c r="A38" s="18" t="s">
        <v>30</v>
      </c>
      <c r="B38" s="18" t="s">
        <v>0</v>
      </c>
      <c r="C38" s="18" t="s">
        <v>95</v>
      </c>
      <c r="D38" s="18" t="s">
        <v>1</v>
      </c>
      <c r="E38" s="18" t="s">
        <v>2</v>
      </c>
    </row>
    <row r="39" spans="1:5" x14ac:dyDescent="0.25">
      <c r="A39" s="22">
        <v>1</v>
      </c>
      <c r="B39" s="27" t="s">
        <v>61</v>
      </c>
      <c r="C39" s="24">
        <v>4</v>
      </c>
      <c r="D39" s="25">
        <v>0.2</v>
      </c>
      <c r="E39" s="26">
        <f>C39*D39</f>
        <v>0.8</v>
      </c>
    </row>
    <row r="40" spans="1:5" x14ac:dyDescent="0.25">
      <c r="A40" s="22">
        <v>2</v>
      </c>
      <c r="B40" s="27" t="s">
        <v>62</v>
      </c>
      <c r="C40" s="24">
        <v>5</v>
      </c>
      <c r="D40" s="25">
        <v>0.15</v>
      </c>
      <c r="E40" s="26">
        <f t="shared" ref="E40:E46" si="2">C40*D40</f>
        <v>0.75</v>
      </c>
    </row>
    <row r="41" spans="1:5" x14ac:dyDescent="0.25">
      <c r="A41" s="22">
        <v>3</v>
      </c>
      <c r="B41" s="27" t="s">
        <v>63</v>
      </c>
      <c r="C41" s="24">
        <v>4</v>
      </c>
      <c r="D41" s="25">
        <v>0.1</v>
      </c>
      <c r="E41" s="26">
        <f t="shared" si="2"/>
        <v>0.4</v>
      </c>
    </row>
    <row r="42" spans="1:5" x14ac:dyDescent="0.25">
      <c r="A42" s="22">
        <v>4</v>
      </c>
      <c r="B42" s="27" t="s">
        <v>64</v>
      </c>
      <c r="C42" s="24">
        <v>2</v>
      </c>
      <c r="D42" s="25">
        <v>0.1</v>
      </c>
      <c r="E42" s="26">
        <f t="shared" si="2"/>
        <v>0.2</v>
      </c>
    </row>
    <row r="43" spans="1:5" x14ac:dyDescent="0.25">
      <c r="A43" s="22">
        <v>5</v>
      </c>
      <c r="B43" s="27" t="s">
        <v>65</v>
      </c>
      <c r="C43" s="24">
        <v>3</v>
      </c>
      <c r="D43" s="25">
        <v>0.1</v>
      </c>
      <c r="E43" s="26">
        <f t="shared" si="2"/>
        <v>0.30000000000000004</v>
      </c>
    </row>
    <row r="44" spans="1:5" x14ac:dyDescent="0.25">
      <c r="A44" s="22">
        <v>6</v>
      </c>
      <c r="B44" s="27" t="s">
        <v>66</v>
      </c>
      <c r="C44" s="24">
        <v>4</v>
      </c>
      <c r="D44" s="25">
        <v>0.15</v>
      </c>
      <c r="E44" s="26">
        <f t="shared" si="2"/>
        <v>0.6</v>
      </c>
    </row>
    <row r="45" spans="1:5" x14ac:dyDescent="0.25">
      <c r="A45" s="22">
        <v>7</v>
      </c>
      <c r="B45" s="27" t="s">
        <v>67</v>
      </c>
      <c r="C45" s="24">
        <v>5</v>
      </c>
      <c r="D45" s="25">
        <v>0.1</v>
      </c>
      <c r="E45" s="26">
        <f t="shared" si="2"/>
        <v>0.5</v>
      </c>
    </row>
    <row r="46" spans="1:5" x14ac:dyDescent="0.25">
      <c r="A46" s="22">
        <v>8</v>
      </c>
      <c r="B46" s="27" t="s">
        <v>68</v>
      </c>
      <c r="C46" s="24">
        <v>6</v>
      </c>
      <c r="D46" s="25">
        <v>0.1</v>
      </c>
      <c r="E46" s="26">
        <f t="shared" si="2"/>
        <v>0.60000000000000009</v>
      </c>
    </row>
    <row r="47" spans="1:5" x14ac:dyDescent="0.25">
      <c r="A47" s="79" t="s">
        <v>6</v>
      </c>
      <c r="B47" s="79"/>
      <c r="C47" s="21">
        <f>SUM(C39:C46)</f>
        <v>33</v>
      </c>
      <c r="D47" s="20">
        <f>SUM(D39:D46)</f>
        <v>0.99999999999999989</v>
      </c>
      <c r="E47" s="21">
        <f>SUM(E39:E46)</f>
        <v>4.1500000000000004</v>
      </c>
    </row>
    <row r="48" spans="1:5" x14ac:dyDescent="0.25">
      <c r="A48" s="80"/>
      <c r="B48" s="80"/>
      <c r="C48" s="80"/>
      <c r="D48" s="80"/>
      <c r="E48" s="80"/>
    </row>
    <row r="49" spans="1:5" x14ac:dyDescent="0.25">
      <c r="A49" s="80" t="s">
        <v>82</v>
      </c>
      <c r="B49" s="80"/>
      <c r="C49" s="80"/>
      <c r="D49" s="80"/>
      <c r="E49" s="80"/>
    </row>
    <row r="50" spans="1:5" x14ac:dyDescent="0.25">
      <c r="A50" s="18" t="s">
        <v>30</v>
      </c>
      <c r="B50" s="18" t="s">
        <v>0</v>
      </c>
      <c r="C50" s="18" t="s">
        <v>95</v>
      </c>
      <c r="D50" s="18" t="s">
        <v>1</v>
      </c>
      <c r="E50" s="18" t="s">
        <v>2</v>
      </c>
    </row>
    <row r="51" spans="1:5" x14ac:dyDescent="0.25">
      <c r="A51" s="22">
        <v>1</v>
      </c>
      <c r="B51" s="27" t="s">
        <v>71</v>
      </c>
      <c r="C51" s="24">
        <v>4</v>
      </c>
      <c r="D51" s="25">
        <v>0.3</v>
      </c>
      <c r="E51" s="26">
        <f>C51*D51</f>
        <v>1.2</v>
      </c>
    </row>
    <row r="52" spans="1:5" x14ac:dyDescent="0.25">
      <c r="A52" s="22">
        <v>2</v>
      </c>
      <c r="B52" s="27" t="s">
        <v>72</v>
      </c>
      <c r="C52" s="24">
        <v>5</v>
      </c>
      <c r="D52" s="25">
        <v>0.1</v>
      </c>
      <c r="E52" s="26">
        <f t="shared" ref="E52:E57" si="3">C52*D52</f>
        <v>0.5</v>
      </c>
    </row>
    <row r="53" spans="1:5" x14ac:dyDescent="0.25">
      <c r="A53" s="22">
        <v>3</v>
      </c>
      <c r="B53" s="27" t="s">
        <v>73</v>
      </c>
      <c r="C53" s="24">
        <v>3</v>
      </c>
      <c r="D53" s="25">
        <v>0.1</v>
      </c>
      <c r="E53" s="26">
        <f t="shared" si="3"/>
        <v>0.30000000000000004</v>
      </c>
    </row>
    <row r="54" spans="1:5" x14ac:dyDescent="0.25">
      <c r="A54" s="22">
        <v>4</v>
      </c>
      <c r="B54" s="27" t="s">
        <v>74</v>
      </c>
      <c r="C54" s="24">
        <v>4</v>
      </c>
      <c r="D54" s="25">
        <v>0.2</v>
      </c>
      <c r="E54" s="26">
        <f t="shared" si="3"/>
        <v>0.8</v>
      </c>
    </row>
    <row r="55" spans="1:5" x14ac:dyDescent="0.25">
      <c r="A55" s="22">
        <v>5</v>
      </c>
      <c r="B55" s="27" t="s">
        <v>75</v>
      </c>
      <c r="C55" s="24">
        <v>3</v>
      </c>
      <c r="D55" s="25">
        <v>0.1</v>
      </c>
      <c r="E55" s="26">
        <f t="shared" si="3"/>
        <v>0.30000000000000004</v>
      </c>
    </row>
    <row r="56" spans="1:5" x14ac:dyDescent="0.25">
      <c r="A56" s="22">
        <v>6</v>
      </c>
      <c r="B56" s="27" t="s">
        <v>76</v>
      </c>
      <c r="C56" s="24">
        <v>2</v>
      </c>
      <c r="D56" s="25">
        <v>0.1</v>
      </c>
      <c r="E56" s="26">
        <f t="shared" si="3"/>
        <v>0.2</v>
      </c>
    </row>
    <row r="57" spans="1:5" x14ac:dyDescent="0.25">
      <c r="A57" s="22">
        <v>7</v>
      </c>
      <c r="B57" s="27" t="s">
        <v>77</v>
      </c>
      <c r="C57" s="24"/>
      <c r="D57" s="25">
        <v>0.1</v>
      </c>
      <c r="E57" s="26">
        <f t="shared" si="3"/>
        <v>0</v>
      </c>
    </row>
    <row r="58" spans="1:5" x14ac:dyDescent="0.25">
      <c r="A58" s="79" t="s">
        <v>6</v>
      </c>
      <c r="B58" s="79"/>
      <c r="C58" s="21">
        <f>SUM(C51:C57)</f>
        <v>21</v>
      </c>
      <c r="D58" s="20">
        <f>SUM(D51:D57)</f>
        <v>0.99999999999999989</v>
      </c>
      <c r="E58" s="21">
        <f>SUM(E51:E57)</f>
        <v>3.3</v>
      </c>
    </row>
  </sheetData>
  <mergeCells count="14">
    <mergeCell ref="A1:E1"/>
    <mergeCell ref="A26:B26"/>
    <mergeCell ref="A35:B35"/>
    <mergeCell ref="A47:B47"/>
    <mergeCell ref="A58:B58"/>
    <mergeCell ref="A49:E49"/>
    <mergeCell ref="A37:E37"/>
    <mergeCell ref="A28:E28"/>
    <mergeCell ref="A15:E15"/>
    <mergeCell ref="A14:E14"/>
    <mergeCell ref="A27:E27"/>
    <mergeCell ref="A36:E36"/>
    <mergeCell ref="A48:E48"/>
    <mergeCell ref="A13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사업 종합 난이도 평가</vt:lpstr>
      <vt:lpstr>1.기술적난이도</vt:lpstr>
      <vt:lpstr>2.요구사항복잡성</vt:lpstr>
      <vt:lpstr>3.프로젝트팀구성</vt:lpstr>
      <vt:lpstr>4.프로젝트관리</vt:lpstr>
      <vt:lpstr>5.외부의존성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2026-02-24T00:30:49Z</dcterms:modified>
</cp:coreProperties>
</file>