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다른 컴퓨터\내 노트북\WeMB\02.Project\VRB\"/>
    </mc:Choice>
  </mc:AlternateContent>
  <bookViews>
    <workbookView xWindow="0" yWindow="0" windowWidth="17280" windowHeight="11820"/>
  </bookViews>
  <sheets>
    <sheet name="예상MD산정" sheetId="4" r:id="rId1"/>
    <sheet name="난이도" sheetId="1" r:id="rId2"/>
    <sheet name="3D 모델링" sheetId="5" r:id="rId3"/>
    <sheet name="P&amp;ID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5" l="1"/>
  <c r="E16" i="5" s="1"/>
  <c r="E13" i="5"/>
  <c r="E14" i="5" l="1"/>
  <c r="H9" i="4"/>
  <c r="E14" i="4"/>
  <c r="E24" i="4" l="1"/>
  <c r="H6" i="4"/>
  <c r="H7" i="4"/>
  <c r="I7" i="4" s="1"/>
  <c r="H8" i="4"/>
  <c r="E29" i="4" l="1"/>
  <c r="I9" i="4" s="1"/>
  <c r="J9" i="4" s="1"/>
  <c r="I8" i="4"/>
  <c r="J8" i="4" s="1"/>
  <c r="J7" i="4"/>
  <c r="I6" i="4"/>
  <c r="J6" i="4" s="1"/>
  <c r="E13" i="4"/>
  <c r="E5" i="4"/>
  <c r="E6" i="4"/>
  <c r="E7" i="4"/>
  <c r="E8" i="4"/>
  <c r="E9" i="4"/>
  <c r="E10" i="4"/>
  <c r="E11" i="4"/>
  <c r="E12" i="4"/>
  <c r="E15" i="4"/>
  <c r="E16" i="4"/>
  <c r="E17" i="4"/>
  <c r="E18" i="4"/>
  <c r="E19" i="4"/>
  <c r="E20" i="4"/>
  <c r="E21" i="4"/>
  <c r="H5" i="4" s="1"/>
  <c r="E22" i="4"/>
  <c r="E23" i="4"/>
  <c r="E25" i="4"/>
  <c r="E26" i="4"/>
  <c r="E27" i="4"/>
  <c r="E28" i="4"/>
  <c r="H4" i="4" l="1"/>
  <c r="D7" i="6"/>
  <c r="D8" i="6"/>
  <c r="D9" i="6"/>
  <c r="D6" i="6"/>
  <c r="D5" i="6"/>
  <c r="I5" i="6" l="1"/>
  <c r="D10" i="6" s="1"/>
  <c r="D11" i="6" l="1"/>
  <c r="E4" i="4" l="1"/>
  <c r="E30" i="4" s="1"/>
  <c r="E4" i="5" l="1"/>
  <c r="E5" i="5"/>
  <c r="E6" i="5"/>
  <c r="E7" i="5"/>
  <c r="E8" i="5"/>
  <c r="E9" i="5"/>
  <c r="E10" i="5"/>
  <c r="E11" i="5"/>
  <c r="E12" i="5"/>
  <c r="J3" i="5" l="1"/>
  <c r="E3" i="4" l="1"/>
  <c r="H3" i="4" l="1"/>
  <c r="D43" i="1"/>
  <c r="E43" i="1" l="1"/>
  <c r="D60" i="1"/>
  <c r="E60" i="1" s="1"/>
  <c r="I3" i="4" l="1"/>
  <c r="I5" i="4"/>
  <c r="J5" i="4" s="1"/>
  <c r="I4" i="4"/>
  <c r="J4" i="4" s="1"/>
  <c r="J10" i="4" l="1"/>
</calcChain>
</file>

<file path=xl/comments1.xml><?xml version="1.0" encoding="utf-8"?>
<comments xmlns="http://schemas.openxmlformats.org/spreadsheetml/2006/main">
  <authors>
    <author>HWJEONG</author>
  </authors>
  <commentList>
    <comment ref="I7" authorId="0" shapeId="0">
      <text>
        <r>
          <rPr>
            <b/>
            <sz val="9"/>
            <color indexed="81"/>
            <rFont val="돋움"/>
            <family val="3"/>
            <charset val="129"/>
          </rPr>
          <t>메타버스용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캐릭터는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난이도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comments2.xml><?xml version="1.0" encoding="utf-8"?>
<comments xmlns="http://schemas.openxmlformats.org/spreadsheetml/2006/main">
  <authors>
    <author>hyeonuc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 xml:space="preserve">0 </t>
        </r>
        <r>
          <rPr>
            <b/>
            <sz val="9"/>
            <color indexed="81"/>
            <rFont val="돋움"/>
            <family val="3"/>
            <charset val="129"/>
          </rPr>
          <t>해당없음</t>
        </r>
        <r>
          <rPr>
            <b/>
            <sz val="9"/>
            <color indexed="81"/>
            <rFont val="Tahoma"/>
            <family val="2"/>
          </rPr>
          <t xml:space="preserve">, 
1 </t>
        </r>
        <r>
          <rPr>
            <b/>
            <sz val="9"/>
            <color indexed="81"/>
            <rFont val="돋움"/>
            <family val="3"/>
            <charset val="129"/>
          </rPr>
          <t>낮음</t>
        </r>
        <r>
          <rPr>
            <b/>
            <sz val="9"/>
            <color indexed="81"/>
            <rFont val="Tahoma"/>
            <family val="2"/>
          </rPr>
          <t xml:space="preserve">, 
2 </t>
        </r>
        <r>
          <rPr>
            <b/>
            <sz val="9"/>
            <color indexed="81"/>
            <rFont val="돋움"/>
            <family val="3"/>
            <charset val="129"/>
          </rPr>
          <t>보통</t>
        </r>
        <r>
          <rPr>
            <b/>
            <sz val="9"/>
            <color indexed="81"/>
            <rFont val="Tahoma"/>
            <family val="2"/>
          </rPr>
          <t xml:space="preserve">, 
3 </t>
        </r>
        <r>
          <rPr>
            <b/>
            <sz val="9"/>
            <color indexed="81"/>
            <rFont val="돋움"/>
            <family val="3"/>
            <charset val="129"/>
          </rPr>
          <t>높음</t>
        </r>
      </text>
    </comment>
    <comment ref="E2" authorId="0" shapeId="0">
      <text>
        <r>
          <rPr>
            <b/>
            <sz val="9"/>
            <color indexed="81"/>
            <rFont val="돋움"/>
            <family val="3"/>
            <charset val="129"/>
          </rPr>
          <t>가중치</t>
        </r>
        <r>
          <rPr>
            <b/>
            <sz val="9"/>
            <color indexed="81"/>
            <rFont val="Tahoma"/>
            <family val="2"/>
          </rPr>
          <t xml:space="preserve"> W = (</t>
        </r>
        <r>
          <rPr>
            <b/>
            <sz val="9"/>
            <color indexed="81"/>
            <rFont val="돋움"/>
            <family val="3"/>
            <charset val="129"/>
          </rPr>
          <t>난이도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점수</t>
        </r>
        <r>
          <rPr>
            <b/>
            <sz val="9"/>
            <color indexed="81"/>
            <rFont val="Tahoma"/>
            <family val="2"/>
          </rPr>
          <t>) ÷ (</t>
        </r>
        <r>
          <rPr>
            <b/>
            <sz val="9"/>
            <color indexed="81"/>
            <rFont val="돋움"/>
            <family val="3"/>
            <charset val="129"/>
          </rPr>
          <t>보통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난이도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기준점수</t>
        </r>
        <r>
          <rPr>
            <b/>
            <sz val="9"/>
            <color indexed="81"/>
            <rFont val="Tahoma"/>
            <family val="2"/>
          </rPr>
          <t xml:space="preserve"> 80)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6" authorId="0" shapeId="0">
      <text>
        <r>
          <rPr>
            <b/>
            <sz val="9"/>
            <color indexed="81"/>
            <rFont val="Tahoma"/>
            <family val="2"/>
          </rPr>
          <t xml:space="preserve">0 </t>
        </r>
        <r>
          <rPr>
            <b/>
            <sz val="9"/>
            <color indexed="81"/>
            <rFont val="돋움"/>
            <family val="3"/>
            <charset val="129"/>
          </rPr>
          <t>해당없음</t>
        </r>
        <r>
          <rPr>
            <b/>
            <sz val="9"/>
            <color indexed="81"/>
            <rFont val="Tahoma"/>
            <family val="2"/>
          </rPr>
          <t xml:space="preserve">, 
1 </t>
        </r>
        <r>
          <rPr>
            <b/>
            <sz val="9"/>
            <color indexed="81"/>
            <rFont val="돋움"/>
            <family val="3"/>
            <charset val="129"/>
          </rPr>
          <t>낮음</t>
        </r>
        <r>
          <rPr>
            <b/>
            <sz val="9"/>
            <color indexed="81"/>
            <rFont val="Tahoma"/>
            <family val="2"/>
          </rPr>
          <t xml:space="preserve">, 
2 </t>
        </r>
        <r>
          <rPr>
            <b/>
            <sz val="9"/>
            <color indexed="81"/>
            <rFont val="돋움"/>
            <family val="3"/>
            <charset val="129"/>
          </rPr>
          <t>보통</t>
        </r>
        <r>
          <rPr>
            <b/>
            <sz val="9"/>
            <color indexed="81"/>
            <rFont val="Tahoma"/>
            <family val="2"/>
          </rPr>
          <t xml:space="preserve">, 
3 </t>
        </r>
        <r>
          <rPr>
            <b/>
            <sz val="9"/>
            <color indexed="81"/>
            <rFont val="돋움"/>
            <family val="3"/>
            <charset val="129"/>
          </rPr>
          <t>높음</t>
        </r>
      </text>
    </comment>
  </commentList>
</comments>
</file>

<file path=xl/comments3.xml><?xml version="1.0" encoding="utf-8"?>
<comments xmlns="http://schemas.openxmlformats.org/spreadsheetml/2006/main">
  <authors>
    <author>HWJEONG</author>
  </authors>
  <commentList>
    <comment ref="E14" authorId="0" shapeId="0">
      <text>
        <r>
          <rPr>
            <b/>
            <sz val="9"/>
            <color indexed="81"/>
            <rFont val="돋움"/>
            <family val="3"/>
            <charset val="129"/>
          </rPr>
          <t>가중치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sharedStrings.xml><?xml version="1.0" encoding="utf-8"?>
<sst xmlns="http://schemas.openxmlformats.org/spreadsheetml/2006/main" count="292" uniqueCount="233">
  <si>
    <t>요구사항 정의서 미제공</t>
  </si>
  <si>
    <t>고객의 IT 이해도 낮음</t>
  </si>
  <si>
    <t>기술적 소통 난이도 상승</t>
  </si>
  <si>
    <t>고객 의사결정자 부재 또는 다수</t>
  </si>
  <si>
    <t>업무 기능 ≥ 5개 모듈로 나눠짐</t>
  </si>
  <si>
    <t>업무 도메인 분리가 뚜렷함</t>
  </si>
  <si>
    <t>사용자 정의 기능 많음</t>
  </si>
  <si>
    <t>워크플로우, 조건부 입력 등</t>
  </si>
  <si>
    <t>권한, 조직별 접근 제한 포함</t>
  </si>
  <si>
    <t>Role-based UI 구성 필요</t>
  </si>
  <si>
    <t>예약 실행, 로그처리 등 필요</t>
  </si>
  <si>
    <t>실시간 연계 포함</t>
  </si>
  <si>
    <t>마이그레이션 포함</t>
  </si>
  <si>
    <t>사용자 권한 분기 3단계 이상</t>
  </si>
  <si>
    <t>화면별 권한 설정 필수</t>
  </si>
  <si>
    <t>데이터 암호화 필요</t>
  </si>
  <si>
    <t>전송/저장 모두 포함</t>
  </si>
  <si>
    <t>공공기관 보안규격 준수</t>
  </si>
  <si>
    <t>ISMS, CC 등 인증 요건 있음</t>
  </si>
  <si>
    <t>납기 ≤ 2개월</t>
  </si>
  <si>
    <t>기간 촉박</t>
  </si>
  <si>
    <t>병행 프로젝트 존재</t>
  </si>
  <si>
    <t>고객 내부 승인 절차 복잡</t>
  </si>
  <si>
    <t>주 단위 납품 일정 요구</t>
  </si>
  <si>
    <t>세분화된 일정 관리 필요</t>
  </si>
  <si>
    <t>프로젝트 기간 ≥ 12개월</t>
  </si>
  <si>
    <t>고객사 상주 필수</t>
  </si>
  <si>
    <t>피로도, 업무 밀도, 팀 운영 난이도 ↑</t>
  </si>
  <si>
    <t>인수인계 등 중간 공백 위험 존재</t>
  </si>
  <si>
    <t>고객 내부 정치적 이슈 있음</t>
  </si>
  <si>
    <t>차트, 그래프, 맵, KPI 등</t>
  </si>
  <si>
    <t>사용자 정의 필터 지원</t>
  </si>
  <si>
    <t>사용자 조건별 실시간 필터링</t>
  </si>
  <si>
    <t>실시간 데이터 갱신 ≤ 5초</t>
  </si>
  <si>
    <t>WebSocket, polling 등</t>
  </si>
  <si>
    <t>데이터 적재량 ≥ 1M건 이상</t>
  </si>
  <si>
    <t>대용량 처리 및 성능 고려 필요</t>
  </si>
  <si>
    <t>시각화 기준 사용자 피드백 빈도 높음</t>
  </si>
  <si>
    <t>빈번한 디자인 요구 변경</t>
  </si>
  <si>
    <t>Drill-down, Drill-through 지원</t>
  </si>
  <si>
    <t>다단계 KPI 분석 제공</t>
  </si>
  <si>
    <t>실측 기반 센서 연동 필요</t>
  </si>
  <si>
    <t>온도, 진동, 전력 등 실시간 수집</t>
  </si>
  <si>
    <t>장비 연동/제어 포함</t>
  </si>
  <si>
    <t>IoT, PLC, DCS 등 장비 제어 기능 포함</t>
  </si>
  <si>
    <t>좌표 정렬, 스케일링 등 포함</t>
  </si>
  <si>
    <t>시뮬레이션 기능 요구</t>
  </si>
  <si>
    <t>시나리오 기반 상태 예측/분석</t>
  </si>
  <si>
    <t>외부 물리엔진 연계 필요</t>
  </si>
  <si>
    <t>Unity, Unreal, MATLAB 등 포함</t>
  </si>
  <si>
    <t>공간정보 시스템 연계 필요</t>
  </si>
  <si>
    <t>GIS, LBS 포함 시</t>
  </si>
  <si>
    <t>DWG/IFC 등 정합성 양호</t>
  </si>
  <si>
    <t>CAD 일부 + 사진 병행</t>
  </si>
  <si>
    <t>누락 도면 보완 필요</t>
  </si>
  <si>
    <t>3D 모델링을 사진 기반 추정</t>
  </si>
  <si>
    <t>기술 환경</t>
    <phoneticPr fontId="1" type="noConversion"/>
  </si>
  <si>
    <t>보안 및 인증</t>
    <phoneticPr fontId="1" type="noConversion"/>
  </si>
  <si>
    <t>상주 위치 원거리</t>
    <phoneticPr fontId="1" type="noConversion"/>
  </si>
  <si>
    <t>출장, 교통, 숙소 등 추가 리스크</t>
    <phoneticPr fontId="1" type="noConversion"/>
  </si>
  <si>
    <t>일정/자원 집중 어려움</t>
    <phoneticPr fontId="1" type="noConversion"/>
  </si>
  <si>
    <t>장기 인력 유지/교체 이슈</t>
    <phoneticPr fontId="1" type="noConversion"/>
  </si>
  <si>
    <t>구두/회의 중심 전달</t>
    <phoneticPr fontId="1" type="noConversion"/>
  </si>
  <si>
    <t>스펙 Freeze 어려움</t>
    <phoneticPr fontId="1" type="noConversion"/>
  </si>
  <si>
    <t>승인/결정 지연 가능성</t>
    <phoneticPr fontId="1" type="noConversion"/>
  </si>
  <si>
    <t>요구사항 수시 변경 예상</t>
    <phoneticPr fontId="1" type="noConversion"/>
  </si>
  <si>
    <t>API, DB 연동 등</t>
    <phoneticPr fontId="1" type="noConversion"/>
  </si>
  <si>
    <t>Webhook, Event 등</t>
  </si>
  <si>
    <t>레거시 시스템 연계</t>
  </si>
  <si>
    <t>명세 미비, 파악 난이도 ↑</t>
  </si>
  <si>
    <t>인증/SSO 연동 포함</t>
  </si>
  <si>
    <t>AD, OAuth 등</t>
  </si>
  <si>
    <t>PDF/Excel 출력 등</t>
  </si>
  <si>
    <t>대용량 데이터 처리</t>
  </si>
  <si>
    <t>100만건 이상</t>
  </si>
  <si>
    <t>데이터 정제/이관</t>
  </si>
  <si>
    <t>정합성 검증 포함</t>
  </si>
  <si>
    <t>정확도 중요</t>
  </si>
  <si>
    <t>클라우드 환경 구축</t>
  </si>
  <si>
    <t>AWS, Azure 등</t>
  </si>
  <si>
    <t>Hybrid 인프라</t>
  </si>
  <si>
    <t>온프 + 클라우드 병행</t>
  </si>
  <si>
    <t>신규 기술 도입</t>
  </si>
  <si>
    <t>AI, IoT, GIS 등</t>
  </si>
  <si>
    <t>복잡한 DB (30테이블 이상)</t>
  </si>
  <si>
    <t>관계 정규화 + 성능 고려</t>
  </si>
  <si>
    <t>일정금액 이상 또는 공공과제</t>
  </si>
  <si>
    <t>단계별 감리 진행 (4단계 이상)</t>
  </si>
  <si>
    <t>분석/설계/개발/종료 감리</t>
  </si>
  <si>
    <t>감리 전담 인력 부재</t>
  </si>
  <si>
    <t>기존 개발팀이 대응까지 담당</t>
  </si>
  <si>
    <t>감리</t>
    <phoneticPr fontId="1" type="noConversion"/>
  </si>
  <si>
    <t>외주 인력과의 협업 필수</t>
    <phoneticPr fontId="1" type="noConversion"/>
  </si>
  <si>
    <t>SI 협력사, 고객 IT팀, 프리랜서 등 협조 필요</t>
    <phoneticPr fontId="1" type="noConversion"/>
  </si>
  <si>
    <t>디지털트윈</t>
  </si>
  <si>
    <t>실시간 좌표계 변환 필요</t>
    <phoneticPr fontId="1" type="noConversion"/>
  </si>
  <si>
    <t>내용</t>
    <phoneticPr fontId="1" type="noConversion"/>
  </si>
  <si>
    <t>설명</t>
    <phoneticPr fontId="1" type="noConversion"/>
  </si>
  <si>
    <t>난이도</t>
    <phoneticPr fontId="1" type="noConversion"/>
  </si>
  <si>
    <t>배치 프로세스 포함</t>
    <phoneticPr fontId="1" type="noConversion"/>
  </si>
  <si>
    <t>화면 ≥ 20개</t>
    <phoneticPr fontId="1" type="noConversion"/>
  </si>
  <si>
    <t>외부 시스템 연계 ≥ 5개</t>
    <phoneticPr fontId="1" type="noConversion"/>
  </si>
  <si>
    <t>CRUD 중심 화면, 팝업포함</t>
    <phoneticPr fontId="1" type="noConversion"/>
  </si>
  <si>
    <t>인력 교체 가능성 있음 (예: 6개월 계약)</t>
    <phoneticPr fontId="1" type="noConversion"/>
  </si>
  <si>
    <t>팀 변경 등 승인 구조 변경</t>
    <phoneticPr fontId="1" type="noConversion"/>
  </si>
  <si>
    <t>요구사항</t>
    <phoneticPr fontId="1" type="noConversion"/>
  </si>
  <si>
    <t>정형 보고서 ≥ 20건</t>
    <phoneticPr fontId="1" type="noConversion"/>
  </si>
  <si>
    <t>대시보드</t>
    <phoneticPr fontId="1" type="noConversion"/>
  </si>
  <si>
    <t>연계 및
외부 시스템</t>
    <phoneticPr fontId="1" type="noConversion"/>
  </si>
  <si>
    <t>데이터 및
보고서</t>
    <phoneticPr fontId="1" type="noConversion"/>
  </si>
  <si>
    <t>운영/인력관리</t>
    <phoneticPr fontId="1" type="noConversion"/>
  </si>
  <si>
    <t>UI/접근성</t>
    <phoneticPr fontId="1" type="noConversion"/>
  </si>
  <si>
    <t>화면, 기능</t>
    <phoneticPr fontId="1" type="noConversion"/>
  </si>
  <si>
    <t>반응형 지원</t>
    <phoneticPr fontId="1" type="noConversion"/>
  </si>
  <si>
    <t>반응형 지원 개발 필요</t>
    <phoneticPr fontId="1" type="noConversion"/>
  </si>
  <si>
    <t>사용자 컴포넌트 필요</t>
    <phoneticPr fontId="1" type="noConversion"/>
  </si>
  <si>
    <t>개발 서버 운영</t>
    <phoneticPr fontId="1" type="noConversion"/>
  </si>
  <si>
    <t>운영서버 직접 반영은 어려움</t>
    <phoneticPr fontId="1" type="noConversion"/>
  </si>
  <si>
    <t>화면마다 승인 필요</t>
    <phoneticPr fontId="1" type="noConversion"/>
  </si>
  <si>
    <t>항목</t>
    <phoneticPr fontId="1" type="noConversion"/>
  </si>
  <si>
    <t>가중치</t>
    <phoneticPr fontId="1" type="noConversion"/>
  </si>
  <si>
    <t>구분</t>
    <phoneticPr fontId="1" type="noConversion"/>
  </si>
  <si>
    <t>난이도</t>
    <phoneticPr fontId="1" type="noConversion"/>
  </si>
  <si>
    <t>비고</t>
    <phoneticPr fontId="1" type="noConversion"/>
  </si>
  <si>
    <t>건물</t>
    <phoneticPr fontId="1" type="noConversion"/>
  </si>
  <si>
    <t>하</t>
    <phoneticPr fontId="1" type="noConversion"/>
  </si>
  <si>
    <t>중</t>
    <phoneticPr fontId="1" type="noConversion"/>
  </si>
  <si>
    <t>중고층 건물, 입면 구성 다양</t>
    <phoneticPr fontId="1" type="noConversion"/>
  </si>
  <si>
    <t>층</t>
    <phoneticPr fontId="1" type="noConversion"/>
  </si>
  <si>
    <t>다소 복잡한 평면 구조</t>
    <phoneticPr fontId="1" type="noConversion"/>
  </si>
  <si>
    <t>상</t>
    <phoneticPr fontId="1" type="noConversion"/>
  </si>
  <si>
    <t>바닥 단차, 복잡 평면 구조</t>
    <phoneticPr fontId="1" type="noConversion"/>
  </si>
  <si>
    <t>설비/장비</t>
    <phoneticPr fontId="1" type="noConversion"/>
  </si>
  <si>
    <t>중형 설비</t>
    <phoneticPr fontId="1" type="noConversion"/>
  </si>
  <si>
    <t>애니메이션 구현</t>
    <phoneticPr fontId="1" type="noConversion"/>
  </si>
  <si>
    <t>효과,애니메이션,사운드 등 포함</t>
    <phoneticPr fontId="1" type="noConversion"/>
  </si>
  <si>
    <t>구분</t>
    <phoneticPr fontId="1" type="noConversion"/>
  </si>
  <si>
    <t>구분</t>
    <phoneticPr fontId="1" type="noConversion"/>
  </si>
  <si>
    <t>O 공통 적용</t>
    <phoneticPr fontId="1" type="noConversion"/>
  </si>
  <si>
    <t>O 분야별 적용</t>
    <phoneticPr fontId="1" type="noConversion"/>
  </si>
  <si>
    <t>O MD산정 가중치</t>
    <phoneticPr fontId="1" type="noConversion"/>
  </si>
  <si>
    <t>기준MD</t>
    <phoneticPr fontId="1" type="noConversion"/>
  </si>
  <si>
    <t>수량</t>
    <phoneticPr fontId="1" type="noConversion"/>
  </si>
  <si>
    <t>MD</t>
    <phoneticPr fontId="1" type="noConversion"/>
  </si>
  <si>
    <t>화면(컨텐츠 ≤ 5) 설계 (팝업 포함)</t>
    <phoneticPr fontId="1" type="noConversion"/>
  </si>
  <si>
    <t>화면(컨텐츠 ≥ 5) 설계 (팝업 포함)</t>
    <phoneticPr fontId="1" type="noConversion"/>
  </si>
  <si>
    <t>개발 환경 구축 (서버 설치 포함)</t>
    <phoneticPr fontId="1" type="noConversion"/>
  </si>
  <si>
    <t>화면 개발(컨텐츠 ≤ 5) (팝업 포함)</t>
    <phoneticPr fontId="1" type="noConversion"/>
  </si>
  <si>
    <t>화면 개발(컨텐츠 ≥ 5) (팝업 포함)</t>
    <phoneticPr fontId="1" type="noConversion"/>
  </si>
  <si>
    <t>제품 미사용 연계 개발</t>
    <phoneticPr fontId="1" type="noConversion"/>
  </si>
  <si>
    <t>TIM 워커 DB to DB 등 간단</t>
    <phoneticPr fontId="1" type="noConversion"/>
  </si>
  <si>
    <t>TIM 그 외 워커</t>
    <phoneticPr fontId="1" type="noConversion"/>
  </si>
  <si>
    <t>TIM+ 워크플로우 간단</t>
    <phoneticPr fontId="1" type="noConversion"/>
  </si>
  <si>
    <t>TIM+ 워크플로우 복잡</t>
    <phoneticPr fontId="1" type="noConversion"/>
  </si>
  <si>
    <t>공통 컨셉 디자인</t>
    <phoneticPr fontId="1" type="noConversion"/>
  </si>
  <si>
    <t>화면 디자인 (시안)</t>
    <phoneticPr fontId="1" type="noConversion"/>
  </si>
  <si>
    <t>연계시스템 (분석,설계)</t>
    <phoneticPr fontId="1" type="noConversion"/>
  </si>
  <si>
    <t>DB(테이블) 설계</t>
    <phoneticPr fontId="1" type="noConversion"/>
  </si>
  <si>
    <t>개발</t>
    <phoneticPr fontId="1" type="noConversion"/>
  </si>
  <si>
    <t>I/F</t>
    <phoneticPr fontId="1" type="noConversion"/>
  </si>
  <si>
    <t>기준MD</t>
    <phoneticPr fontId="1" type="noConversion"/>
  </si>
  <si>
    <t>수량</t>
    <phoneticPr fontId="1" type="noConversion"/>
  </si>
  <si>
    <t>산정MD</t>
    <phoneticPr fontId="1" type="noConversion"/>
  </si>
  <si>
    <t>모델링 (건물/층/설비)</t>
    <phoneticPr fontId="1" type="noConversion"/>
  </si>
  <si>
    <t>-</t>
    <phoneticPr fontId="1" type="noConversion"/>
  </si>
  <si>
    <t>현장 실측 → 모델화</t>
    <phoneticPr fontId="1" type="noConversion"/>
  </si>
  <si>
    <t>3D 입력 자료</t>
    <phoneticPr fontId="1" type="noConversion"/>
  </si>
  <si>
    <t>실측 필요</t>
    <phoneticPr fontId="1" type="noConversion"/>
  </si>
  <si>
    <t>모델링 제공</t>
    <phoneticPr fontId="1" type="noConversion"/>
  </si>
  <si>
    <t>배치 등</t>
    <phoneticPr fontId="1" type="noConversion"/>
  </si>
  <si>
    <t>CAD 도면 제공</t>
    <phoneticPr fontId="1" type="noConversion"/>
  </si>
  <si>
    <t>O 3D 모델링(배치 포함) 공수 기준표</t>
    <phoneticPr fontId="1" type="noConversion"/>
  </si>
  <si>
    <t>하</t>
    <phoneticPr fontId="1" type="noConversion"/>
  </si>
  <si>
    <t>중대형 설비, 배관등 구조 복잡(보일러, 터빈 등)</t>
    <phoneticPr fontId="1" type="noConversion"/>
  </si>
  <si>
    <t>박스 형태, 디테일 적음</t>
    <phoneticPr fontId="1" type="noConversion"/>
  </si>
  <si>
    <t>대형 복합건물, 곡면/비정형 파사드</t>
    <phoneticPr fontId="1" type="noConversion"/>
  </si>
  <si>
    <t>단층 건물, 구성요소 적음, 대칭구조</t>
    <phoneticPr fontId="1" type="noConversion"/>
  </si>
  <si>
    <t>단순한 평면구조</t>
    <phoneticPr fontId="1" type="noConversion"/>
  </si>
  <si>
    <t>합계(MD)</t>
    <phoneticPr fontId="1" type="noConversion"/>
  </si>
  <si>
    <t>가중치</t>
    <phoneticPr fontId="1" type="noConversion"/>
  </si>
  <si>
    <t>모바일 지원 포함 (앱,웹앱)</t>
    <phoneticPr fontId="1" type="noConversion"/>
  </si>
  <si>
    <t>합계 (MD)</t>
    <phoneticPr fontId="1" type="noConversion"/>
  </si>
  <si>
    <t>MM</t>
    <phoneticPr fontId="1" type="noConversion"/>
  </si>
  <si>
    <t>부지</t>
    <phoneticPr fontId="1" type="noConversion"/>
  </si>
  <si>
    <t>-</t>
    <phoneticPr fontId="1" type="noConversion"/>
  </si>
  <si>
    <t>감리 대상 프로젝트, 공공산출물</t>
    <phoneticPr fontId="1" type="noConversion"/>
  </si>
  <si>
    <t>PM</t>
    <phoneticPr fontId="1" type="noConversion"/>
  </si>
  <si>
    <t>I/F</t>
    <phoneticPr fontId="1" type="noConversion"/>
  </si>
  <si>
    <t>2D디자인</t>
    <phoneticPr fontId="1" type="noConversion"/>
  </si>
  <si>
    <t>3D모델링</t>
    <phoneticPr fontId="1" type="noConversion"/>
  </si>
  <si>
    <t>공통 (로그인,메뉴,권한,레이아웃 등)</t>
    <phoneticPr fontId="1" type="noConversion"/>
  </si>
  <si>
    <t>PM</t>
    <phoneticPr fontId="1" type="noConversion"/>
  </si>
  <si>
    <t>MD(난이도)</t>
    <phoneticPr fontId="1" type="noConversion"/>
  </si>
  <si>
    <t>MM</t>
    <phoneticPr fontId="1" type="noConversion"/>
  </si>
  <si>
    <t>합계</t>
    <phoneticPr fontId="1" type="noConversion"/>
  </si>
  <si>
    <t>O 예상 인력 투입 공수 (MD)</t>
    <phoneticPr fontId="1" type="noConversion"/>
  </si>
  <si>
    <t>O 예상 인력 투입 공수 (MM)</t>
    <phoneticPr fontId="1" type="noConversion"/>
  </si>
  <si>
    <t>PM/사업관리</t>
    <phoneticPr fontId="1" type="noConversion"/>
  </si>
  <si>
    <t>모델링 제공</t>
  </si>
  <si>
    <t>3D 애니메이션 (효과,사운드)</t>
    <phoneticPr fontId="1" type="noConversion"/>
  </si>
  <si>
    <t>SOP 관리</t>
    <phoneticPr fontId="1" type="noConversion"/>
  </si>
  <si>
    <t>P&amp;ID</t>
    <phoneticPr fontId="1" type="noConversion"/>
  </si>
  <si>
    <t>수기 작성</t>
    <phoneticPr fontId="1" type="noConversion"/>
  </si>
  <si>
    <t>O P&amp;ID 공수 기준표</t>
    <phoneticPr fontId="1" type="noConversion"/>
  </si>
  <si>
    <t>P&amp;ID</t>
    <phoneticPr fontId="1" type="noConversion"/>
  </si>
  <si>
    <t>DrawDX</t>
    <phoneticPr fontId="1" type="noConversion"/>
  </si>
  <si>
    <t>MS Visio DB</t>
  </si>
  <si>
    <t>MS Visio DB</t>
    <phoneticPr fontId="1" type="noConversion"/>
  </si>
  <si>
    <t>SLD</t>
    <phoneticPr fontId="1" type="noConversion"/>
  </si>
  <si>
    <t>P&amp;ID 웹 전환</t>
    <phoneticPr fontId="1" type="noConversion"/>
  </si>
  <si>
    <t>전환 방식</t>
    <phoneticPr fontId="1" type="noConversion"/>
  </si>
  <si>
    <t>P&amp;ID 논의 후
(웹전환수량에 따른 금액산정 필요, 30만?)</t>
    <phoneticPr fontId="1" type="noConversion"/>
  </si>
  <si>
    <t>사진/실측 제공</t>
    <phoneticPr fontId="1" type="noConversion"/>
  </si>
  <si>
    <t>포탈</t>
    <phoneticPr fontId="1" type="noConversion"/>
  </si>
  <si>
    <t>운영 환경 구축</t>
    <phoneticPr fontId="1" type="noConversion"/>
  </si>
  <si>
    <t>포탈 (보고서/통계/설정)</t>
    <phoneticPr fontId="1" type="noConversion"/>
  </si>
  <si>
    <t>개발</t>
    <phoneticPr fontId="1" type="noConversion"/>
  </si>
  <si>
    <t>운영 환경 구축</t>
    <phoneticPr fontId="1" type="noConversion"/>
  </si>
  <si>
    <t>개발</t>
    <phoneticPr fontId="1" type="noConversion"/>
  </si>
  <si>
    <t>설정/보고서/통계 등</t>
    <phoneticPr fontId="1" type="noConversion"/>
  </si>
  <si>
    <t>정현우</t>
    <phoneticPr fontId="1" type="noConversion"/>
  </si>
  <si>
    <t>신동민</t>
    <phoneticPr fontId="1" type="noConversion"/>
  </si>
  <si>
    <t>최진희</t>
    <phoneticPr fontId="1" type="noConversion"/>
  </si>
  <si>
    <t>김령희</t>
    <phoneticPr fontId="1" type="noConversion"/>
  </si>
  <si>
    <t>추민욱</t>
    <phoneticPr fontId="1" type="noConversion"/>
  </si>
  <si>
    <t>최진희</t>
    <phoneticPr fontId="1" type="noConversion"/>
  </si>
  <si>
    <t>이재형</t>
    <phoneticPr fontId="1" type="noConversion"/>
  </si>
  <si>
    <t>메타버스</t>
    <phoneticPr fontId="1" type="noConversion"/>
  </si>
  <si>
    <t>캐릭터</t>
    <phoneticPr fontId="1" type="noConversion"/>
  </si>
  <si>
    <t>메타버스</t>
    <phoneticPr fontId="1" type="noConversion"/>
  </si>
  <si>
    <t>-</t>
    <phoneticPr fontId="1" type="noConversion"/>
  </si>
  <si>
    <t>중복</t>
    <phoneticPr fontId="1" type="noConversion"/>
  </si>
  <si>
    <t>중복 사용 (배치 필요)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</si>
</sst>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_);[Red]\(0.00\)"/>
    <numFmt numFmtId="178" formatCode="#,##0_ "/>
    <numFmt numFmtId="179" formatCode="#,##0_);[Red]\(#,##0\)"/>
    <numFmt numFmtId="180" formatCode="#,##0.00_);[Red]\(#,##0.0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0" tint="-0.499984740745262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7" fillId="0" borderId="0" xfId="0" applyFont="1" applyBorder="1" applyAlignment="1">
      <alignment vertical="center" wrapText="1"/>
    </xf>
    <xf numFmtId="176" fontId="7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>
      <alignment vertical="center"/>
    </xf>
    <xf numFmtId="176" fontId="4" fillId="3" borderId="1" xfId="0" applyNumberFormat="1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78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Fill="1" applyBorder="1" applyAlignment="1">
      <alignment vertical="center"/>
    </xf>
    <xf numFmtId="180" fontId="4" fillId="0" borderId="1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0"/>
  <sheetViews>
    <sheetView tabSelected="1" zoomScaleNormal="100" workbookViewId="0">
      <selection activeCell="I21" sqref="I21"/>
    </sheetView>
  </sheetViews>
  <sheetFormatPr defaultRowHeight="13.5" x14ac:dyDescent="0.3"/>
  <cols>
    <col min="1" max="1" width="10.375" style="2" customWidth="1"/>
    <col min="2" max="2" width="28.625" style="1" customWidth="1"/>
    <col min="3" max="3" width="5.875" style="2" customWidth="1"/>
    <col min="4" max="4" width="9.75" style="6" customWidth="1"/>
    <col min="5" max="5" width="8.125" style="1" customWidth="1"/>
    <col min="6" max="6" width="4.25" style="1" customWidth="1"/>
    <col min="7" max="7" width="10.625" style="1" customWidth="1"/>
    <col min="8" max="8" width="7.5" style="31" customWidth="1"/>
    <col min="9" max="9" width="11.375" style="1" customWidth="1"/>
    <col min="10" max="10" width="8.375" style="1" customWidth="1"/>
    <col min="11" max="11" width="9" style="1" customWidth="1"/>
    <col min="12" max="16384" width="9" style="1"/>
  </cols>
  <sheetData>
    <row r="1" spans="1:11" ht="18.75" customHeight="1" x14ac:dyDescent="0.3">
      <c r="A1" s="31" t="s">
        <v>195</v>
      </c>
      <c r="D1" s="19"/>
      <c r="G1" s="31" t="s">
        <v>196</v>
      </c>
      <c r="J1" s="1">
        <v>22</v>
      </c>
    </row>
    <row r="2" spans="1:11" ht="15.95" customHeight="1" x14ac:dyDescent="0.3">
      <c r="A2" s="23" t="s">
        <v>137</v>
      </c>
      <c r="B2" s="23" t="s">
        <v>96</v>
      </c>
      <c r="C2" s="23" t="s">
        <v>142</v>
      </c>
      <c r="D2" s="23" t="s">
        <v>141</v>
      </c>
      <c r="E2" s="23" t="s">
        <v>143</v>
      </c>
      <c r="G2" s="23" t="s">
        <v>137</v>
      </c>
      <c r="H2" s="23" t="s">
        <v>143</v>
      </c>
      <c r="I2" s="23" t="s">
        <v>192</v>
      </c>
      <c r="J2" s="23" t="s">
        <v>193</v>
      </c>
    </row>
    <row r="3" spans="1:11" ht="15.95" customHeight="1" x14ac:dyDescent="0.3">
      <c r="A3" s="12" t="s">
        <v>191</v>
      </c>
      <c r="B3" s="21" t="s">
        <v>197</v>
      </c>
      <c r="C3" s="12">
        <v>1</v>
      </c>
      <c r="D3" s="12"/>
      <c r="E3" s="35">
        <f>C3*D3</f>
        <v>0</v>
      </c>
      <c r="G3" s="34" t="s">
        <v>186</v>
      </c>
      <c r="H3" s="36">
        <f>SUMIF(A3:A23,G3,E3:E23)</f>
        <v>0</v>
      </c>
      <c r="I3" s="37">
        <f>H3*난이도!E60</f>
        <v>0</v>
      </c>
      <c r="J3" s="37">
        <v>3.5</v>
      </c>
      <c r="K3" s="1" t="s">
        <v>220</v>
      </c>
    </row>
    <row r="4" spans="1:11" ht="15.95" customHeight="1" x14ac:dyDescent="0.3">
      <c r="A4" s="12" t="s">
        <v>158</v>
      </c>
      <c r="B4" s="21" t="s">
        <v>146</v>
      </c>
      <c r="C4" s="12">
        <v>1</v>
      </c>
      <c r="D4" s="12">
        <v>5</v>
      </c>
      <c r="E4" s="35">
        <f>C4*D4</f>
        <v>5</v>
      </c>
      <c r="G4" s="34" t="s">
        <v>158</v>
      </c>
      <c r="H4" s="36">
        <f>SUMIF(A3:A29,G4,E3:E29)</f>
        <v>150</v>
      </c>
      <c r="I4" s="37">
        <f>H4*난이도!E60</f>
        <v>156.89655172413794</v>
      </c>
      <c r="J4" s="37">
        <f>I4/J1</f>
        <v>7.1316614420062701</v>
      </c>
      <c r="K4" s="1" t="s">
        <v>221</v>
      </c>
    </row>
    <row r="5" spans="1:11" ht="15.95" customHeight="1" x14ac:dyDescent="0.3">
      <c r="A5" s="12" t="s">
        <v>216</v>
      </c>
      <c r="B5" s="21" t="s">
        <v>217</v>
      </c>
      <c r="C5" s="12">
        <v>1</v>
      </c>
      <c r="D5" s="12">
        <v>5</v>
      </c>
      <c r="E5" s="35">
        <f>C5*D5</f>
        <v>5</v>
      </c>
      <c r="G5" s="34" t="s">
        <v>187</v>
      </c>
      <c r="H5" s="36">
        <f>SUMIF(A3:A29,G5,E3:E29)</f>
        <v>89</v>
      </c>
      <c r="I5" s="37">
        <f>H5*난이도!E60</f>
        <v>93.091954022988503</v>
      </c>
      <c r="J5" s="37">
        <f>I5/J1</f>
        <v>4.2314524555903867</v>
      </c>
      <c r="K5" s="1" t="s">
        <v>222</v>
      </c>
    </row>
    <row r="6" spans="1:11" ht="15.95" customHeight="1" x14ac:dyDescent="0.3">
      <c r="A6" s="12" t="s">
        <v>158</v>
      </c>
      <c r="B6" s="21" t="s">
        <v>190</v>
      </c>
      <c r="C6" s="12">
        <v>1</v>
      </c>
      <c r="D6" s="12">
        <v>10</v>
      </c>
      <c r="E6" s="35">
        <f>C6*D6</f>
        <v>10</v>
      </c>
      <c r="G6" s="46" t="s">
        <v>188</v>
      </c>
      <c r="H6" s="36">
        <f>SUMIF(A3:A29,G6,E3:E29)</f>
        <v>15</v>
      </c>
      <c r="I6" s="37">
        <f>H6*난이도!E60</f>
        <v>15.689655172413792</v>
      </c>
      <c r="J6" s="37">
        <f>I6/J1</f>
        <v>0.71316614420062685</v>
      </c>
      <c r="K6" s="1" t="s">
        <v>223</v>
      </c>
    </row>
    <row r="7" spans="1:11" ht="15.95" customHeight="1" x14ac:dyDescent="0.3">
      <c r="A7" s="46" t="s">
        <v>158</v>
      </c>
      <c r="B7" s="4" t="s">
        <v>144</v>
      </c>
      <c r="C7" s="5">
        <v>30</v>
      </c>
      <c r="D7" s="5">
        <v>2</v>
      </c>
      <c r="E7" s="35">
        <f t="shared" ref="E7:E13" si="0">C7*D7</f>
        <v>60</v>
      </c>
      <c r="G7" s="46" t="s">
        <v>189</v>
      </c>
      <c r="H7" s="36">
        <f>SUMIF(A3:A29,G7,E3:E29)</f>
        <v>577</v>
      </c>
      <c r="I7" s="37">
        <f>H7*'3D 모델링'!J3+'3D 모델링'!E14</f>
        <v>67.7</v>
      </c>
      <c r="J7" s="37">
        <f>I7/J1</f>
        <v>3.0772727272727276</v>
      </c>
      <c r="K7" s="1" t="s">
        <v>224</v>
      </c>
    </row>
    <row r="8" spans="1:11" ht="15.95" customHeight="1" x14ac:dyDescent="0.3">
      <c r="A8" s="46" t="s">
        <v>158</v>
      </c>
      <c r="B8" s="4" t="s">
        <v>145</v>
      </c>
      <c r="C8" s="5"/>
      <c r="D8" s="5">
        <v>3</v>
      </c>
      <c r="E8" s="35">
        <f t="shared" si="0"/>
        <v>0</v>
      </c>
      <c r="G8" s="46" t="s">
        <v>213</v>
      </c>
      <c r="H8" s="36">
        <f>SUMIF(A3:A29,G8,E3:E29)</f>
        <v>40</v>
      </c>
      <c r="I8" s="37">
        <f>H8*난이도!E60</f>
        <v>41.839080459770116</v>
      </c>
      <c r="J8" s="37">
        <f>I8/J1</f>
        <v>1.9017763845350053</v>
      </c>
      <c r="K8" s="1" t="s">
        <v>225</v>
      </c>
    </row>
    <row r="9" spans="1:11" ht="15.95" customHeight="1" x14ac:dyDescent="0.3">
      <c r="A9" s="46" t="s">
        <v>158</v>
      </c>
      <c r="B9" s="4" t="s">
        <v>147</v>
      </c>
      <c r="C9" s="5">
        <v>30</v>
      </c>
      <c r="D9" s="5">
        <v>2</v>
      </c>
      <c r="E9" s="35">
        <f t="shared" si="0"/>
        <v>60</v>
      </c>
      <c r="G9" s="46" t="s">
        <v>201</v>
      </c>
      <c r="H9" s="36">
        <f>SUMIF(A3:A29,G9,E3:E29)</f>
        <v>50</v>
      </c>
      <c r="I9" s="37">
        <f>H9*난이도!E60</f>
        <v>52.298850574712638</v>
      </c>
      <c r="J9" s="37">
        <f>I9/J1</f>
        <v>2.3772204806687562</v>
      </c>
      <c r="K9" s="1" t="s">
        <v>226</v>
      </c>
    </row>
    <row r="10" spans="1:11" ht="15.95" customHeight="1" x14ac:dyDescent="0.3">
      <c r="A10" s="46" t="s">
        <v>158</v>
      </c>
      <c r="B10" s="4" t="s">
        <v>148</v>
      </c>
      <c r="C10" s="5"/>
      <c r="D10" s="5">
        <v>3</v>
      </c>
      <c r="E10" s="35">
        <f t="shared" si="0"/>
        <v>0</v>
      </c>
      <c r="G10" s="46" t="s">
        <v>194</v>
      </c>
      <c r="H10" s="46"/>
      <c r="I10" s="46"/>
      <c r="J10" s="38">
        <f>SUM(J3:J9)</f>
        <v>22.932549634273773</v>
      </c>
    </row>
    <row r="11" spans="1:11" ht="15.95" customHeight="1" x14ac:dyDescent="0.3">
      <c r="A11" s="46" t="s">
        <v>158</v>
      </c>
      <c r="B11" s="4" t="s">
        <v>199</v>
      </c>
      <c r="C11" s="5"/>
      <c r="D11" s="5">
        <v>3</v>
      </c>
      <c r="E11" s="35">
        <f t="shared" si="0"/>
        <v>0</v>
      </c>
    </row>
    <row r="12" spans="1:11" ht="15.95" customHeight="1" x14ac:dyDescent="0.3">
      <c r="A12" s="46" t="s">
        <v>158</v>
      </c>
      <c r="B12" s="4" t="s">
        <v>200</v>
      </c>
      <c r="C12" s="5"/>
      <c r="D12" s="5">
        <v>20</v>
      </c>
      <c r="E12" s="35">
        <f t="shared" si="0"/>
        <v>0</v>
      </c>
    </row>
    <row r="13" spans="1:11" ht="15.95" customHeight="1" x14ac:dyDescent="0.3">
      <c r="A13" s="46" t="s">
        <v>218</v>
      </c>
      <c r="B13" s="4" t="s">
        <v>219</v>
      </c>
      <c r="C13" s="5"/>
      <c r="D13" s="5">
        <v>3</v>
      </c>
      <c r="E13" s="35">
        <f t="shared" si="0"/>
        <v>0</v>
      </c>
    </row>
    <row r="14" spans="1:11" ht="15.95" customHeight="1" x14ac:dyDescent="0.3">
      <c r="A14" s="47" t="s">
        <v>158</v>
      </c>
      <c r="B14" s="4" t="s">
        <v>227</v>
      </c>
      <c r="C14" s="5">
        <v>1</v>
      </c>
      <c r="D14" s="5">
        <v>10</v>
      </c>
      <c r="E14" s="35">
        <f t="shared" ref="E14" si="1">C14*D14</f>
        <v>10</v>
      </c>
    </row>
    <row r="15" spans="1:11" ht="15.95" customHeight="1" x14ac:dyDescent="0.3">
      <c r="A15" s="46" t="s">
        <v>159</v>
      </c>
      <c r="B15" s="4" t="s">
        <v>156</v>
      </c>
      <c r="C15" s="5">
        <v>10</v>
      </c>
      <c r="D15" s="5">
        <v>5</v>
      </c>
      <c r="E15" s="35">
        <f>C15*D15</f>
        <v>50</v>
      </c>
    </row>
    <row r="16" spans="1:11" ht="15.95" customHeight="1" x14ac:dyDescent="0.3">
      <c r="A16" s="46" t="s">
        <v>159</v>
      </c>
      <c r="B16" s="4" t="s">
        <v>150</v>
      </c>
      <c r="C16" s="5"/>
      <c r="D16" s="5">
        <v>1</v>
      </c>
      <c r="E16" s="35">
        <f t="shared" ref="E16:E20" si="2">C16*D16</f>
        <v>0</v>
      </c>
    </row>
    <row r="17" spans="1:5" ht="15.95" customHeight="1" x14ac:dyDescent="0.3">
      <c r="A17" s="46" t="s">
        <v>159</v>
      </c>
      <c r="B17" s="20" t="s">
        <v>151</v>
      </c>
      <c r="C17" s="46"/>
      <c r="D17" s="46">
        <v>2</v>
      </c>
      <c r="E17" s="35">
        <f t="shared" si="2"/>
        <v>0</v>
      </c>
    </row>
    <row r="18" spans="1:5" ht="15.95" customHeight="1" x14ac:dyDescent="0.3">
      <c r="A18" s="46" t="s">
        <v>159</v>
      </c>
      <c r="B18" s="20" t="s">
        <v>149</v>
      </c>
      <c r="C18" s="46"/>
      <c r="D18" s="46">
        <v>5</v>
      </c>
      <c r="E18" s="35">
        <f t="shared" si="2"/>
        <v>0</v>
      </c>
    </row>
    <row r="19" spans="1:5" ht="15.95" customHeight="1" x14ac:dyDescent="0.3">
      <c r="A19" s="46" t="s">
        <v>159</v>
      </c>
      <c r="B19" s="20" t="s">
        <v>152</v>
      </c>
      <c r="C19" s="46">
        <v>10</v>
      </c>
      <c r="D19" s="46">
        <v>2</v>
      </c>
      <c r="E19" s="35">
        <f t="shared" si="2"/>
        <v>20</v>
      </c>
    </row>
    <row r="20" spans="1:5" ht="15.95" customHeight="1" x14ac:dyDescent="0.3">
      <c r="A20" s="46" t="s">
        <v>159</v>
      </c>
      <c r="B20" s="20" t="s">
        <v>153</v>
      </c>
      <c r="C20" s="46">
        <v>3</v>
      </c>
      <c r="D20" s="46">
        <v>3</v>
      </c>
      <c r="E20" s="35">
        <f t="shared" si="2"/>
        <v>9</v>
      </c>
    </row>
    <row r="21" spans="1:5" ht="15.95" customHeight="1" x14ac:dyDescent="0.3">
      <c r="A21" s="46" t="s">
        <v>159</v>
      </c>
      <c r="B21" s="20" t="s">
        <v>157</v>
      </c>
      <c r="C21" s="46">
        <v>20</v>
      </c>
      <c r="D21" s="46">
        <v>0.5</v>
      </c>
      <c r="E21" s="35">
        <f>C21*D21</f>
        <v>10</v>
      </c>
    </row>
    <row r="22" spans="1:5" ht="15.95" customHeight="1" x14ac:dyDescent="0.3">
      <c r="A22" s="46" t="s">
        <v>188</v>
      </c>
      <c r="B22" s="20" t="s">
        <v>154</v>
      </c>
      <c r="C22" s="46">
        <v>2</v>
      </c>
      <c r="D22" s="46">
        <v>5</v>
      </c>
      <c r="E22" s="35">
        <f t="shared" ref="E22:E23" si="3">C22*D22</f>
        <v>10</v>
      </c>
    </row>
    <row r="23" spans="1:5" ht="15.95" customHeight="1" x14ac:dyDescent="0.3">
      <c r="A23" s="46" t="s">
        <v>188</v>
      </c>
      <c r="B23" s="20" t="s">
        <v>155</v>
      </c>
      <c r="C23" s="46">
        <v>5</v>
      </c>
      <c r="D23" s="46">
        <v>1</v>
      </c>
      <c r="E23" s="35">
        <f t="shared" si="3"/>
        <v>5</v>
      </c>
    </row>
    <row r="24" spans="1:5" ht="15.95" customHeight="1" x14ac:dyDescent="0.3">
      <c r="A24" s="46" t="s">
        <v>189</v>
      </c>
      <c r="B24" s="20" t="s">
        <v>163</v>
      </c>
      <c r="C24" s="46" t="s">
        <v>164</v>
      </c>
      <c r="D24" s="46" t="s">
        <v>164</v>
      </c>
      <c r="E24" s="35">
        <f>'3D 모델링'!E15</f>
        <v>577</v>
      </c>
    </row>
    <row r="25" spans="1:5" ht="15.95" customHeight="1" x14ac:dyDescent="0.3">
      <c r="A25" s="46" t="s">
        <v>213</v>
      </c>
      <c r="B25" s="21" t="s">
        <v>146</v>
      </c>
      <c r="C25" s="12">
        <v>1</v>
      </c>
      <c r="D25" s="12">
        <v>5</v>
      </c>
      <c r="E25" s="35">
        <f>C25*D25</f>
        <v>5</v>
      </c>
    </row>
    <row r="26" spans="1:5" ht="15.95" customHeight="1" x14ac:dyDescent="0.3">
      <c r="A26" s="46" t="s">
        <v>213</v>
      </c>
      <c r="B26" s="21" t="s">
        <v>214</v>
      </c>
      <c r="C26" s="12">
        <v>1</v>
      </c>
      <c r="D26" s="12">
        <v>5</v>
      </c>
      <c r="E26" s="35">
        <f>C26*D26</f>
        <v>5</v>
      </c>
    </row>
    <row r="27" spans="1:5" ht="15.95" customHeight="1" x14ac:dyDescent="0.3">
      <c r="A27" s="46" t="s">
        <v>213</v>
      </c>
      <c r="B27" s="21" t="s">
        <v>190</v>
      </c>
      <c r="C27" s="12">
        <v>1</v>
      </c>
      <c r="D27" s="12">
        <v>10</v>
      </c>
      <c r="E27" s="35">
        <f>C27*D27</f>
        <v>10</v>
      </c>
    </row>
    <row r="28" spans="1:5" ht="15.95" customHeight="1" x14ac:dyDescent="0.3">
      <c r="A28" s="46" t="s">
        <v>213</v>
      </c>
      <c r="B28" s="20" t="s">
        <v>215</v>
      </c>
      <c r="C28" s="46">
        <v>10</v>
      </c>
      <c r="D28" s="46">
        <v>2</v>
      </c>
      <c r="E28" s="35">
        <f>C28*D28</f>
        <v>20</v>
      </c>
    </row>
    <row r="29" spans="1:5" ht="15.95" customHeight="1" x14ac:dyDescent="0.3">
      <c r="A29" s="46" t="s">
        <v>201</v>
      </c>
      <c r="B29" s="20" t="s">
        <v>209</v>
      </c>
      <c r="C29" s="46" t="s">
        <v>164</v>
      </c>
      <c r="D29" s="46" t="s">
        <v>164</v>
      </c>
      <c r="E29" s="35">
        <f>'P&amp;ID'!D10</f>
        <v>50</v>
      </c>
    </row>
    <row r="30" spans="1:5" ht="15.95" customHeight="1" x14ac:dyDescent="0.3">
      <c r="A30" s="49" t="s">
        <v>178</v>
      </c>
      <c r="B30" s="50"/>
      <c r="C30" s="50"/>
      <c r="D30" s="51"/>
      <c r="E30" s="35">
        <f>SUM(E4:E28)</f>
        <v>871</v>
      </c>
    </row>
  </sheetData>
  <mergeCells count="1">
    <mergeCell ref="A30:D30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4"/>
  <sheetViews>
    <sheetView zoomScaleNormal="100"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D42" sqref="D42"/>
    </sheetView>
  </sheetViews>
  <sheetFormatPr defaultRowHeight="13.5" x14ac:dyDescent="0.3"/>
  <cols>
    <col min="1" max="1" width="17.625" style="1" customWidth="1"/>
    <col min="2" max="2" width="31.5" style="1" customWidth="1"/>
    <col min="3" max="3" width="34.625" style="1" customWidth="1"/>
    <col min="4" max="4" width="9.375" style="2" customWidth="1"/>
    <col min="5" max="5" width="9.875" style="1" customWidth="1"/>
    <col min="6" max="16384" width="9" style="1"/>
  </cols>
  <sheetData>
    <row r="1" spans="1:5" ht="18" customHeight="1" x14ac:dyDescent="0.3">
      <c r="A1" s="1" t="s">
        <v>138</v>
      </c>
    </row>
    <row r="2" spans="1:5" ht="17.100000000000001" customHeight="1" x14ac:dyDescent="0.3">
      <c r="A2" s="3" t="s">
        <v>136</v>
      </c>
      <c r="B2" s="3" t="s">
        <v>96</v>
      </c>
      <c r="C2" s="3" t="s">
        <v>97</v>
      </c>
      <c r="D2" s="3" t="s">
        <v>98</v>
      </c>
      <c r="E2" s="23" t="s">
        <v>179</v>
      </c>
    </row>
    <row r="3" spans="1:5" ht="17.100000000000001" customHeight="1" x14ac:dyDescent="0.3">
      <c r="A3" s="53" t="s">
        <v>105</v>
      </c>
      <c r="B3" s="4" t="s">
        <v>0</v>
      </c>
      <c r="C3" s="4" t="s">
        <v>62</v>
      </c>
      <c r="D3" s="5">
        <v>2</v>
      </c>
    </row>
    <row r="4" spans="1:5" ht="17.100000000000001" customHeight="1" x14ac:dyDescent="0.3">
      <c r="A4" s="53"/>
      <c r="B4" s="4" t="s">
        <v>65</v>
      </c>
      <c r="C4" s="4" t="s">
        <v>63</v>
      </c>
      <c r="D4" s="5">
        <v>2</v>
      </c>
    </row>
    <row r="5" spans="1:5" ht="17.100000000000001" customHeight="1" x14ac:dyDescent="0.3">
      <c r="A5" s="53"/>
      <c r="B5" s="4" t="s">
        <v>1</v>
      </c>
      <c r="C5" s="4" t="s">
        <v>2</v>
      </c>
      <c r="D5" s="5">
        <v>2</v>
      </c>
    </row>
    <row r="6" spans="1:5" ht="17.100000000000001" customHeight="1" x14ac:dyDescent="0.3">
      <c r="A6" s="53"/>
      <c r="B6" s="4" t="s">
        <v>3</v>
      </c>
      <c r="C6" s="4" t="s">
        <v>64</v>
      </c>
      <c r="D6" s="5">
        <v>2</v>
      </c>
    </row>
    <row r="7" spans="1:5" ht="17.100000000000001" customHeight="1" x14ac:dyDescent="0.3">
      <c r="A7" s="54" t="s">
        <v>112</v>
      </c>
      <c r="B7" s="4" t="s">
        <v>100</v>
      </c>
      <c r="C7" s="4" t="s">
        <v>102</v>
      </c>
      <c r="D7" s="5">
        <v>3</v>
      </c>
    </row>
    <row r="8" spans="1:5" ht="17.100000000000001" customHeight="1" x14ac:dyDescent="0.3">
      <c r="A8" s="55"/>
      <c r="B8" s="4" t="s">
        <v>4</v>
      </c>
      <c r="C8" s="4" t="s">
        <v>5</v>
      </c>
      <c r="D8" s="5">
        <v>1</v>
      </c>
    </row>
    <row r="9" spans="1:5" ht="17.100000000000001" customHeight="1" x14ac:dyDescent="0.3">
      <c r="A9" s="55"/>
      <c r="B9" s="4" t="s">
        <v>6</v>
      </c>
      <c r="C9" s="4" t="s">
        <v>7</v>
      </c>
      <c r="D9" s="5">
        <v>3</v>
      </c>
    </row>
    <row r="10" spans="1:5" ht="17.100000000000001" customHeight="1" x14ac:dyDescent="0.3">
      <c r="A10" s="55"/>
      <c r="B10" s="4" t="s">
        <v>8</v>
      </c>
      <c r="C10" s="4" t="s">
        <v>9</v>
      </c>
      <c r="D10" s="5">
        <v>2</v>
      </c>
    </row>
    <row r="11" spans="1:5" ht="17.100000000000001" customHeight="1" x14ac:dyDescent="0.3">
      <c r="A11" s="55"/>
      <c r="B11" s="4" t="s">
        <v>99</v>
      </c>
      <c r="C11" s="4" t="s">
        <v>10</v>
      </c>
      <c r="D11" s="5">
        <v>2</v>
      </c>
    </row>
    <row r="12" spans="1:5" ht="17.100000000000001" customHeight="1" x14ac:dyDescent="0.3">
      <c r="A12" s="55"/>
      <c r="B12" s="4" t="s">
        <v>113</v>
      </c>
      <c r="C12" s="4" t="s">
        <v>114</v>
      </c>
      <c r="D12" s="5">
        <v>3</v>
      </c>
    </row>
    <row r="13" spans="1:5" ht="17.100000000000001" customHeight="1" x14ac:dyDescent="0.3">
      <c r="A13" s="56"/>
      <c r="B13" s="4" t="s">
        <v>111</v>
      </c>
      <c r="C13" s="4" t="s">
        <v>180</v>
      </c>
      <c r="D13" s="5">
        <v>3</v>
      </c>
    </row>
    <row r="14" spans="1:5" ht="17.100000000000001" customHeight="1" x14ac:dyDescent="0.3">
      <c r="A14" s="52" t="s">
        <v>108</v>
      </c>
      <c r="B14" s="4" t="s">
        <v>101</v>
      </c>
      <c r="C14" s="4" t="s">
        <v>66</v>
      </c>
      <c r="D14" s="5">
        <v>1</v>
      </c>
    </row>
    <row r="15" spans="1:5" ht="17.100000000000001" customHeight="1" x14ac:dyDescent="0.3">
      <c r="A15" s="53"/>
      <c r="B15" s="4" t="s">
        <v>11</v>
      </c>
      <c r="C15" s="4" t="s">
        <v>67</v>
      </c>
      <c r="D15" s="5">
        <v>2</v>
      </c>
    </row>
    <row r="16" spans="1:5" ht="17.100000000000001" customHeight="1" x14ac:dyDescent="0.3">
      <c r="A16" s="53"/>
      <c r="B16" s="4" t="s">
        <v>68</v>
      </c>
      <c r="C16" s="4" t="s">
        <v>69</v>
      </c>
      <c r="D16" s="5">
        <v>2</v>
      </c>
    </row>
    <row r="17" spans="1:4" ht="17.100000000000001" customHeight="1" x14ac:dyDescent="0.3">
      <c r="A17" s="53"/>
      <c r="B17" s="4" t="s">
        <v>70</v>
      </c>
      <c r="C17" s="4" t="s">
        <v>71</v>
      </c>
      <c r="D17" s="5">
        <v>3</v>
      </c>
    </row>
    <row r="18" spans="1:4" ht="17.100000000000001" customHeight="1" x14ac:dyDescent="0.3">
      <c r="A18" s="52" t="s">
        <v>109</v>
      </c>
      <c r="B18" s="4" t="s">
        <v>106</v>
      </c>
      <c r="C18" s="4" t="s">
        <v>72</v>
      </c>
      <c r="D18" s="5">
        <v>1</v>
      </c>
    </row>
    <row r="19" spans="1:4" ht="17.100000000000001" customHeight="1" x14ac:dyDescent="0.3">
      <c r="A19" s="53"/>
      <c r="B19" s="4" t="s">
        <v>73</v>
      </c>
      <c r="C19" s="4" t="s">
        <v>74</v>
      </c>
      <c r="D19" s="5">
        <v>2</v>
      </c>
    </row>
    <row r="20" spans="1:4" ht="17.100000000000001" customHeight="1" x14ac:dyDescent="0.3">
      <c r="A20" s="53"/>
      <c r="B20" s="4" t="s">
        <v>12</v>
      </c>
      <c r="C20" s="4" t="s">
        <v>75</v>
      </c>
      <c r="D20" s="5">
        <v>0</v>
      </c>
    </row>
    <row r="21" spans="1:4" ht="17.100000000000001" customHeight="1" x14ac:dyDescent="0.3">
      <c r="A21" s="53"/>
      <c r="B21" s="4" t="s">
        <v>76</v>
      </c>
      <c r="C21" s="4" t="s">
        <v>77</v>
      </c>
      <c r="D21" s="5">
        <v>2</v>
      </c>
    </row>
    <row r="22" spans="1:4" ht="17.100000000000001" customHeight="1" x14ac:dyDescent="0.3">
      <c r="A22" s="53" t="s">
        <v>56</v>
      </c>
      <c r="B22" s="4" t="s">
        <v>78</v>
      </c>
      <c r="C22" s="4" t="s">
        <v>79</v>
      </c>
      <c r="D22" s="5">
        <v>3</v>
      </c>
    </row>
    <row r="23" spans="1:4" ht="17.100000000000001" customHeight="1" x14ac:dyDescent="0.3">
      <c r="A23" s="53"/>
      <c r="B23" s="4" t="s">
        <v>80</v>
      </c>
      <c r="C23" s="4" t="s">
        <v>81</v>
      </c>
      <c r="D23" s="5">
        <v>0</v>
      </c>
    </row>
    <row r="24" spans="1:4" ht="17.100000000000001" customHeight="1" x14ac:dyDescent="0.3">
      <c r="A24" s="53"/>
      <c r="B24" s="4" t="s">
        <v>82</v>
      </c>
      <c r="C24" s="4" t="s">
        <v>83</v>
      </c>
      <c r="D24" s="5">
        <v>0</v>
      </c>
    </row>
    <row r="25" spans="1:4" ht="17.100000000000001" customHeight="1" x14ac:dyDescent="0.3">
      <c r="A25" s="53"/>
      <c r="B25" s="4" t="s">
        <v>84</v>
      </c>
      <c r="C25" s="4" t="s">
        <v>85</v>
      </c>
      <c r="D25" s="5">
        <v>2</v>
      </c>
    </row>
    <row r="26" spans="1:4" ht="17.100000000000001" customHeight="1" x14ac:dyDescent="0.3">
      <c r="A26" s="53" t="s">
        <v>57</v>
      </c>
      <c r="B26" s="4" t="s">
        <v>13</v>
      </c>
      <c r="C26" s="4" t="s">
        <v>14</v>
      </c>
      <c r="D26" s="5">
        <v>2</v>
      </c>
    </row>
    <row r="27" spans="1:4" ht="17.100000000000001" customHeight="1" x14ac:dyDescent="0.3">
      <c r="A27" s="53"/>
      <c r="B27" s="4" t="s">
        <v>15</v>
      </c>
      <c r="C27" s="4" t="s">
        <v>16</v>
      </c>
      <c r="D27" s="5">
        <v>2</v>
      </c>
    </row>
    <row r="28" spans="1:4" ht="17.100000000000001" customHeight="1" x14ac:dyDescent="0.3">
      <c r="A28" s="53"/>
      <c r="B28" s="4" t="s">
        <v>17</v>
      </c>
      <c r="C28" s="4" t="s">
        <v>18</v>
      </c>
      <c r="D28" s="5">
        <v>3</v>
      </c>
    </row>
    <row r="29" spans="1:4" ht="17.100000000000001" customHeight="1" x14ac:dyDescent="0.3">
      <c r="A29" s="52" t="s">
        <v>110</v>
      </c>
      <c r="B29" s="4" t="s">
        <v>19</v>
      </c>
      <c r="C29" s="4" t="s">
        <v>20</v>
      </c>
      <c r="D29" s="5">
        <v>0</v>
      </c>
    </row>
    <row r="30" spans="1:4" ht="17.100000000000001" customHeight="1" x14ac:dyDescent="0.3">
      <c r="A30" s="53"/>
      <c r="B30" s="4" t="s">
        <v>25</v>
      </c>
      <c r="C30" s="4" t="s">
        <v>61</v>
      </c>
      <c r="D30" s="5">
        <v>3</v>
      </c>
    </row>
    <row r="31" spans="1:4" ht="17.100000000000001" customHeight="1" x14ac:dyDescent="0.3">
      <c r="A31" s="53"/>
      <c r="B31" s="4" t="s">
        <v>21</v>
      </c>
      <c r="C31" s="4" t="s">
        <v>60</v>
      </c>
      <c r="D31" s="5">
        <v>3</v>
      </c>
    </row>
    <row r="32" spans="1:4" ht="17.100000000000001" customHeight="1" x14ac:dyDescent="0.3">
      <c r="A32" s="53"/>
      <c r="B32" s="4" t="s">
        <v>116</v>
      </c>
      <c r="C32" s="4" t="s">
        <v>117</v>
      </c>
      <c r="D32" s="5">
        <v>1</v>
      </c>
    </row>
    <row r="33" spans="1:5" ht="17.100000000000001" customHeight="1" x14ac:dyDescent="0.3">
      <c r="A33" s="53"/>
      <c r="B33" s="4" t="s">
        <v>22</v>
      </c>
      <c r="C33" s="4" t="s">
        <v>118</v>
      </c>
      <c r="D33" s="5">
        <v>1</v>
      </c>
    </row>
    <row r="34" spans="1:5" ht="17.100000000000001" customHeight="1" x14ac:dyDescent="0.3">
      <c r="A34" s="53"/>
      <c r="B34" s="4" t="s">
        <v>23</v>
      </c>
      <c r="C34" s="4" t="s">
        <v>24</v>
      </c>
      <c r="D34" s="5">
        <v>2</v>
      </c>
    </row>
    <row r="35" spans="1:5" ht="17.100000000000001" customHeight="1" x14ac:dyDescent="0.3">
      <c r="A35" s="53"/>
      <c r="B35" s="4" t="s">
        <v>26</v>
      </c>
      <c r="C35" s="4" t="s">
        <v>27</v>
      </c>
      <c r="D35" s="5">
        <v>2</v>
      </c>
    </row>
    <row r="36" spans="1:5" ht="17.100000000000001" customHeight="1" x14ac:dyDescent="0.3">
      <c r="A36" s="53"/>
      <c r="B36" s="4" t="s">
        <v>58</v>
      </c>
      <c r="C36" s="4" t="s">
        <v>59</v>
      </c>
      <c r="D36" s="5">
        <v>3</v>
      </c>
    </row>
    <row r="37" spans="1:5" ht="17.100000000000001" customHeight="1" x14ac:dyDescent="0.3">
      <c r="A37" s="53"/>
      <c r="B37" s="4" t="s">
        <v>92</v>
      </c>
      <c r="C37" s="4" t="s">
        <v>93</v>
      </c>
      <c r="D37" s="5">
        <v>3</v>
      </c>
    </row>
    <row r="38" spans="1:5" ht="17.100000000000001" customHeight="1" x14ac:dyDescent="0.3">
      <c r="A38" s="53"/>
      <c r="B38" s="4" t="s">
        <v>103</v>
      </c>
      <c r="C38" s="4" t="s">
        <v>28</v>
      </c>
      <c r="D38" s="5">
        <v>2</v>
      </c>
    </row>
    <row r="39" spans="1:5" ht="17.100000000000001" customHeight="1" x14ac:dyDescent="0.3">
      <c r="A39" s="53"/>
      <c r="B39" s="4" t="s">
        <v>29</v>
      </c>
      <c r="C39" s="4" t="s">
        <v>104</v>
      </c>
      <c r="D39" s="5">
        <v>2</v>
      </c>
    </row>
    <row r="40" spans="1:5" ht="17.100000000000001" customHeight="1" x14ac:dyDescent="0.3">
      <c r="A40" s="53" t="s">
        <v>91</v>
      </c>
      <c r="B40" s="4" t="s">
        <v>185</v>
      </c>
      <c r="C40" s="4" t="s">
        <v>86</v>
      </c>
      <c r="D40" s="5">
        <v>3</v>
      </c>
    </row>
    <row r="41" spans="1:5" ht="17.100000000000001" customHeight="1" x14ac:dyDescent="0.3">
      <c r="A41" s="53"/>
      <c r="B41" s="4" t="s">
        <v>87</v>
      </c>
      <c r="C41" s="4" t="s">
        <v>88</v>
      </c>
      <c r="D41" s="5">
        <v>3</v>
      </c>
    </row>
    <row r="42" spans="1:5" ht="17.100000000000001" customHeight="1" x14ac:dyDescent="0.3">
      <c r="A42" s="53"/>
      <c r="B42" s="4" t="s">
        <v>89</v>
      </c>
      <c r="C42" s="4" t="s">
        <v>90</v>
      </c>
      <c r="D42" s="5">
        <v>3</v>
      </c>
    </row>
    <row r="43" spans="1:5" ht="17.100000000000001" customHeight="1" x14ac:dyDescent="0.3">
      <c r="A43" s="53"/>
      <c r="B43" s="53"/>
      <c r="C43" s="53"/>
      <c r="D43" s="32">
        <f>SUM(D3:D42)</f>
        <v>81</v>
      </c>
      <c r="E43" s="8">
        <f>D43/80</f>
        <v>1.0125</v>
      </c>
    </row>
    <row r="44" spans="1:5" ht="17.100000000000001" customHeight="1" x14ac:dyDescent="0.3">
      <c r="A44" s="6"/>
      <c r="B44" s="7"/>
      <c r="C44" s="7"/>
      <c r="D44" s="6"/>
    </row>
    <row r="45" spans="1:5" ht="17.100000000000001" customHeight="1" x14ac:dyDescent="0.3">
      <c r="A45" s="14" t="s">
        <v>139</v>
      </c>
      <c r="B45" s="7"/>
      <c r="C45" s="7"/>
      <c r="D45" s="6"/>
    </row>
    <row r="46" spans="1:5" ht="17.100000000000001" customHeight="1" x14ac:dyDescent="0.3">
      <c r="A46" s="3" t="s">
        <v>137</v>
      </c>
      <c r="B46" s="3" t="s">
        <v>96</v>
      </c>
      <c r="C46" s="3" t="s">
        <v>97</v>
      </c>
      <c r="D46" s="3" t="s">
        <v>98</v>
      </c>
    </row>
    <row r="47" spans="1:5" ht="17.100000000000001" customHeight="1" x14ac:dyDescent="0.3">
      <c r="A47" s="54" t="s">
        <v>107</v>
      </c>
      <c r="B47" s="4" t="s">
        <v>115</v>
      </c>
      <c r="C47" s="4" t="s">
        <v>30</v>
      </c>
      <c r="D47" s="5">
        <v>0</v>
      </c>
    </row>
    <row r="48" spans="1:5" ht="17.100000000000001" customHeight="1" x14ac:dyDescent="0.3">
      <c r="A48" s="55"/>
      <c r="B48" s="4" t="s">
        <v>31</v>
      </c>
      <c r="C48" s="4" t="s">
        <v>32</v>
      </c>
      <c r="D48" s="5">
        <v>0</v>
      </c>
    </row>
    <row r="49" spans="1:5" ht="17.100000000000001" customHeight="1" x14ac:dyDescent="0.3">
      <c r="A49" s="55"/>
      <c r="B49" s="4" t="s">
        <v>33</v>
      </c>
      <c r="C49" s="4" t="s">
        <v>34</v>
      </c>
      <c r="D49" s="5">
        <v>0</v>
      </c>
    </row>
    <row r="50" spans="1:5" ht="17.100000000000001" customHeight="1" x14ac:dyDescent="0.3">
      <c r="A50" s="55"/>
      <c r="B50" s="4" t="s">
        <v>35</v>
      </c>
      <c r="C50" s="4" t="s">
        <v>36</v>
      </c>
      <c r="D50" s="5">
        <v>0</v>
      </c>
    </row>
    <row r="51" spans="1:5" ht="17.100000000000001" customHeight="1" x14ac:dyDescent="0.3">
      <c r="A51" s="55"/>
      <c r="B51" s="4" t="s">
        <v>37</v>
      </c>
      <c r="C51" s="4" t="s">
        <v>38</v>
      </c>
      <c r="D51" s="5">
        <v>0</v>
      </c>
    </row>
    <row r="52" spans="1:5" ht="17.100000000000001" customHeight="1" x14ac:dyDescent="0.3">
      <c r="A52" s="56"/>
      <c r="B52" s="4" t="s">
        <v>39</v>
      </c>
      <c r="C52" s="4" t="s">
        <v>40</v>
      </c>
      <c r="D52" s="5">
        <v>0</v>
      </c>
    </row>
    <row r="53" spans="1:5" ht="17.100000000000001" customHeight="1" x14ac:dyDescent="0.3">
      <c r="A53" s="54" t="s">
        <v>94</v>
      </c>
      <c r="B53" s="4" t="s">
        <v>41</v>
      </c>
      <c r="C53" s="4" t="s">
        <v>42</v>
      </c>
      <c r="D53" s="5">
        <v>3</v>
      </c>
    </row>
    <row r="54" spans="1:5" ht="17.100000000000001" customHeight="1" x14ac:dyDescent="0.3">
      <c r="A54" s="55"/>
      <c r="B54" s="4" t="s">
        <v>43</v>
      </c>
      <c r="C54" s="4" t="s">
        <v>44</v>
      </c>
      <c r="D54" s="5">
        <v>0</v>
      </c>
    </row>
    <row r="55" spans="1:5" ht="17.100000000000001" customHeight="1" x14ac:dyDescent="0.3">
      <c r="A55" s="55"/>
      <c r="B55" s="4" t="s">
        <v>95</v>
      </c>
      <c r="C55" s="4" t="s">
        <v>45</v>
      </c>
      <c r="D55" s="5">
        <v>1</v>
      </c>
    </row>
    <row r="56" spans="1:5" ht="17.100000000000001" customHeight="1" x14ac:dyDescent="0.3">
      <c r="A56" s="55"/>
      <c r="B56" s="4" t="s">
        <v>46</v>
      </c>
      <c r="C56" s="4" t="s">
        <v>47</v>
      </c>
      <c r="D56" s="5">
        <v>3</v>
      </c>
    </row>
    <row r="57" spans="1:5" ht="17.100000000000001" customHeight="1" x14ac:dyDescent="0.3">
      <c r="A57" s="55"/>
      <c r="B57" s="4" t="s">
        <v>48</v>
      </c>
      <c r="C57" s="4" t="s">
        <v>49</v>
      </c>
      <c r="D57" s="5">
        <v>0</v>
      </c>
    </row>
    <row r="58" spans="1:5" ht="17.100000000000001" customHeight="1" x14ac:dyDescent="0.3">
      <c r="A58" s="55"/>
      <c r="B58" s="4" t="s">
        <v>134</v>
      </c>
      <c r="C58" s="4" t="s">
        <v>135</v>
      </c>
      <c r="D58" s="5">
        <v>3</v>
      </c>
    </row>
    <row r="59" spans="1:5" ht="17.100000000000001" customHeight="1" x14ac:dyDescent="0.3">
      <c r="A59" s="56"/>
      <c r="B59" s="4" t="s">
        <v>50</v>
      </c>
      <c r="C59" s="4" t="s">
        <v>51</v>
      </c>
      <c r="D59" s="5">
        <v>0</v>
      </c>
    </row>
    <row r="60" spans="1:5" ht="17.100000000000001" customHeight="1" x14ac:dyDescent="0.3">
      <c r="A60" s="53"/>
      <c r="B60" s="53"/>
      <c r="C60" s="53"/>
      <c r="D60" s="8">
        <f>SUM(D47:D59) +D43</f>
        <v>91</v>
      </c>
      <c r="E60" s="8">
        <f>D60/87</f>
        <v>1.0459770114942528</v>
      </c>
    </row>
    <row r="61" spans="1:5" ht="17.100000000000001" customHeight="1" x14ac:dyDescent="0.3"/>
    <row r="62" spans="1:5" ht="17.100000000000001" customHeight="1" x14ac:dyDescent="0.3"/>
    <row r="63" spans="1:5" ht="17.100000000000001" customHeight="1" x14ac:dyDescent="0.3"/>
    <row r="64" spans="1:5" ht="17.100000000000001" customHeight="1" x14ac:dyDescent="0.3"/>
  </sheetData>
  <mergeCells count="12">
    <mergeCell ref="A3:A6"/>
    <mergeCell ref="A14:A17"/>
    <mergeCell ref="A18:A21"/>
    <mergeCell ref="A22:A25"/>
    <mergeCell ref="A26:A28"/>
    <mergeCell ref="A7:A13"/>
    <mergeCell ref="A29:A39"/>
    <mergeCell ref="A43:C43"/>
    <mergeCell ref="A60:C60"/>
    <mergeCell ref="A40:A42"/>
    <mergeCell ref="A47:A52"/>
    <mergeCell ref="A53:A59"/>
  </mergeCells>
  <phoneticPr fontId="1" type="noConversion"/>
  <dataValidations count="1">
    <dataValidation type="list" allowBlank="1" showInputMessage="1" showErrorMessage="1" sqref="D3:D42 D47:D59">
      <formula1>"0,1,2,3"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6"/>
  <sheetViews>
    <sheetView zoomScaleNormal="100" workbookViewId="0">
      <selection activeCell="E14" sqref="E14"/>
    </sheetView>
  </sheetViews>
  <sheetFormatPr defaultRowHeight="13.5" x14ac:dyDescent="0.3"/>
  <cols>
    <col min="1" max="1" width="11.375" style="11" customWidth="1"/>
    <col min="2" max="2" width="10" style="11" customWidth="1"/>
    <col min="3" max="3" width="7.875" style="11" customWidth="1"/>
    <col min="4" max="4" width="8.5" style="11" customWidth="1"/>
    <col min="5" max="5" width="9.75" style="11" customWidth="1"/>
    <col min="6" max="6" width="34.875" style="11" customWidth="1"/>
    <col min="7" max="7" width="5.125" style="11" customWidth="1"/>
    <col min="8" max="8" width="17.5" style="11" bestFit="1" customWidth="1"/>
    <col min="9" max="9" width="18.75" style="11" customWidth="1"/>
    <col min="10" max="10" width="9" style="11"/>
    <col min="11" max="11" width="2.75" style="11" customWidth="1"/>
    <col min="12" max="12" width="19" style="11" bestFit="1" customWidth="1"/>
    <col min="13" max="13" width="9" style="11"/>
    <col min="14" max="14" width="23.625" style="11" bestFit="1" customWidth="1"/>
    <col min="15" max="16384" width="9" style="11"/>
  </cols>
  <sheetData>
    <row r="1" spans="1:14" ht="15.95" customHeight="1" x14ac:dyDescent="0.3">
      <c r="A1" s="29" t="s">
        <v>171</v>
      </c>
      <c r="B1" s="29"/>
      <c r="C1" s="29"/>
      <c r="D1" s="29"/>
      <c r="E1" s="29"/>
      <c r="F1" s="29"/>
      <c r="H1" s="1" t="s">
        <v>140</v>
      </c>
      <c r="I1" s="1"/>
      <c r="J1" s="2"/>
      <c r="K1" s="2"/>
      <c r="L1" s="1"/>
      <c r="M1" s="1"/>
      <c r="N1" s="1"/>
    </row>
    <row r="2" spans="1:14" ht="15.95" customHeight="1" x14ac:dyDescent="0.3">
      <c r="A2" s="23" t="s">
        <v>121</v>
      </c>
      <c r="B2" s="23" t="s">
        <v>122</v>
      </c>
      <c r="C2" s="23" t="s">
        <v>161</v>
      </c>
      <c r="D2" s="23" t="s">
        <v>160</v>
      </c>
      <c r="E2" s="23" t="s">
        <v>162</v>
      </c>
      <c r="F2" s="23" t="s">
        <v>123</v>
      </c>
      <c r="H2" s="3" t="s">
        <v>119</v>
      </c>
      <c r="I2" s="3" t="s">
        <v>96</v>
      </c>
      <c r="J2" s="3" t="s">
        <v>120</v>
      </c>
      <c r="K2" s="15"/>
      <c r="L2" s="18" t="s">
        <v>96</v>
      </c>
      <c r="M2" s="18" t="s">
        <v>120</v>
      </c>
      <c r="N2" s="18" t="s">
        <v>97</v>
      </c>
    </row>
    <row r="3" spans="1:14" ht="15.95" customHeight="1" x14ac:dyDescent="0.3">
      <c r="A3" s="30" t="s">
        <v>183</v>
      </c>
      <c r="B3" s="12" t="s">
        <v>184</v>
      </c>
      <c r="C3" s="12">
        <v>1</v>
      </c>
      <c r="D3" s="24">
        <v>1</v>
      </c>
      <c r="E3" s="24">
        <v>2</v>
      </c>
      <c r="F3" s="13" t="s">
        <v>175</v>
      </c>
      <c r="H3" s="22" t="s">
        <v>166</v>
      </c>
      <c r="I3" s="4" t="s">
        <v>198</v>
      </c>
      <c r="J3" s="9">
        <f>VLOOKUP(I3,L3:M7,2,0)</f>
        <v>0.1</v>
      </c>
      <c r="K3" s="10"/>
      <c r="L3" s="16" t="s">
        <v>168</v>
      </c>
      <c r="M3" s="17">
        <v>0.1</v>
      </c>
      <c r="N3" s="16" t="s">
        <v>169</v>
      </c>
    </row>
    <row r="4" spans="1:14" ht="15.95" customHeight="1" x14ac:dyDescent="0.3">
      <c r="A4" s="60" t="s">
        <v>124</v>
      </c>
      <c r="B4" s="12" t="s">
        <v>130</v>
      </c>
      <c r="C4" s="12"/>
      <c r="D4" s="30">
        <v>1</v>
      </c>
      <c r="E4" s="30">
        <f>C4*D4</f>
        <v>0</v>
      </c>
      <c r="F4" s="13" t="s">
        <v>175</v>
      </c>
      <c r="H4" s="28"/>
      <c r="I4" s="7"/>
      <c r="J4" s="10"/>
      <c r="K4" s="10"/>
      <c r="L4" s="16" t="s">
        <v>170</v>
      </c>
      <c r="M4" s="17">
        <v>1</v>
      </c>
      <c r="N4" s="16" t="s">
        <v>52</v>
      </c>
    </row>
    <row r="5" spans="1:14" ht="15.95" customHeight="1" x14ac:dyDescent="0.3">
      <c r="A5" s="61"/>
      <c r="B5" s="12" t="s">
        <v>126</v>
      </c>
      <c r="C5" s="12">
        <v>30</v>
      </c>
      <c r="D5" s="30">
        <v>0.5</v>
      </c>
      <c r="E5" s="30">
        <f t="shared" ref="E5:E14" si="0">C5*D5</f>
        <v>15</v>
      </c>
      <c r="F5" s="13" t="s">
        <v>127</v>
      </c>
      <c r="H5" s="28"/>
      <c r="I5" s="7"/>
      <c r="J5" s="10"/>
      <c r="K5" s="10"/>
      <c r="L5" s="16" t="s">
        <v>53</v>
      </c>
      <c r="M5" s="17">
        <v>1.1499999999999999</v>
      </c>
      <c r="N5" s="16" t="s">
        <v>54</v>
      </c>
    </row>
    <row r="6" spans="1:14" ht="15.95" customHeight="1" x14ac:dyDescent="0.3">
      <c r="A6" s="62"/>
      <c r="B6" s="12" t="s">
        <v>125</v>
      </c>
      <c r="C6" s="12"/>
      <c r="D6" s="30">
        <v>0.3</v>
      </c>
      <c r="E6" s="30">
        <f t="shared" si="0"/>
        <v>0</v>
      </c>
      <c r="F6" s="13" t="s">
        <v>176</v>
      </c>
      <c r="H6" s="1"/>
      <c r="I6" s="1"/>
      <c r="J6" s="2"/>
      <c r="K6" s="2"/>
      <c r="L6" s="16" t="s">
        <v>212</v>
      </c>
      <c r="M6" s="17">
        <v>1.3</v>
      </c>
      <c r="N6" s="16" t="s">
        <v>55</v>
      </c>
    </row>
    <row r="7" spans="1:14" ht="15.95" customHeight="1" x14ac:dyDescent="0.3">
      <c r="A7" s="60" t="s">
        <v>128</v>
      </c>
      <c r="B7" s="12" t="s">
        <v>130</v>
      </c>
      <c r="C7" s="12"/>
      <c r="D7" s="30">
        <v>0.5</v>
      </c>
      <c r="E7" s="30">
        <f t="shared" si="0"/>
        <v>0</v>
      </c>
      <c r="F7" s="13" t="s">
        <v>131</v>
      </c>
      <c r="H7" s="1"/>
      <c r="I7" s="1"/>
      <c r="J7" s="2"/>
      <c r="K7" s="2"/>
      <c r="L7" s="16" t="s">
        <v>167</v>
      </c>
      <c r="M7" s="17">
        <v>1.5</v>
      </c>
      <c r="N7" s="16" t="s">
        <v>165</v>
      </c>
    </row>
    <row r="8" spans="1:14" ht="15.95" customHeight="1" x14ac:dyDescent="0.3">
      <c r="A8" s="61"/>
      <c r="B8" s="12" t="s">
        <v>126</v>
      </c>
      <c r="C8" s="12">
        <v>100</v>
      </c>
      <c r="D8" s="30">
        <v>0.3</v>
      </c>
      <c r="E8" s="30">
        <f t="shared" si="0"/>
        <v>30</v>
      </c>
      <c r="F8" s="13" t="s">
        <v>129</v>
      </c>
      <c r="H8" s="1"/>
      <c r="I8" s="1"/>
      <c r="J8" s="2"/>
      <c r="K8" s="2"/>
      <c r="L8" s="26"/>
      <c r="M8" s="27"/>
      <c r="N8" s="26"/>
    </row>
    <row r="9" spans="1:14" ht="15.95" customHeight="1" x14ac:dyDescent="0.3">
      <c r="A9" s="62"/>
      <c r="B9" s="12" t="s">
        <v>125</v>
      </c>
      <c r="C9" s="12"/>
      <c r="D9" s="30">
        <v>0.2</v>
      </c>
      <c r="E9" s="30">
        <f t="shared" si="0"/>
        <v>0</v>
      </c>
      <c r="F9" s="13" t="s">
        <v>177</v>
      </c>
      <c r="H9" s="1"/>
      <c r="I9" s="1"/>
      <c r="J9" s="2"/>
      <c r="K9" s="2"/>
      <c r="L9" s="26"/>
      <c r="M9" s="27"/>
      <c r="N9" s="26"/>
    </row>
    <row r="10" spans="1:14" ht="15.95" customHeight="1" x14ac:dyDescent="0.3">
      <c r="A10" s="60" t="s">
        <v>132</v>
      </c>
      <c r="B10" s="12" t="s">
        <v>130</v>
      </c>
      <c r="C10" s="12"/>
      <c r="D10" s="30">
        <v>2</v>
      </c>
      <c r="E10" s="30">
        <f t="shared" si="0"/>
        <v>0</v>
      </c>
      <c r="F10" s="13" t="s">
        <v>173</v>
      </c>
      <c r="H10" s="1"/>
      <c r="I10" s="1"/>
      <c r="J10" s="2"/>
      <c r="K10" s="2"/>
      <c r="L10" s="26"/>
      <c r="M10" s="27"/>
      <c r="N10" s="26"/>
    </row>
    <row r="11" spans="1:14" ht="15.95" customHeight="1" x14ac:dyDescent="0.3">
      <c r="A11" s="61"/>
      <c r="B11" s="12" t="s">
        <v>126</v>
      </c>
      <c r="C11" s="12">
        <v>1000</v>
      </c>
      <c r="D11" s="30">
        <v>0.5</v>
      </c>
      <c r="E11" s="30">
        <f t="shared" si="0"/>
        <v>500</v>
      </c>
      <c r="F11" s="13" t="s">
        <v>133</v>
      </c>
      <c r="H11" s="1"/>
      <c r="I11" s="1"/>
      <c r="J11" s="2"/>
      <c r="K11" s="2"/>
      <c r="L11" s="26"/>
      <c r="M11" s="27"/>
      <c r="N11" s="26"/>
    </row>
    <row r="12" spans="1:14" ht="15.95" customHeight="1" x14ac:dyDescent="0.3">
      <c r="A12" s="61"/>
      <c r="B12" s="12" t="s">
        <v>172</v>
      </c>
      <c r="C12" s="12"/>
      <c r="D12" s="30">
        <v>0.2</v>
      </c>
      <c r="E12" s="30">
        <f t="shared" si="0"/>
        <v>0</v>
      </c>
      <c r="F12" s="13" t="s">
        <v>174</v>
      </c>
    </row>
    <row r="13" spans="1:14" ht="15.95" customHeight="1" x14ac:dyDescent="0.3">
      <c r="A13" s="62"/>
      <c r="B13" s="12" t="s">
        <v>231</v>
      </c>
      <c r="C13" s="12">
        <v>300</v>
      </c>
      <c r="D13" s="30">
        <v>0.1</v>
      </c>
      <c r="E13" s="30">
        <f>C13*D13</f>
        <v>30</v>
      </c>
      <c r="F13" s="13" t="s">
        <v>232</v>
      </c>
    </row>
    <row r="14" spans="1:14" ht="15.95" customHeight="1" x14ac:dyDescent="0.3">
      <c r="A14" s="48" t="s">
        <v>228</v>
      </c>
      <c r="B14" s="12" t="s">
        <v>230</v>
      </c>
      <c r="C14" s="12">
        <v>2</v>
      </c>
      <c r="D14" s="30">
        <v>5</v>
      </c>
      <c r="E14" s="30">
        <f t="shared" si="0"/>
        <v>10</v>
      </c>
      <c r="F14" s="13" t="s">
        <v>229</v>
      </c>
    </row>
    <row r="15" spans="1:14" ht="15.95" customHeight="1" x14ac:dyDescent="0.3">
      <c r="A15" s="57" t="s">
        <v>181</v>
      </c>
      <c r="B15" s="58"/>
      <c r="C15" s="58"/>
      <c r="D15" s="59"/>
      <c r="E15" s="32">
        <f>SUM(E3:E13)</f>
        <v>577</v>
      </c>
      <c r="F15" s="25"/>
    </row>
    <row r="16" spans="1:14" ht="15.95" customHeight="1" x14ac:dyDescent="0.3">
      <c r="A16" s="57" t="s">
        <v>182</v>
      </c>
      <c r="B16" s="58"/>
      <c r="C16" s="58"/>
      <c r="D16" s="59"/>
      <c r="E16" s="33">
        <f>E15/22</f>
        <v>26.227272727272727</v>
      </c>
      <c r="F16" s="25"/>
    </row>
  </sheetData>
  <mergeCells count="5">
    <mergeCell ref="A16:D16"/>
    <mergeCell ref="A15:D15"/>
    <mergeCell ref="A4:A6"/>
    <mergeCell ref="A7:A9"/>
    <mergeCell ref="A10:A13"/>
  </mergeCells>
  <phoneticPr fontId="1" type="noConversion"/>
  <dataValidations count="3">
    <dataValidation type="list" allowBlank="1" showInputMessage="1" showErrorMessage="1" sqref="I5">
      <formula1>$E$9:$E$11</formula1>
    </dataValidation>
    <dataValidation type="list" allowBlank="1" showInputMessage="1" showErrorMessage="1" sqref="I4">
      <formula1>$E$7:$E$8</formula1>
    </dataValidation>
    <dataValidation type="list" allowBlank="1" showInputMessage="1" showErrorMessage="1" sqref="I3">
      <formula1>$L$3:$L$7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Normal="100" workbookViewId="0">
      <selection activeCell="E26" sqref="E26"/>
    </sheetView>
  </sheetViews>
  <sheetFormatPr defaultRowHeight="13.5" x14ac:dyDescent="0.3"/>
  <cols>
    <col min="1" max="1" width="11.375" style="11" customWidth="1"/>
    <col min="2" max="2" width="11.125" style="11" customWidth="1"/>
    <col min="3" max="3" width="9.125" style="11" customWidth="1"/>
    <col min="4" max="4" width="9" style="11" customWidth="1"/>
    <col min="5" max="5" width="34.875" style="11" customWidth="1"/>
    <col min="6" max="6" width="2.625" style="11" customWidth="1"/>
    <col min="7" max="7" width="14.125" style="11" customWidth="1"/>
    <col min="8" max="8" width="18.75" style="11" customWidth="1"/>
    <col min="9" max="9" width="9" style="11"/>
    <col min="10" max="10" width="4.75" style="11" customWidth="1"/>
    <col min="11" max="11" width="19" style="11" bestFit="1" customWidth="1"/>
    <col min="12" max="12" width="9" style="11"/>
    <col min="13" max="13" width="23.625" style="11" bestFit="1" customWidth="1"/>
    <col min="14" max="16384" width="9" style="11"/>
  </cols>
  <sheetData>
    <row r="1" spans="1:13" ht="15.95" customHeight="1" x14ac:dyDescent="0.3">
      <c r="A1" s="29" t="s">
        <v>203</v>
      </c>
      <c r="B1" s="29"/>
      <c r="C1" s="29"/>
      <c r="D1" s="29"/>
      <c r="E1" s="43"/>
      <c r="G1" s="1" t="s">
        <v>140</v>
      </c>
      <c r="H1" s="1"/>
      <c r="I1" s="2"/>
      <c r="J1" s="2"/>
      <c r="K1" s="1"/>
      <c r="L1" s="1"/>
      <c r="M1" s="1"/>
    </row>
    <row r="2" spans="1:13" ht="27" x14ac:dyDescent="0.3">
      <c r="A2" s="40"/>
      <c r="B2" s="29"/>
      <c r="C2" s="29"/>
      <c r="D2" s="29"/>
      <c r="E2" s="40" t="s">
        <v>211</v>
      </c>
      <c r="G2" s="1"/>
      <c r="H2" s="1"/>
      <c r="I2" s="2"/>
      <c r="J2" s="2"/>
      <c r="K2" s="1"/>
      <c r="L2" s="1"/>
      <c r="M2" s="1"/>
    </row>
    <row r="3" spans="1:13" ht="15.95" customHeight="1" x14ac:dyDescent="0.3">
      <c r="A3" s="29"/>
      <c r="B3" s="29"/>
      <c r="C3" s="29"/>
      <c r="D3" s="29"/>
      <c r="E3" s="29"/>
      <c r="G3" s="1"/>
      <c r="H3" s="1"/>
      <c r="I3" s="2"/>
      <c r="J3" s="2"/>
      <c r="K3" s="1"/>
      <c r="L3" s="1"/>
      <c r="M3" s="1"/>
    </row>
    <row r="4" spans="1:13" ht="15.95" customHeight="1" x14ac:dyDescent="0.3">
      <c r="A4" s="23" t="s">
        <v>121</v>
      </c>
      <c r="B4" s="23" t="s">
        <v>142</v>
      </c>
      <c r="C4" s="23" t="s">
        <v>141</v>
      </c>
      <c r="D4" s="23" t="s">
        <v>162</v>
      </c>
      <c r="E4" s="23" t="s">
        <v>123</v>
      </c>
      <c r="G4" s="23" t="s">
        <v>119</v>
      </c>
      <c r="H4" s="23" t="s">
        <v>96</v>
      </c>
      <c r="I4" s="23" t="s">
        <v>120</v>
      </c>
      <c r="J4" s="15"/>
      <c r="K4" s="18" t="s">
        <v>96</v>
      </c>
      <c r="L4" s="18" t="s">
        <v>120</v>
      </c>
      <c r="M4" s="18" t="s">
        <v>97</v>
      </c>
    </row>
    <row r="5" spans="1:13" ht="15.95" customHeight="1" x14ac:dyDescent="0.3">
      <c r="A5" s="30" t="s">
        <v>204</v>
      </c>
      <c r="B5" s="41">
        <v>500</v>
      </c>
      <c r="C5" s="30">
        <v>1</v>
      </c>
      <c r="D5" s="42">
        <f>B5*C5</f>
        <v>500</v>
      </c>
      <c r="E5" s="13"/>
      <c r="G5" s="39" t="s">
        <v>210</v>
      </c>
      <c r="H5" s="4" t="s">
        <v>206</v>
      </c>
      <c r="I5" s="9">
        <f>VLOOKUP(H5,K5:L9,2,0)</f>
        <v>0.1</v>
      </c>
      <c r="J5" s="10"/>
      <c r="K5" s="16" t="s">
        <v>202</v>
      </c>
      <c r="L5" s="17">
        <v>1</v>
      </c>
      <c r="M5" s="16"/>
    </row>
    <row r="6" spans="1:13" x14ac:dyDescent="0.3">
      <c r="A6" s="30" t="s">
        <v>208</v>
      </c>
      <c r="B6" s="41"/>
      <c r="C6" s="30">
        <v>0.5</v>
      </c>
      <c r="D6" s="42">
        <f t="shared" ref="D6:D9" si="0">B6*C6</f>
        <v>0</v>
      </c>
      <c r="E6" s="13"/>
      <c r="G6" s="28"/>
      <c r="H6" s="7"/>
      <c r="I6" s="10"/>
      <c r="J6" s="10"/>
      <c r="K6" s="16" t="s">
        <v>205</v>
      </c>
      <c r="L6" s="17">
        <v>0.15</v>
      </c>
      <c r="M6" s="16"/>
    </row>
    <row r="7" spans="1:13" ht="15.95" customHeight="1" x14ac:dyDescent="0.3">
      <c r="A7" s="30"/>
      <c r="B7" s="41"/>
      <c r="C7" s="30"/>
      <c r="D7" s="42">
        <f t="shared" si="0"/>
        <v>0</v>
      </c>
      <c r="E7" s="13"/>
      <c r="G7" s="28"/>
      <c r="H7" s="7"/>
      <c r="I7" s="10"/>
      <c r="J7" s="10"/>
      <c r="K7" s="16" t="s">
        <v>207</v>
      </c>
      <c r="L7" s="17">
        <v>0.1</v>
      </c>
      <c r="M7" s="16"/>
    </row>
    <row r="8" spans="1:13" ht="15.95" customHeight="1" x14ac:dyDescent="0.3">
      <c r="A8" s="30"/>
      <c r="B8" s="41"/>
      <c r="C8" s="30"/>
      <c r="D8" s="42">
        <f t="shared" si="0"/>
        <v>0</v>
      </c>
      <c r="E8" s="13"/>
      <c r="G8" s="1"/>
      <c r="H8" s="1"/>
      <c r="I8" s="2"/>
      <c r="J8" s="2"/>
    </row>
    <row r="9" spans="1:13" ht="15.95" customHeight="1" x14ac:dyDescent="0.3">
      <c r="A9" s="30"/>
      <c r="B9" s="41"/>
      <c r="C9" s="30"/>
      <c r="D9" s="42">
        <f t="shared" si="0"/>
        <v>0</v>
      </c>
      <c r="E9" s="13"/>
      <c r="G9" s="1"/>
      <c r="H9" s="1"/>
      <c r="I9" s="2"/>
      <c r="J9" s="2"/>
    </row>
    <row r="10" spans="1:13" ht="15.95" customHeight="1" x14ac:dyDescent="0.3">
      <c r="A10" s="57" t="s">
        <v>181</v>
      </c>
      <c r="B10" s="58"/>
      <c r="C10" s="59"/>
      <c r="D10" s="44">
        <f>SUM(D5:D9)*I5</f>
        <v>50</v>
      </c>
      <c r="E10" s="25"/>
    </row>
    <row r="11" spans="1:13" ht="15.95" customHeight="1" x14ac:dyDescent="0.3">
      <c r="A11" s="57" t="s">
        <v>182</v>
      </c>
      <c r="B11" s="58"/>
      <c r="C11" s="59"/>
      <c r="D11" s="45">
        <f>D10/22</f>
        <v>2.2727272727272729</v>
      </c>
      <c r="E11" s="25"/>
    </row>
    <row r="18" spans="5:5" x14ac:dyDescent="0.3">
      <c r="E18" s="40"/>
    </row>
  </sheetData>
  <mergeCells count="2">
    <mergeCell ref="A10:C10"/>
    <mergeCell ref="A11:C11"/>
  </mergeCells>
  <phoneticPr fontId="1" type="noConversion"/>
  <dataValidations count="3">
    <dataValidation type="list" allowBlank="1" showInputMessage="1" showErrorMessage="1" sqref="H5">
      <formula1>$K$5:$K$9</formula1>
    </dataValidation>
    <dataValidation type="list" allowBlank="1" showInputMessage="1" showErrorMessage="1" sqref="H6">
      <formula1>$D$9:$D$9</formula1>
    </dataValidation>
    <dataValidation type="list" allowBlank="1" showInputMessage="1" showErrorMessage="1" sqref="H7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예상MD산정</vt:lpstr>
      <vt:lpstr>난이도</vt:lpstr>
      <vt:lpstr>3D 모델링</vt:lpstr>
      <vt:lpstr>P&amp;ID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hyeonuc</dc:creator>
  <cp:lastModifiedBy>HWJEONG</cp:lastModifiedBy>
  <dcterms:created xsi:type="dcterms:W3CDTF">2025-05-28T02:17:32Z</dcterms:created>
  <dcterms:modified xsi:type="dcterms:W3CDTF">2025-06-10T05:26:07Z</dcterms:modified>
</cp:coreProperties>
</file>